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workbookProtection/>
  <bookViews>
    <workbookView visibility="visible" minimized="0" showHorizontalScroll="1" showVerticalScroll="1" showSheetTabs="1" tabRatio="600" firstSheet="0" activeTab="0" autoFilterDateGrouping="1"/>
  </bookViews>
  <sheets>
    <sheet name="Summary" sheetId="1" state="visible" r:id="rId1"/>
    <sheet name="Rules" sheetId="2" state="visible" r:id="rId2"/>
    <sheet name="Design docs" sheetId="3" state="visible" r:id="rId3"/>
    <sheet name="Roadmap" sheetId="4" state="visible" r:id="rId4"/>
    <sheet name="Open work" sheetId="5" state="visible" r:id="rId5"/>
    <sheet name="Deferred" sheetId="6" state="visible" r:id="rId6"/>
    <sheet name="Go-live" sheetId="7" state="visible" r:id="rId7"/>
    <sheet name="Screens" sheetId="8" state="visible" r:id="rId8"/>
    <sheet name="PRs" sheetId="9" state="visible" r:id="rId9"/>
    <sheet name="Code scanned" sheetId="10" state="visible" r:id="rId10"/>
  </sheets>
  <definedNames>
    <definedName name="_xlnm._FilterDatabase" localSheetId="1" hidden="1">'Rules'!$A$1:$M$982</definedName>
    <definedName name="_xlnm._FilterDatabase" localSheetId="2" hidden="1">'Design docs'!$A$1:$M$53</definedName>
    <definedName name="_xlnm._FilterDatabase" localSheetId="3" hidden="1">'Roadmap'!$A$1:$G$11</definedName>
    <definedName name="_xlnm._FilterDatabase" localSheetId="4" hidden="1">'Open work'!$A$1:$H$15</definedName>
    <definedName name="_xlnm._FilterDatabase" localSheetId="5" hidden="1">'Deferred'!$A$1:$I$106</definedName>
    <definedName name="_xlnm._FilterDatabase" localSheetId="6" hidden="1">'Go-live'!$A$1:$H$12</definedName>
    <definedName name="_xlnm._FilterDatabase" localSheetId="7" hidden="1">'Screens'!$A$1:$F$92</definedName>
    <definedName name="_xlnm._FilterDatabase" localSheetId="8" hidden="1">'PRs'!$A$1:$I$4</definedName>
    <definedName name="_xlnm._FilterDatabase" localSheetId="9" hidden="1">'Code scanned'!$A$1:$C$3</definedName>
  </definedNames>
  <calcPr calcId="124519" fullCalcOnLoad="1"/>
</workbook>
</file>

<file path=xl/styles.xml><?xml version="1.0" encoding="utf-8"?>
<styleSheet xmlns="http://schemas.openxmlformats.org/spreadsheetml/2006/main">
  <numFmts count="1">
    <numFmt numFmtId="164" formatCode="0.0%"/>
  </numFmts>
  <fonts count="4">
    <font>
      <name val="Calibri"/>
      <family val="2"/>
      <color theme="1"/>
      <sz val="11"/>
      <scheme val="minor"/>
    </font>
    <font>
      <b val="1"/>
      <color rgb="00FFFFFF"/>
    </font>
    <font>
      <b val="1"/>
      <sz val="16"/>
    </font>
    <font>
      <b val="1"/>
    </font>
  </fonts>
  <fills count="3">
    <fill>
      <patternFill/>
    </fill>
    <fill>
      <patternFill patternType="gray125"/>
    </fill>
    <fill>
      <patternFill patternType="solid">
        <fgColor rgb="001F3A5F"/>
      </patternFill>
    </fill>
  </fills>
  <borders count="1">
    <border>
      <left/>
      <right/>
      <top/>
      <bottom/>
      <diagonal/>
    </border>
  </borders>
  <cellStyleXfs count="1">
    <xf numFmtId="0" fontId="0" fillId="0" borderId="0"/>
  </cellStyleXfs>
  <cellXfs count="7">
    <xf numFmtId="0" fontId="0" fillId="0" borderId="0" pivotButton="0" quotePrefix="0" xfId="0"/>
    <xf numFmtId="0" fontId="2" fillId="0" borderId="0" pivotButton="0" quotePrefix="0" xfId="0"/>
    <xf numFmtId="0" fontId="3" fillId="0" borderId="0" pivotButton="0" quotePrefix="0" xfId="0"/>
    <xf numFmtId="164" fontId="0" fillId="0" borderId="0" pivotButton="0" quotePrefix="0" xfId="0"/>
    <xf numFmtId="0" fontId="1" fillId="2" borderId="0" applyAlignment="1" pivotButton="0" quotePrefix="0" xfId="0">
      <alignment vertical="center" wrapText="1"/>
    </xf>
    <xf numFmtId="0" fontId="0" fillId="0" borderId="0" applyAlignment="1" pivotButton="0" quotePrefix="0" xfId="0">
      <alignment vertical="top" wrapText="1"/>
    </xf>
    <xf numFmtId="9" fontId="0" fillId="0" borderId="0" pivotButton="0" quotePrefix="0" xfId="0"/>
  </cellXfs>
  <cellStyles count="1">
    <cellStyle name="Normal" xfId="0" builtinId="0" hidden="0"/>
  </cellStyles>
  <dxfs count="5">
    <dxf>
      <fill>
        <patternFill patternType="solid">
          <fgColor rgb="00C6EFCE"/>
        </patternFill>
      </fill>
    </dxf>
    <dxf>
      <fill>
        <patternFill patternType="solid">
          <fgColor rgb="00FFEB9C"/>
        </patternFill>
      </fill>
    </dxf>
    <dxf>
      <fill>
        <patternFill patternType="solid">
          <fgColor rgb="00FFC7CE"/>
        </patternFill>
      </fill>
    </dxf>
    <dxf>
      <fill>
        <patternFill patternType="solid">
          <fgColor rgb="00DDEBF7"/>
        </patternFill>
      </fill>
    </dxf>
    <dxf>
      <fill>
        <patternFill patternType="solid">
          <fgColor rgb="00E7E6E6"/>
        </patternFill>
      </fill>
    </dxf>
  </dxf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worksheet" Target="/xl/worksheets/sheet3.xml" Id="rId3" /><Relationship Type="http://schemas.openxmlformats.org/officeDocument/2006/relationships/worksheet" Target="/xl/worksheets/sheet4.xml" Id="rId4" /><Relationship Type="http://schemas.openxmlformats.org/officeDocument/2006/relationships/worksheet" Target="/xl/worksheets/sheet5.xml" Id="rId5" /><Relationship Type="http://schemas.openxmlformats.org/officeDocument/2006/relationships/worksheet" Target="/xl/worksheets/sheet6.xml" Id="rId6" /><Relationship Type="http://schemas.openxmlformats.org/officeDocument/2006/relationships/worksheet" Target="/xl/worksheets/sheet7.xml" Id="rId7" /><Relationship Type="http://schemas.openxmlformats.org/officeDocument/2006/relationships/worksheet" Target="/xl/worksheets/sheet8.xml" Id="rId8" /><Relationship Type="http://schemas.openxmlformats.org/officeDocument/2006/relationships/worksheet" Target="/xl/worksheets/sheet9.xml" Id="rId9" /><Relationship Type="http://schemas.openxmlformats.org/officeDocument/2006/relationships/worksheet" Target="/xl/worksheets/sheet10.xml" Id="rId10" /><Relationship Type="http://schemas.openxmlformats.org/officeDocument/2006/relationships/styles" Target="styles.xml" Id="rId11" /><Relationship Type="http://schemas.openxmlformats.org/officeDocument/2006/relationships/theme" Target="theme/theme1.xml" Id="rId12" /></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B37"/>
  <sheetViews>
    <sheetView workbookViewId="0">
      <selection activeCell="A1" sqref="A1"/>
    </sheetView>
  </sheetViews>
  <sheetFormatPr baseColWidth="8" defaultRowHeight="15"/>
  <cols>
    <col width="34" customWidth="1" min="1" max="1"/>
    <col width="14" customWidth="1" min="2" max="2"/>
  </cols>
  <sheetData>
    <row r="1">
      <c r="A1" s="1" t="inlineStr">
        <is>
          <t>YukthiX product tracker</t>
        </is>
      </c>
    </row>
    <row r="2">
      <c r="A2" t="inlineStr">
        <is>
          <t>Generated 2026-10-06 from docs/yukthix (design docs, roadmap, go-live) and the code in: exam-app-org, exam-app-login</t>
        </is>
      </c>
    </row>
    <row r="4">
      <c r="A4" s="2" t="inlineStr">
        <is>
          <t>Design rules</t>
        </is>
      </c>
    </row>
    <row r="5">
      <c r="A5" t="inlineStr">
        <is>
          <t>Built + tested</t>
        </is>
      </c>
      <c r="B5">
        <f>COUNTIF(Rules!$H$2:$H$982,"Built + tested")</f>
        <v/>
      </c>
    </row>
    <row r="6">
      <c r="A6" t="inlineStr">
        <is>
          <t>Built, no test cites it</t>
        </is>
      </c>
      <c r="B6">
        <f>COUNTIF(Rules!$H$2:$H$982,"Built, no test cites it")</f>
        <v/>
      </c>
    </row>
    <row r="7">
      <c r="A7" t="inlineStr">
        <is>
          <t>Tested, code not linked</t>
        </is>
      </c>
      <c r="B7">
        <f>COUNTIF(Rules!$H$2:$H$982,"Tested, code not linked")</f>
        <v/>
      </c>
    </row>
    <row r="8">
      <c r="A8" t="inlineStr">
        <is>
          <t>UI prototype only</t>
        </is>
      </c>
      <c r="B8">
        <f>COUNTIF(Rules!$H$2:$H$982,"UI prototype only")</f>
        <v/>
      </c>
    </row>
    <row r="9">
      <c r="A9" t="inlineStr">
        <is>
          <t>Verify (step done, not linked)</t>
        </is>
      </c>
      <c r="B9">
        <f>COUNTIF(Rules!$H$2:$H$982,"Verify (step done, not linked)")</f>
        <v/>
      </c>
    </row>
    <row r="10">
      <c r="A10" t="inlineStr">
        <is>
          <t>In progress</t>
        </is>
      </c>
      <c r="B10">
        <f>COUNTIF(Rules!$H$2:$H$982,"In progress")</f>
        <v/>
      </c>
    </row>
    <row r="11">
      <c r="A11" t="inlineStr">
        <is>
          <t>Not started</t>
        </is>
      </c>
      <c r="B11">
        <f>COUNTIF(Rules!$H$2:$H$982,"Not started")</f>
        <v/>
      </c>
    </row>
    <row r="12">
      <c r="A12" t="inlineStr">
        <is>
          <t>Not needed</t>
        </is>
      </c>
      <c r="B12">
        <f>COUNTIF(Rules!$H$2:$H$982,"Not needed")</f>
        <v/>
      </c>
    </row>
    <row r="13">
      <c r="A13" t="inlineStr">
        <is>
          <t>All rules</t>
        </is>
      </c>
      <c r="B13">
        <f>COUNTA(Rules!$A$2:$A$982)</f>
        <v/>
      </c>
    </row>
    <row r="14">
      <c r="A14" t="inlineStr">
        <is>
          <t>% built + tested</t>
        </is>
      </c>
      <c r="B14" s="3">
        <f>COUNTIF(Rules!$H$2:$H$982,"Built + tested")/COUNTA(Rules!$A$2:$A$982)</f>
        <v/>
      </c>
    </row>
    <row r="15">
      <c r="A15" t="inlineStr"/>
    </row>
    <row r="16">
      <c r="A16" s="2" t="inlineStr">
        <is>
          <t>Work</t>
        </is>
      </c>
    </row>
    <row r="17">
      <c r="A17" t="inlineStr">
        <is>
          <t>Open work items not done</t>
        </is>
      </c>
      <c r="B17">
        <f>COUNTA('Open work'!A2:A15)-COUNTIF('Open work'!E2:E15,"Done")</f>
        <v/>
      </c>
    </row>
    <row r="18">
      <c r="A18" t="inlineStr">
        <is>
          <t>Deferred items still open</t>
        </is>
      </c>
      <c r="B18">
        <f>COUNTA(Deferred!A2:A106)-COUNTIF(Deferred!G2:G106,"Done")-COUNTIF(Deferred!G2:G106,"Accepted*")-COUNTIF(Deferred!G2:G106,"Moved*")</f>
        <v/>
      </c>
    </row>
    <row r="19">
      <c r="A19" t="inlineStr">
        <is>
          <t>Go-live items not done</t>
        </is>
      </c>
      <c r="B19">
        <f>COUNTA('Go-live'!A2:A12)-COUNTIF('Go-live'!F2:F12,"Done")</f>
        <v/>
      </c>
    </row>
    <row r="20">
      <c r="A20" t="inlineStr"/>
    </row>
    <row r="21">
      <c r="A21" s="2" t="inlineStr">
        <is>
          <t>UI</t>
        </is>
      </c>
    </row>
    <row r="22">
      <c r="A22" t="inlineStr">
        <is>
          <t>Screen files</t>
        </is>
      </c>
      <c r="B22" t="n">
        <v>91</v>
      </c>
    </row>
    <row r="23">
      <c r="A23" t="inlineStr">
        <is>
          <t>Screen files wired to the API</t>
        </is>
      </c>
      <c r="B23" t="n">
        <v>12</v>
      </c>
    </row>
    <row r="24">
      <c r="A24" t="inlineStr">
        <is>
          <t>Storybook stories</t>
        </is>
      </c>
      <c r="B24" t="n">
        <v>2946</v>
      </c>
    </row>
    <row r="25">
      <c r="A25" t="inlineStr"/>
    </row>
    <row r="26">
      <c r="A26" s="2" t="inlineStr">
        <is>
          <t>Design</t>
        </is>
      </c>
    </row>
    <row r="27">
      <c r="A27" t="inlineStr">
        <is>
          <t>Design docs</t>
        </is>
      </c>
      <c r="B27" t="n">
        <v>52</v>
      </c>
    </row>
    <row r="28">
      <c r="A28" t="inlineStr">
        <is>
          <t>PRs (YukthiX branches)</t>
        </is>
      </c>
      <c r="B28" t="n">
        <v>3</v>
      </c>
    </row>
    <row r="31">
      <c r="A31" s="2" t="inlineStr">
        <is>
          <t>How to read this</t>
        </is>
      </c>
    </row>
    <row r="32">
      <c r="A32" t="inlineStr">
        <is>
          <t>Rules: every YX-... rule in the design docs. "Built + tested" means a code file and a test file cite the rule ID.</t>
        </is>
      </c>
    </row>
    <row r="33">
      <c r="A33" t="inlineStr">
        <is>
          <t>"Verify" means its roadmap step is done but no code or test cites the rule: confirm it is built and add the ID to its test, or build it.</t>
        </is>
      </c>
    </row>
    <row r="34">
      <c r="A34" t="inlineStr">
        <is>
          <t>Override (you) on the Rules sheet replaces the automatic status (e.g. "Not needed" with a note).</t>
        </is>
      </c>
    </row>
    <row r="35">
      <c r="A35" t="inlineStr">
        <is>
          <t>Deferred: things each build job reported as left out. Close, move to a step, or accept each one.</t>
        </is>
      </c>
    </row>
    <row r="36">
      <c r="A36" t="inlineStr">
        <is>
          <t>Columns marked (you) are kept when the tracker is regenerated. Everything else is rebuilt from the docs and the code.</t>
        </is>
      </c>
    </row>
    <row r="37">
      <c r="A37" t="inlineStr">
        <is>
          <t>Rebuild: python docs/yukthix/tracker/build_tracker.py --code &lt;each worktree with unmerged work&gt;</t>
        </is>
      </c>
    </row>
  </sheetData>
  <pageMargins left="0.75" right="0.75" top="1" bottom="1" header="0.5" footer="0.5"/>
</worksheet>
</file>

<file path=xl/worksheets/sheet2.xml><?xml version="1.0" encoding="utf-8"?>
<worksheet xmlns="http://schemas.openxmlformats.org/spreadsheetml/2006/main">
  <sheetPr>
    <outlinePr summaryBelow="1" summaryRight="1"/>
    <pageSetUpPr/>
  </sheetPr>
  <dimension ref="A1:M982"/>
  <sheetViews>
    <sheetView workbookViewId="0">
      <pane xSplit="1" ySplit="1" topLeftCell="B2" activePane="bottomRight" state="frozen"/>
      <selection pane="topRight"/>
      <selection pane="bottomLeft"/>
      <selection pane="bottomRight" activeCell="A1" sqref="A1"/>
    </sheetView>
  </sheetViews>
  <sheetFormatPr baseColWidth="8" defaultRowHeight="15"/>
  <cols>
    <col width="16" customWidth="1" min="1" max="1"/>
    <col width="8" customWidth="1" min="2" max="2"/>
    <col width="12" customWidth="1" min="3" max="3"/>
    <col width="9" customWidth="1" min="4" max="4"/>
    <col width="80" customWidth="1" min="5" max="5"/>
    <col width="24" customWidth="1" min="6" max="6"/>
    <col width="22" customWidth="1" min="7" max="7"/>
    <col width="24" customWidth="1" min="8" max="8"/>
    <col width="8" customWidth="1" min="9" max="9"/>
    <col width="8" customWidth="1" min="10" max="10"/>
    <col width="8" customWidth="1" min="11" max="11"/>
    <col width="50" customWidth="1" min="12" max="12"/>
    <col width="30" customWidth="1" min="13" max="13"/>
  </cols>
  <sheetData>
    <row r="1">
      <c r="A1" s="4" t="inlineStr">
        <is>
          <t>Rule ID</t>
        </is>
      </c>
      <c r="B1" s="4" t="inlineStr">
        <is>
          <t>Doc</t>
        </is>
      </c>
      <c r="C1" s="4" t="inlineStr">
        <is>
          <t>Area</t>
        </is>
      </c>
      <c r="D1" s="4" t="inlineStr">
        <is>
          <t>Roadmap step</t>
        </is>
      </c>
      <c r="E1" s="4" t="inlineStr">
        <is>
          <t>Rule (from the design doc)</t>
        </is>
      </c>
      <c r="F1" s="4" t="inlineStr">
        <is>
          <t>Status (auto)</t>
        </is>
      </c>
      <c r="G1" s="4" t="inlineStr">
        <is>
          <t>Override (you)</t>
        </is>
      </c>
      <c r="H1" s="4" t="inlineStr">
        <is>
          <t>Status</t>
        </is>
      </c>
      <c r="I1" s="4" t="inlineStr">
        <is>
          <t>Code files</t>
        </is>
      </c>
      <c r="J1" s="4" t="inlineStr">
        <is>
          <t>Test files</t>
        </is>
      </c>
      <c r="K1" s="4" t="inlineStr">
        <is>
          <t>UI files</t>
        </is>
      </c>
      <c r="L1" s="4" t="inlineStr">
        <is>
          <t>Where (first 3)</t>
        </is>
      </c>
      <c r="M1" s="4" t="inlineStr">
        <is>
          <t>Notes (you)</t>
        </is>
      </c>
    </row>
    <row r="2">
      <c r="A2" t="inlineStr">
        <is>
          <t>YX-ORG-23</t>
        </is>
      </c>
      <c r="B2" t="inlineStr">
        <is>
          <t>APX-E</t>
        </is>
      </c>
      <c r="C2" t="inlineStr">
        <is>
          <t>YX-ORG</t>
        </is>
      </c>
      <c r="D2" t="inlineStr">
        <is>
          <t>6+</t>
        </is>
      </c>
      <c r="E2" s="5" t="inlineStr">
        <is>
          <t>Setup hub. Setup steps are registered in code per module with card, required / optional flag, dependencies, a computed completion check, the starter keys they apply and the editor they open; the hub shows one card per area for the products the tenant has switched on. Starter templates are applied when a product or wave is switched on, each labelled "YukthiX starter — edit for your company" and recorded in starter_applications; a starter flagged ⚑ stays "unreviewed" until a person keeps or edits it, and later YukthiX starter versions never overwrite a company value.</t>
        </is>
      </c>
      <c r="F2" t="inlineStr">
        <is>
          <t>Not started</t>
        </is>
      </c>
      <c r="H2">
        <f>IF(G2&lt;&gt;"",G2,F2)</f>
        <v/>
      </c>
      <c r="I2" t="n">
        <v>0</v>
      </c>
      <c r="J2" t="n">
        <v>0</v>
      </c>
      <c r="K2" t="n">
        <v>0</v>
      </c>
      <c r="L2" s="5" t="inlineStr"/>
      <c r="M2" s="5" t="n"/>
    </row>
    <row r="3">
      <c r="A3" t="inlineStr">
        <is>
          <t>YX-ORG-24</t>
        </is>
      </c>
      <c r="B3" t="inlineStr">
        <is>
          <t>APX-E</t>
        </is>
      </c>
      <c r="C3" t="inlineStr">
        <is>
          <t>YX-ORG</t>
        </is>
      </c>
      <c r="D3" t="inlineStr">
        <is>
          <t>6+</t>
        </is>
      </c>
      <c r="E3" s="5" t="inlineStr">
        <is>
          <t>Go-live readiness. Each module has registered readiness checks, each blocking or advisory (§2). A module's employee-facing features (self-service requests, mobile invites, employee notifications for that module) are switched on for a legal entity only when all its blocking checks pass and the module owner has signed off; admins can configure and test before. Sign-off records the owner, time, readiness score and an acknowledgement note for every open advisory; it cannot be given while a blocking check fails. After go-live the checks keep running as health checks and a regression alerts the owne</t>
        </is>
      </c>
      <c r="F3" t="inlineStr">
        <is>
          <t>Not started</t>
        </is>
      </c>
      <c r="H3">
        <f>IF(G3&lt;&gt;"",G3,F3)</f>
        <v/>
      </c>
      <c r="I3" t="n">
        <v>0</v>
      </c>
      <c r="J3" t="n">
        <v>0</v>
      </c>
      <c r="K3" t="n">
        <v>0</v>
      </c>
      <c r="L3" s="5" t="inlineStr"/>
      <c r="M3" s="5" t="n"/>
    </row>
    <row r="4">
      <c r="A4" t="inlineStr">
        <is>
          <t>YX-ORG-25</t>
        </is>
      </c>
      <c r="B4" t="inlineStr">
        <is>
          <t>APX-E</t>
        </is>
      </c>
      <c r="C4" t="inlineStr">
        <is>
          <t>YX-ORG</t>
        </is>
      </c>
      <c r="D4" t="inlineStr">
        <is>
          <t>6+</t>
        </is>
      </c>
      <c r="E4" s="5" t="inlineStr">
        <is>
          <t>Every company policy has an editor. Every setting key and policy record registered by a module declares its editor screen, Settings group, allowed scopes, dated flag and either a starter template or a P07 legal source; a CI check fails the build if a registered policy key has no editor route or no starter / legal source. Legal values (P07) are shown read-only with source and version and are never starters (spec D17).</t>
        </is>
      </c>
      <c r="F4" t="inlineStr">
        <is>
          <t>Not started</t>
        </is>
      </c>
      <c r="H4">
        <f>IF(G4&lt;&gt;"",G4,F4)</f>
        <v/>
      </c>
      <c r="I4" t="n">
        <v>0</v>
      </c>
      <c r="J4" t="n">
        <v>0</v>
      </c>
      <c r="K4" t="n">
        <v>0</v>
      </c>
      <c r="L4" s="5" t="inlineStr"/>
      <c r="M4" s="5" t="n"/>
    </row>
    <row r="5">
      <c r="A5" t="inlineStr">
        <is>
          <t>YX-DOC-20</t>
        </is>
      </c>
      <c r="B5" t="inlineStr">
        <is>
          <t>APX-F</t>
        </is>
      </c>
      <c r="C5" t="inlineStr">
        <is>
          <t>YX-DOC</t>
        </is>
      </c>
      <c r="D5" t="inlineStr">
        <is>
          <t>6+</t>
        </is>
      </c>
      <c r="E5" s="5" t="inlineStr">
        <is>
          <t>Starter library. Every template in this library ships as a versioned starter template labelled "YukthiX starter — edit for your company" in the template list and editor (never printed on issued documents). The company edits a copy; a later YukthiX starter version never overwrites a company-edited template and is offered as "new starter version available" with a diff. Issuing from a starter that nobody has reviewed shows the issuer a one-time warning and counts as an advisory readiness finding (APX-E YX-ORG-24).</t>
        </is>
      </c>
      <c r="F5" t="inlineStr">
        <is>
          <t>Not started</t>
        </is>
      </c>
      <c r="H5">
        <f>IF(G5&lt;&gt;"",G5,F5)</f>
        <v/>
      </c>
      <c r="I5" t="n">
        <v>0</v>
      </c>
      <c r="J5" t="n">
        <v>0</v>
      </c>
      <c r="K5" t="n">
        <v>0</v>
      </c>
      <c r="L5" s="5" t="inlineStr"/>
      <c r="M5" s="5" t="n"/>
    </row>
    <row r="6">
      <c r="A6" t="inlineStr">
        <is>
          <t>YX-DOC-21</t>
        </is>
      </c>
      <c r="B6" t="inlineStr">
        <is>
          <t>APX-F</t>
        </is>
      </c>
      <c r="C6" t="inlineStr">
        <is>
          <t>YX-DOC</t>
        </is>
      </c>
      <c r="D6" t="inlineStr">
        <is>
          <t>6+</t>
        </is>
      </c>
      <c r="E6" s="5" t="inlineStr">
        <is>
          <t>Restricted-area letters on the verify page. Letters issued from a restricted-area case (POSH, disciplinary, grievance, whistleblower; P02) keep QR verification on by default (P05 Q5), but the public verify page shows the letter type only as "Confidential HR letter", with company, name, date and current / superseded status; the case type never appears outside the app.</t>
        </is>
      </c>
      <c r="F6" t="inlineStr">
        <is>
          <t>Not started</t>
        </is>
      </c>
      <c r="H6">
        <f>IF(G6&lt;&gt;"",G6,F6)</f>
        <v/>
      </c>
      <c r="I6" t="n">
        <v>0</v>
      </c>
      <c r="J6" t="n">
        <v>0</v>
      </c>
      <c r="K6" t="n">
        <v>0</v>
      </c>
      <c r="L6" s="5" t="inlineStr"/>
      <c r="M6" s="5" t="n"/>
    </row>
    <row r="7">
      <c r="A7" t="inlineStr">
        <is>
          <t>YX-DOC-22</t>
        </is>
      </c>
      <c r="B7" t="inlineStr">
        <is>
          <t>APX-F</t>
        </is>
      </c>
      <c r="C7" t="inlineStr">
        <is>
          <t>YX-DOC</t>
        </is>
      </c>
      <c r="D7" t="inlineStr">
        <is>
          <t>6+</t>
        </is>
      </c>
      <c r="E7" s="5" t="inlineStr">
        <is>
          <t>Legally mandatory content is locked. For templates whose content is prescribed by law (statutory forms, GST tax invoice and credit note, wage slip / payslip, legally required notice wording) the editor locks the mandatory fields and blocks; the company may change branding, layout of non-mandatory parts, optional fields and language. A template cannot be activated when a mandatory field is missing (extends YX-DOC-15); the mandatory field list comes from P07 and changes with it.</t>
        </is>
      </c>
      <c r="F7" t="inlineStr">
        <is>
          <t>Not started</t>
        </is>
      </c>
      <c r="H7">
        <f>IF(G7&lt;&gt;"",G7,F7)</f>
        <v/>
      </c>
      <c r="I7" t="n">
        <v>0</v>
      </c>
      <c r="J7" t="n">
        <v>0</v>
      </c>
      <c r="K7" t="n">
        <v>0</v>
      </c>
      <c r="L7" s="5" t="inlineStr"/>
      <c r="M7" s="5" t="n"/>
    </row>
    <row r="8">
      <c r="A8" t="inlineStr">
        <is>
          <t>YX-EMP-01</t>
        </is>
      </c>
      <c r="B8" t="inlineStr">
        <is>
          <t>M01</t>
        </is>
      </c>
      <c r="C8" t="inlineStr">
        <is>
          <t>YX-EMP</t>
        </is>
      </c>
      <c r="D8" t="inlineStr">
        <is>
          <t>2</t>
        </is>
      </c>
      <c r="E8" s="5" t="inlineStr">
        <is>
          <t>Identity fields are validated on entry (PAN format + verification, Aadhaar checksum, UAN/ESIC/IFSC formats); Aadhaar is stored encrypted and displayed masked (P02 YX-SEC-08).</t>
        </is>
      </c>
      <c r="F8" t="inlineStr">
        <is>
          <t>In progress</t>
        </is>
      </c>
      <c r="H8">
        <f>IF(G8&lt;&gt;"",G8,F8)</f>
        <v/>
      </c>
      <c r="I8" t="n">
        <v>0</v>
      </c>
      <c r="J8" t="n">
        <v>0</v>
      </c>
      <c r="K8" t="n">
        <v>1</v>
      </c>
      <c r="L8" s="5" t="inlineStr"/>
      <c r="M8" s="5" t="n"/>
    </row>
    <row r="9">
      <c r="A9" t="inlineStr">
        <is>
          <t>YX-EMP-02</t>
        </is>
      </c>
      <c r="B9" t="inlineStr">
        <is>
          <t>M01</t>
        </is>
      </c>
      <c r="C9" t="inlineStr">
        <is>
          <t>YX-EMP</t>
        </is>
      </c>
      <c r="D9" t="inlineStr">
        <is>
          <t>2</t>
        </is>
      </c>
      <c r="E9" s="5" t="inlineStr">
        <is>
          <t>Duplicate PAN, Aadhaar or salary bank account across active employees raises a blocking warning with the conflicting record (HR may override with reason).</t>
        </is>
      </c>
      <c r="F9" t="inlineStr">
        <is>
          <t>In progress</t>
        </is>
      </c>
      <c r="H9">
        <f>IF(G9&lt;&gt;"",G9,F9)</f>
        <v/>
      </c>
      <c r="I9" t="n">
        <v>0</v>
      </c>
      <c r="J9" t="n">
        <v>0</v>
      </c>
      <c r="K9" t="n">
        <v>0</v>
      </c>
      <c r="L9" s="5" t="inlineStr"/>
      <c r="M9" s="5" t="n"/>
    </row>
    <row r="10">
      <c r="A10" t="inlineStr">
        <is>
          <t>YX-EMP-03</t>
        </is>
      </c>
      <c r="B10" t="inlineStr">
        <is>
          <t>M01</t>
        </is>
      </c>
      <c r="C10" t="inlineStr">
        <is>
          <t>YX-EMP</t>
        </is>
      </c>
      <c r="D10" t="inlineStr">
        <is>
          <t>2</t>
        </is>
      </c>
      <c r="E10" s="5" t="inlineStr">
        <is>
          <t>Custom fields carry a sensitivity class and self-edit flag; P02 rules apply to them like built-in fields.</t>
        </is>
      </c>
      <c r="F10" t="inlineStr">
        <is>
          <t>In progress</t>
        </is>
      </c>
      <c r="H10">
        <f>IF(G10&lt;&gt;"",G10,F10)</f>
        <v/>
      </c>
      <c r="I10" t="n">
        <v>0</v>
      </c>
      <c r="J10" t="n">
        <v>0</v>
      </c>
      <c r="K10" t="n">
        <v>0</v>
      </c>
      <c r="L10" s="5" t="inlineStr"/>
      <c r="M10" s="5" t="n"/>
    </row>
    <row r="11">
      <c r="A11" t="inlineStr">
        <is>
          <t>YX-EMP-04</t>
        </is>
      </c>
      <c r="B11" t="inlineStr">
        <is>
          <t>M01</t>
        </is>
      </c>
      <c r="C11" t="inlineStr">
        <is>
          <t>YX-EMP</t>
        </is>
      </c>
      <c r="D11" t="inlineStr">
        <is>
          <t>2</t>
        </is>
      </c>
      <c r="E11" s="5" t="inlineStr">
        <is>
          <t>Dotted-line managers never enter approval chains unless a policy explicitly names them.</t>
        </is>
      </c>
      <c r="F11" t="inlineStr">
        <is>
          <t>Built, no test cites it</t>
        </is>
      </c>
      <c r="H11">
        <f>IF(G11&lt;&gt;"",G11,F11)</f>
        <v/>
      </c>
      <c r="I11" t="n">
        <v>2</v>
      </c>
      <c r="J11" t="n">
        <v>0</v>
      </c>
      <c r="K11" t="n">
        <v>0</v>
      </c>
      <c r="L11" s="5" t="inlineStr">
        <is>
          <t>exam-app-org:apps/api/prisma/schema.prisma
exam-app-org:apps/api/src/employee-history/history-rules.ts</t>
        </is>
      </c>
      <c r="M11" s="5" t="n"/>
    </row>
    <row r="12">
      <c r="A12" t="inlineStr">
        <is>
          <t>YX-EMP-05</t>
        </is>
      </c>
      <c r="B12" t="inlineStr">
        <is>
          <t>M01</t>
        </is>
      </c>
      <c r="C12" t="inlineStr">
        <is>
          <t>YX-EMP</t>
        </is>
      </c>
      <c r="D12" t="inlineStr">
        <is>
          <t>2</t>
        </is>
      </c>
      <c r="E12" s="5" t="inlineStr">
        <is>
          <t>Every job change is a P06 change with a type, impact preview, approval and (where configured) a letter; a promotion that changes pay updates compensation in the same change.</t>
        </is>
      </c>
      <c r="F12" t="inlineStr">
        <is>
          <t>In progress</t>
        </is>
      </c>
      <c r="H12">
        <f>IF(G12&lt;&gt;"",G12,F12)</f>
        <v/>
      </c>
      <c r="I12" t="n">
        <v>0</v>
      </c>
      <c r="J12" t="n">
        <v>0</v>
      </c>
      <c r="K12" t="n">
        <v>0</v>
      </c>
      <c r="L12" s="5" t="inlineStr"/>
      <c r="M12" s="5" t="n"/>
    </row>
    <row r="13">
      <c r="A13" t="inlineStr">
        <is>
          <t>YX-EMP-06</t>
        </is>
      </c>
      <c r="B13" t="inlineStr">
        <is>
          <t>M01</t>
        </is>
      </c>
      <c r="C13" t="inlineStr">
        <is>
          <t>YX-EMP</t>
        </is>
      </c>
      <c r="D13" t="inlineStr">
        <is>
          <t>2</t>
        </is>
      </c>
      <c r="E13" s="5" t="inlineStr">
        <is>
          <t>Long absence (sabbatical, long LWP, maternity, long-term disability) is a dated absence status on the employment with an expected return date; starting, changing and ending it are P06 changes, the return fires return-to-work tasks, and its payroll / leave / statutory effects come from M02 / M03. Sabbatical eligibility, length and pay are company policy (starter template).</t>
        </is>
      </c>
      <c r="F13" t="inlineStr">
        <is>
          <t>In progress</t>
        </is>
      </c>
      <c r="H13">
        <f>IF(G13&lt;&gt;"",G13,F13)</f>
        <v/>
      </c>
      <c r="I13" t="n">
        <v>0</v>
      </c>
      <c r="J13" t="n">
        <v>0</v>
      </c>
      <c r="K13" t="n">
        <v>0</v>
      </c>
      <c r="L13" s="5" t="inlineStr"/>
      <c r="M13" s="5" t="n"/>
    </row>
    <row r="14">
      <c r="A14" t="inlineStr">
        <is>
          <t>YX-EMP-07</t>
        </is>
      </c>
      <c r="B14" t="inlineStr">
        <is>
          <t>M01</t>
        </is>
      </c>
      <c r="C14" t="inlineStr">
        <is>
          <t>YX-EMP</t>
        </is>
      </c>
      <c r="D14" t="inlineStr">
        <is>
          <t>2</t>
        </is>
      </c>
      <c r="E14" s="5" t="inlineStr">
        <is>
          <t>An assignment with host fields takes its holiday calendar, PT state and geofence from the host location for the assignment's dates while the home entity stays the employer; a recharge flag lists it in the recharge report. Bulk restructures use one wizard with YX-ORG-17 options as editable defaults; an entity is closed only when it has no active employments and its last payroll period is locked.</t>
        </is>
      </c>
      <c r="F14" t="inlineStr">
        <is>
          <t>In progress</t>
        </is>
      </c>
      <c r="H14">
        <f>IF(G14&lt;&gt;"",G14,F14)</f>
        <v/>
      </c>
      <c r="I14" t="n">
        <v>0</v>
      </c>
      <c r="J14" t="n">
        <v>0</v>
      </c>
      <c r="K14" t="n">
        <v>0</v>
      </c>
      <c r="L14" s="5" t="inlineStr"/>
      <c r="M14" s="5" t="n"/>
    </row>
    <row r="15">
      <c r="A15" t="inlineStr">
        <is>
          <t>YX-EMP-08</t>
        </is>
      </c>
      <c r="B15" t="inlineStr">
        <is>
          <t>M01</t>
        </is>
      </c>
      <c r="C15" t="inlineStr">
        <is>
          <t>YX-EMP</t>
        </is>
      </c>
      <c r="D15" t="inlineStr">
        <is>
          <t>2</t>
        </is>
      </c>
      <c r="E15" s="5" t="inlineStr">
        <is>
          <t>Every inter-entity transfer opens a continuity checklist (UAN transfer, ESI IP, Form 12B into the new entity, declarations / proofs, loans re-parented when "no F&amp;F", leave-ledger transfer entries, gratuity exemption carried across payouts); open items are visible on the change and in M03 pre-flight.</t>
        </is>
      </c>
      <c r="F15" t="inlineStr">
        <is>
          <t>In progress</t>
        </is>
      </c>
      <c r="H15">
        <f>IF(G15&lt;&gt;"",G15,F15)</f>
        <v/>
      </c>
      <c r="I15" t="n">
        <v>0</v>
      </c>
      <c r="J15" t="n">
        <v>0</v>
      </c>
      <c r="K15" t="n">
        <v>0</v>
      </c>
      <c r="L15" s="5" t="inlineStr"/>
      <c r="M15" s="5" t="n"/>
    </row>
    <row r="16">
      <c r="A16" t="inlineStr">
        <is>
          <t>YX-EMP-09</t>
        </is>
      </c>
      <c r="B16" t="inlineStr">
        <is>
          <t>M01</t>
        </is>
      </c>
      <c r="C16" t="inlineStr">
        <is>
          <t>YX-EMP</t>
        </is>
      </c>
      <c r="D16" t="inlineStr">
        <is>
          <t>2</t>
        </is>
      </c>
      <c r="E16" s="5" t="inlineStr">
        <is>
          <t>Positions (B16): in position-based mode every assignment references a position of the same entity; the sum of incumbents' FTE never exceeds the position's FTE (job-share allowed); creating, re-grading or closing a position is a P03 request; a position becomes vacant on its incumbent's exit or transfer and "Open requisition" on a vacant / approved position creates an M10 requisition linked to it and its plan line; in job-based mode (starter) positions are optional and nothing is blocked.</t>
        </is>
      </c>
      <c r="F16" t="inlineStr">
        <is>
          <t>In progress</t>
        </is>
      </c>
      <c r="H16">
        <f>IF(G16&lt;&gt;"",G16,F16)</f>
        <v/>
      </c>
      <c r="I16" t="n">
        <v>0</v>
      </c>
      <c r="J16" t="n">
        <v>0</v>
      </c>
      <c r="K16" t="n">
        <v>0</v>
      </c>
      <c r="L16" s="5" t="inlineStr"/>
      <c r="M16" s="5" t="n"/>
    </row>
    <row r="17">
      <c r="A17" t="inlineStr">
        <is>
          <t>YX-EMP-10</t>
        </is>
      </c>
      <c r="B17" t="inlineStr">
        <is>
          <t>M01</t>
        </is>
      </c>
      <c r="C17" t="inlineStr">
        <is>
          <t>YX-EMP</t>
        </is>
      </c>
      <c r="D17" t="inlineStr">
        <is>
          <t>2</t>
        </is>
      </c>
      <c r="E17" s="5" t="inlineStr">
        <is>
          <t>Workforce scenarios (B16): a scenario never changes live data; its forecast = current headcount and cost ± planned changes, reduced by the scenario's attrition rate per department with backfill lag; costs use M03 compensation and employer contributions (new hires at band midpoint); only an approved scenario (P03) creates positions / M10 headcount-plan lines; scenarios are Confidential (HR, finance, leadership).</t>
        </is>
      </c>
      <c r="F17" t="inlineStr">
        <is>
          <t>In progress</t>
        </is>
      </c>
      <c r="H17">
        <f>IF(G17&lt;&gt;"",G17,F17)</f>
        <v/>
      </c>
      <c r="I17" t="n">
        <v>0</v>
      </c>
      <c r="J17" t="n">
        <v>0</v>
      </c>
      <c r="K17" t="n">
        <v>0</v>
      </c>
      <c r="L17" s="5" t="inlineStr"/>
      <c r="M17" s="5" t="n"/>
    </row>
    <row r="18">
      <c r="A18" t="inlineStr">
        <is>
          <t>YX-EMP-11</t>
        </is>
      </c>
      <c r="B18" t="inlineStr">
        <is>
          <t>M01</t>
        </is>
      </c>
      <c r="C18" t="inlineStr">
        <is>
          <t>YX-EMP</t>
        </is>
      </c>
      <c r="D18" t="inlineStr">
        <is>
          <t>2</t>
        </is>
      </c>
      <c r="E18" s="5" t="inlineStr">
        <is>
          <t>Career paths &amp; IDPs (B16) — owned by M06. Rules are YX-PERF-14 (IDP) and YX-PERF-15 (career paths); M01 only displays them (Me › Career, succession view) and never keeps its own copy.</t>
        </is>
      </c>
      <c r="F18" t="inlineStr">
        <is>
          <t>In progress</t>
        </is>
      </c>
      <c r="H18">
        <f>IF(G18&lt;&gt;"",G18,F18)</f>
        <v/>
      </c>
      <c r="I18" t="n">
        <v>0</v>
      </c>
      <c r="J18" t="n">
        <v>0</v>
      </c>
      <c r="K18" t="n">
        <v>0</v>
      </c>
      <c r="L18" s="5" t="inlineStr"/>
      <c r="M18" s="5" t="n"/>
    </row>
    <row r="19">
      <c r="A19" t="inlineStr">
        <is>
          <t>YX-EMP-12</t>
        </is>
      </c>
      <c r="B19" t="inlineStr">
        <is>
          <t>M01</t>
        </is>
      </c>
      <c r="C19" t="inlineStr">
        <is>
          <t>YX-EMP</t>
        </is>
      </c>
      <c r="D19" t="inlineStr">
        <is>
          <t>2</t>
        </is>
      </c>
      <c r="E19" s="5" t="inlineStr">
        <is>
          <t>Attrition-risk signal (B16) — owned by M06. Rules are YX-PERF-17 (HR only, advisory, never read by any workflow, approval, rating, pay, notification or selection step). M01 workforce scenarios (YX-EMP-10) use only the aggregate P09 attrition rate, never individual bands.</t>
        </is>
      </c>
      <c r="F19" t="inlineStr">
        <is>
          <t>In progress</t>
        </is>
      </c>
      <c r="H19">
        <f>IF(G19&lt;&gt;"",G19,F19)</f>
        <v/>
      </c>
      <c r="I19" t="n">
        <v>0</v>
      </c>
      <c r="J19" t="n">
        <v>0</v>
      </c>
      <c r="K19" t="n">
        <v>0</v>
      </c>
      <c r="L19" s="5" t="inlineStr"/>
      <c r="M19" s="5" t="n"/>
    </row>
    <row r="20">
      <c r="A20" t="inlineStr">
        <is>
          <t>YX-EMP-13</t>
        </is>
      </c>
      <c r="B20" t="inlineStr">
        <is>
          <t>M01</t>
        </is>
      </c>
      <c r="C20" t="inlineStr">
        <is>
          <t>YX-EMP</t>
        </is>
      </c>
      <c r="D20" t="inlineStr">
        <is>
          <t>2</t>
        </is>
      </c>
      <c r="E20" s="5" t="inlineStr">
        <is>
          <t>Annual health check-up (C1): where P07 IN.OSH prescribes it, eligible workers (currently aged 40+) are listed yearly per establishment, get a scheduling task and a free check-up record; outcomes and reports are Special class (P02), hidden from managers (who see scheduled / done only), and nothing is charged to the employee.</t>
        </is>
      </c>
      <c r="F20" t="inlineStr">
        <is>
          <t>In progress</t>
        </is>
      </c>
      <c r="H20">
        <f>IF(G20&lt;&gt;"",G20,F20)</f>
        <v/>
      </c>
      <c r="I20" t="n">
        <v>0</v>
      </c>
      <c r="J20" t="n">
        <v>0</v>
      </c>
      <c r="K20" t="n">
        <v>0</v>
      </c>
      <c r="L20" s="5" t="inlineStr"/>
      <c r="M20" s="5" t="n"/>
    </row>
    <row r="21">
      <c r="A21" t="inlineStr">
        <is>
          <t>YX-EMP-14</t>
        </is>
      </c>
      <c r="B21" t="inlineStr">
        <is>
          <t>M01</t>
        </is>
      </c>
      <c r="C21" t="inlineStr">
        <is>
          <t>YX-EMP</t>
        </is>
      </c>
      <c r="D21" t="inlineStr">
        <is>
          <t>2</t>
        </is>
      </c>
      <c r="E21" s="5" t="inlineStr">
        <is>
          <t>Disability declaration (R8). Disability status is voluntary and recorded only with explicit, withdrawable consent; it is Special class (P02): never shown to the manager, used by payroll only as the ESI PwD ceiling flag (P07 IN.ESI), and reported only in aggregate with small-cell suppression; the equal-opportunity policy (M08, starter template) is linked from the declaration. Withdrawal hides the data from all but the audit trail within the retention rule.</t>
        </is>
      </c>
      <c r="F21" t="inlineStr">
        <is>
          <t>In progress</t>
        </is>
      </c>
      <c r="H21">
        <f>IF(G21&lt;&gt;"",G21,F21)</f>
        <v/>
      </c>
      <c r="I21" t="n">
        <v>0</v>
      </c>
      <c r="J21" t="n">
        <v>0</v>
      </c>
      <c r="K21" t="n">
        <v>0</v>
      </c>
      <c r="L21" s="5" t="inlineStr"/>
      <c r="M21" s="5" t="n"/>
    </row>
    <row r="22">
      <c r="A22" t="inlineStr">
        <is>
          <t>YX-EMP-15</t>
        </is>
      </c>
      <c r="B22" t="inlineStr">
        <is>
          <t>M01</t>
        </is>
      </c>
      <c r="C22" t="inlineStr">
        <is>
          <t>YX-EMP</t>
        </is>
      </c>
      <c r="D22" t="inlineStr">
        <is>
          <t>2</t>
        </is>
      </c>
      <c r="E22" s="5" t="inlineStr">
        <is>
          <t>Union register and membership (J4). Unions, their recognition (basis and dates, per IR Code negotiating-union rules, verify) and dated employee memberships with check-off consent are kept per legal entity / establishment; membership is Confidential (P02: HR-IR role and payroll for dues only), never used by other modules; lay-off, strike and lockout days from M02 (YX-AT-27) appear on the employee timeline.</t>
        </is>
      </c>
      <c r="F22" t="inlineStr">
        <is>
          <t>In progress</t>
        </is>
      </c>
      <c r="H22">
        <f>IF(G22&lt;&gt;"",G22,F22)</f>
        <v/>
      </c>
      <c r="I22" t="n">
        <v>0</v>
      </c>
      <c r="J22" t="n">
        <v>0</v>
      </c>
      <c r="K22" t="n">
        <v>0</v>
      </c>
      <c r="L22" s="5" t="inlineStr"/>
      <c r="M22" s="5" t="n"/>
    </row>
    <row r="23">
      <c r="A23" t="inlineStr">
        <is>
          <t>YX-EMP-16</t>
        </is>
      </c>
      <c r="B23" t="inlineStr">
        <is>
          <t>M01</t>
        </is>
      </c>
      <c r="C23" t="inlineStr">
        <is>
          <t>YX-EMP</t>
        </is>
      </c>
      <c r="D23" t="inlineStr">
        <is>
          <t>2</t>
        </is>
      </c>
      <c r="E23" s="5" t="inlineStr">
        <is>
          <t>Periodic re-verification (V11, T22). Re-verification runs only per a company rule (periodic N years, role change into a sensitive role, client mandate), each cycle with fresh consent via the P10 BGV connector; results are Confidential (adverse findings Special), open an HR review task, and never trigger an automatic status change.</t>
        </is>
      </c>
      <c r="F23" t="inlineStr">
        <is>
          <t>In progress</t>
        </is>
      </c>
      <c r="H23">
        <f>IF(G23&lt;&gt;"",G23,F23)</f>
        <v/>
      </c>
      <c r="I23" t="n">
        <v>0</v>
      </c>
      <c r="J23" t="n">
        <v>0</v>
      </c>
      <c r="K23" t="n">
        <v>1</v>
      </c>
      <c r="L23" s="5" t="inlineStr"/>
      <c r="M23" s="5" t="n"/>
    </row>
    <row r="24">
      <c r="A24" t="inlineStr">
        <is>
          <t>YX-EMP-17</t>
        </is>
      </c>
      <c r="B24" t="inlineStr">
        <is>
          <t>M01</t>
        </is>
      </c>
      <c r="C24" t="inlineStr">
        <is>
          <t>YX-EMP</t>
        </is>
      </c>
      <c r="D24" t="inlineStr">
        <is>
          <t>2</t>
        </is>
      </c>
      <c r="E24" s="5" t="inlineStr">
        <is>
          <t>Regulated declarations (V12). With the BFSI pack on, designated roles submit fit-and-proper / KMP declarations yearly and on change, and every employee attests the current code-of-conduct version yearly (OTP, M08 YX-POL-02); due dates and escalations follow the company calendar (D17) over the regulator's minimum (verify); records are Confidential to the compliance officer.</t>
        </is>
      </c>
      <c r="F24" t="inlineStr">
        <is>
          <t>In progress</t>
        </is>
      </c>
      <c r="H24">
        <f>IF(G24&lt;&gt;"",G24,F24)</f>
        <v/>
      </c>
      <c r="I24" t="n">
        <v>0</v>
      </c>
      <c r="J24" t="n">
        <v>0</v>
      </c>
      <c r="K24" t="n">
        <v>0</v>
      </c>
      <c r="L24" s="5" t="inlineStr"/>
      <c r="M24" s="5" t="n"/>
    </row>
    <row r="25">
      <c r="A25" t="inlineStr">
        <is>
          <t>YX-EMP-18</t>
        </is>
      </c>
      <c r="B25" t="inlineStr">
        <is>
          <t>M01</t>
        </is>
      </c>
      <c r="C25" t="inlineStr">
        <is>
          <t>YX-EMP</t>
        </is>
      </c>
      <c r="D25" t="inlineStr">
        <is>
          <t>2</t>
        </is>
      </c>
      <c r="E25" s="5" t="inlineStr">
        <is>
          <t>Insider-trading designated persons (V12). Designated persons (SEBI PIT Regulations 2015, verify) file holdings and relatives disclosures on designation and yearly, and need pre-clearance for trades above the company threshold; a pre-clearance is valid for the company's window (starter 7 trading days, verify) and blocked during a trading-window closure; the trade is reported back and late / missing reports alert the compliance officer.</t>
        </is>
      </c>
      <c r="F25" t="inlineStr">
        <is>
          <t>In progress</t>
        </is>
      </c>
      <c r="H25">
        <f>IF(G25&lt;&gt;"",G25,F25)</f>
        <v/>
      </c>
      <c r="I25" t="n">
        <v>0</v>
      </c>
      <c r="J25" t="n">
        <v>0</v>
      </c>
      <c r="K25" t="n">
        <v>1</v>
      </c>
      <c r="L25" s="5" t="inlineStr"/>
      <c r="M25" s="5" t="n"/>
    </row>
    <row r="26">
      <c r="A26" t="inlineStr">
        <is>
          <t>YX-LC-01</t>
        </is>
      </c>
      <c r="B26" t="inlineStr">
        <is>
          <t>M01</t>
        </is>
      </c>
      <c r="C26" t="inlineStr">
        <is>
          <t>YX-LC</t>
        </is>
      </c>
      <c r="D26" t="inlineStr">
        <is>
          <t>2</t>
        </is>
      </c>
      <c r="E26" s="5" t="inlineStr">
        <is>
          <t>Probation reviews are created N days before the end; unresolved reviews escalate to HR on the end date; no auto-confirmation unless the tenant enables it.</t>
        </is>
      </c>
      <c r="F26" t="inlineStr">
        <is>
          <t>Built, no test cites it</t>
        </is>
      </c>
      <c r="H26">
        <f>IF(G26&lt;&gt;"",G26,F26)</f>
        <v/>
      </c>
      <c r="I26" t="n">
        <v>2</v>
      </c>
      <c r="J26" t="n">
        <v>0</v>
      </c>
      <c r="K26" t="n">
        <v>1</v>
      </c>
      <c r="L26" s="5" t="inlineStr">
        <is>
          <t>exam-app-org:apps/api/src/jobs/scheduled-sweeps.queue.ts
exam-app-org:apps/api/src/jobs/scheduled-sweeps.worker.service.ts</t>
        </is>
      </c>
      <c r="M26" s="5" t="n"/>
    </row>
    <row r="27">
      <c r="A27" t="inlineStr">
        <is>
          <t>YX-LC-02</t>
        </is>
      </c>
      <c r="B27" t="inlineStr">
        <is>
          <t>M01</t>
        </is>
      </c>
      <c r="C27" t="inlineStr">
        <is>
          <t>YX-LC</t>
        </is>
      </c>
      <c r="D27" t="inlineStr">
        <is>
          <t>2</t>
        </is>
      </c>
      <c r="E27" s="5" t="inlineStr">
        <is>
          <t>Onboarding and offboarding tasks use relative due dates (negative allowed), named owners and SLA reminders; progress is shown on the employee record.</t>
        </is>
      </c>
      <c r="F27" t="inlineStr">
        <is>
          <t>In progress</t>
        </is>
      </c>
      <c r="H27">
        <f>IF(G27&lt;&gt;"",G27,F27)</f>
        <v/>
      </c>
      <c r="I27" t="n">
        <v>0</v>
      </c>
      <c r="J27" t="n">
        <v>0</v>
      </c>
      <c r="K27" t="n">
        <v>1</v>
      </c>
      <c r="L27" s="5" t="inlineStr"/>
      <c r="M27" s="5" t="n"/>
    </row>
    <row r="28">
      <c r="A28" t="inlineStr">
        <is>
          <t>YX-LC-03</t>
        </is>
      </c>
      <c r="B28" t="inlineStr">
        <is>
          <t>M01</t>
        </is>
      </c>
      <c r="C28" t="inlineStr">
        <is>
          <t>YX-LC</t>
        </is>
      </c>
      <c r="D28" t="inlineStr">
        <is>
          <t>2</t>
        </is>
      </c>
      <c r="E28" s="5" t="inlineStr">
        <is>
          <t>Pre-boarding data becomes employee data on joining without re-entry; unverified mandatory documents are flagged in payroll pre-flight (P05 YX-DOC-17).</t>
        </is>
      </c>
      <c r="F28" t="inlineStr">
        <is>
          <t>In progress</t>
        </is>
      </c>
      <c r="H28">
        <f>IF(G28&lt;&gt;"",G28,F28)</f>
        <v/>
      </c>
      <c r="I28" t="n">
        <v>0</v>
      </c>
      <c r="J28" t="n">
        <v>0</v>
      </c>
      <c r="K28" t="n">
        <v>0</v>
      </c>
      <c r="L28" s="5" t="inlineStr"/>
      <c r="M28" s="5" t="n"/>
    </row>
    <row r="29">
      <c r="A29" t="inlineStr">
        <is>
          <t>YX-LC-04</t>
        </is>
      </c>
      <c r="B29" t="inlineStr">
        <is>
          <t>M01</t>
        </is>
      </c>
      <c r="C29" t="inlineStr">
        <is>
          <t>YX-LC</t>
        </is>
      </c>
      <c r="D29" t="inlineStr">
        <is>
          <t>2</t>
        </is>
      </c>
      <c r="E29" s="5" t="inlineStr">
        <is>
          <t>Resignation notice is computed from the policy valid on the submission date; early release, buy-out and withdrawal each require approval and are recorded on the exit case.</t>
        </is>
      </c>
      <c r="F29" t="inlineStr">
        <is>
          <t>In progress</t>
        </is>
      </c>
      <c r="H29">
        <f>IF(G29&lt;&gt;"",G29,F29)</f>
        <v/>
      </c>
      <c r="I29" t="n">
        <v>0</v>
      </c>
      <c r="J29" t="n">
        <v>0</v>
      </c>
      <c r="K29" t="n">
        <v>2</v>
      </c>
      <c r="L29" s="5" t="inlineStr"/>
      <c r="M29" s="5" t="n"/>
    </row>
    <row r="30">
      <c r="A30" t="inlineStr">
        <is>
          <t>YX-LC-05</t>
        </is>
      </c>
      <c r="B30" t="inlineStr">
        <is>
          <t>M01</t>
        </is>
      </c>
      <c r="C30" t="inlineStr">
        <is>
          <t>YX-LC</t>
        </is>
      </c>
      <c r="D30" t="inlineStr">
        <is>
          <t>2</t>
        </is>
      </c>
      <c r="E30" s="5" t="inlineStr">
        <is>
          <t>On the last working day: access converts to alumni, implicit grants end, open approvals are reassigned and pending onboarding/exit tasks are escalated.</t>
        </is>
      </c>
      <c r="F30" t="inlineStr">
        <is>
          <t>In progress</t>
        </is>
      </c>
      <c r="H30">
        <f>IF(G30&lt;&gt;"",G30,F30)</f>
        <v/>
      </c>
      <c r="I30" t="n">
        <v>0</v>
      </c>
      <c r="J30" t="n">
        <v>0</v>
      </c>
      <c r="K30" t="n">
        <v>0</v>
      </c>
      <c r="L30" s="5" t="inlineStr"/>
      <c r="M30" s="5" t="n"/>
    </row>
    <row r="31">
      <c r="A31" t="inlineStr">
        <is>
          <t>YX-LC-06</t>
        </is>
      </c>
      <c r="B31" t="inlineStr">
        <is>
          <t>M01</t>
        </is>
      </c>
      <c r="C31" t="inlineStr">
        <is>
          <t>YX-LC</t>
        </is>
      </c>
      <c r="D31" t="inlineStr">
        <is>
          <t>2</t>
        </is>
      </c>
      <c r="E31" s="5" t="inlineStr">
        <is>
          <t>F&amp;F is calculated (not just tracked): final salary, encashment, bonus, gratuity, reimbursements, arrears, notice pay in lieu minus notice shortfall, negative leave, expense advances (M05 Q6), salary advances / loans (M03 Q4), assets, training-bond recovery (M07 Q5), joining / retention bonus clawback (M10 Q3), other, with TDS; every line is explained.</t>
        </is>
      </c>
      <c r="F31" t="inlineStr">
        <is>
          <t>In progress</t>
        </is>
      </c>
      <c r="H31">
        <f>IF(G31&lt;&gt;"",G31,F31)</f>
        <v/>
      </c>
      <c r="I31" t="n">
        <v>0</v>
      </c>
      <c r="J31" t="n">
        <v>0</v>
      </c>
      <c r="K31" t="n">
        <v>1</v>
      </c>
      <c r="L31" s="5" t="inlineStr"/>
      <c r="M31" s="5" t="n"/>
    </row>
    <row r="32">
      <c r="A32" t="inlineStr">
        <is>
          <t>YX-LC-07</t>
        </is>
      </c>
      <c r="B32" t="inlineStr">
        <is>
          <t>M01</t>
        </is>
      </c>
      <c r="C32" t="inlineStr">
        <is>
          <t>YX-LC</t>
        </is>
      </c>
      <c r="D32" t="inlineStr">
        <is>
          <t>2</t>
        </is>
      </c>
      <c r="E32" s="5" t="inlineStr">
        <is>
          <t>Open expense advances (M05 Q6), salary advances / loans (M03 Q4), unreturned assets, negative leave balances, confirmed training-bond recoveries (M07 Q5) and bonus clawbacks (M10 Q3) are pulled into the F&amp;F automatically and refreshed until the F&amp;F is approved (fixes U65).</t>
        </is>
      </c>
      <c r="F32" t="inlineStr">
        <is>
          <t>In progress</t>
        </is>
      </c>
      <c r="H32">
        <f>IF(G32&lt;&gt;"",G32,F32)</f>
        <v/>
      </c>
      <c r="I32" t="n">
        <v>0</v>
      </c>
      <c r="J32" t="n">
        <v>0</v>
      </c>
      <c r="K32" t="n">
        <v>1</v>
      </c>
      <c r="L32" s="5" t="inlineStr"/>
      <c r="M32" s="5" t="n"/>
    </row>
    <row r="33">
      <c r="A33" t="inlineStr">
        <is>
          <t>YX-LC-08</t>
        </is>
      </c>
      <c r="B33" t="inlineStr">
        <is>
          <t>M01</t>
        </is>
      </c>
      <c r="C33" t="inlineStr">
        <is>
          <t>YX-LC</t>
        </is>
      </c>
      <c r="D33" t="inlineStr">
        <is>
          <t>2</t>
        </is>
      </c>
      <c r="E33" s="5" t="inlineStr">
        <is>
          <t>F&amp;F due dates follow the legal deadline: wages due on exit are paid within 2 working days of the LWD for every exit type (P07 IN.WAGES-CODE, from 21 Nov 2025) and other dues by their own P07 deadlines; holds, open clearance and missing payee details never move the due date (wage lines may be paid in a first F&amp;F run); overdue settlements are flagged to HR/Payroll. *(Amended by Correction C1.)*</t>
        </is>
      </c>
      <c r="F33" t="inlineStr">
        <is>
          <t>In progress</t>
        </is>
      </c>
      <c r="H33">
        <f>IF(G33&lt;&gt;"",G33,F33)</f>
        <v/>
      </c>
      <c r="I33" t="n">
        <v>0</v>
      </c>
      <c r="J33" t="n">
        <v>0</v>
      </c>
      <c r="K33" t="n">
        <v>2</v>
      </c>
      <c r="L33" s="5" t="inlineStr"/>
      <c r="M33" s="5" t="n"/>
    </row>
    <row r="34">
      <c r="A34" t="inlineStr">
        <is>
          <t>YX-LC-09</t>
        </is>
      </c>
      <c r="B34" t="inlineStr">
        <is>
          <t>M01</t>
        </is>
      </c>
      <c r="C34" t="inlineStr">
        <is>
          <t>YX-LC</t>
        </is>
      </c>
      <c r="D34" t="inlineStr">
        <is>
          <t>2</t>
        </is>
      </c>
      <c r="E34" s="5" t="inlineStr">
        <is>
          <t>Exit interview answers marked confidential are visible only to HR roles, never to the leaver's manager.</t>
        </is>
      </c>
      <c r="F34" t="inlineStr">
        <is>
          <t>In progress</t>
        </is>
      </c>
      <c r="H34">
        <f>IF(G34&lt;&gt;"",G34,F34)</f>
        <v/>
      </c>
      <c r="I34" t="n">
        <v>0</v>
      </c>
      <c r="J34" t="n">
        <v>0</v>
      </c>
      <c r="K34" t="n">
        <v>0</v>
      </c>
      <c r="L34" s="5" t="inlineStr"/>
      <c r="M34" s="5" t="n"/>
    </row>
    <row r="35">
      <c r="A35" t="inlineStr">
        <is>
          <t>YX-LC-10</t>
        </is>
      </c>
      <c r="B35" t="inlineStr">
        <is>
          <t>M01</t>
        </is>
      </c>
      <c r="C35" t="inlineStr">
        <is>
          <t>YX-LC</t>
        </is>
      </c>
      <c r="D35" t="inlineStr">
        <is>
          <t>2</t>
        </is>
      </c>
      <c r="E35" s="5" t="inlineStr">
        <is>
          <t>Rehire-eligibility flags are HR-only and surface when the person reappears in the ATS.</t>
        </is>
      </c>
      <c r="F35" t="inlineStr">
        <is>
          <t>In progress</t>
        </is>
      </c>
      <c r="H35">
        <f>IF(G35&lt;&gt;"",G35,F35)</f>
        <v/>
      </c>
      <c r="I35" t="n">
        <v>0</v>
      </c>
      <c r="J35" t="n">
        <v>0</v>
      </c>
      <c r="K35" t="n">
        <v>0</v>
      </c>
      <c r="L35" s="5" t="inlineStr"/>
      <c r="M35" s="5" t="n"/>
    </row>
    <row r="36">
      <c r="A36" t="inlineStr">
        <is>
          <t>YX-LC-11</t>
        </is>
      </c>
      <c r="B36" t="inlineStr">
        <is>
          <t>M01</t>
        </is>
      </c>
      <c r="C36" t="inlineStr">
        <is>
          <t>YX-LC</t>
        </is>
      </c>
      <c r="D36" t="inlineStr">
        <is>
          <t>2</t>
        </is>
      </c>
      <c r="E36" s="5" t="inlineStr">
        <is>
          <t>Onboarding branches by person type (M10 hand-off matrix): a new person gets a new employee record; an ex-employee rehire gets a new employment on the existing record (rehire_of, P01 YX-ORG-19 continuity options, pre-filled from the old record); an internal move is a P06 transfer / promotion effective on a release date agreed with the current manager, never an onboarding; a contractor conversion is a P06 employment-type change. Amended 28 Sep 2026 (J15): the person type is decided from the P01 person record (YX-ORG-26 / 27), not from the offer or name.</t>
        </is>
      </c>
      <c r="F36" t="inlineStr">
        <is>
          <t>In progress</t>
        </is>
      </c>
      <c r="H36">
        <f>IF(G36&lt;&gt;"",G36,F36)</f>
        <v/>
      </c>
      <c r="I36" t="n">
        <v>0</v>
      </c>
      <c r="J36" t="n">
        <v>0</v>
      </c>
      <c r="K36" t="n">
        <v>0</v>
      </c>
      <c r="L36" s="5" t="inlineStr"/>
      <c r="M36" s="5" t="n"/>
    </row>
    <row r="37">
      <c r="A37" t="inlineStr">
        <is>
          <t>YX-LC-12</t>
        </is>
      </c>
      <c r="B37" t="inlineStr">
        <is>
          <t>M01</t>
        </is>
      </c>
      <c r="C37" t="inlineStr">
        <is>
          <t>YX-LC</t>
        </is>
      </c>
      <c r="D37" t="inlineStr">
        <is>
          <t>2</t>
        </is>
      </c>
      <c r="E37" s="5" t="inlineStr">
        <is>
          <t>A pre-boarder who did not join, reneged or whose offer was withdrawn after acceptance (manual, reason mandatory, withdrawal letter) is unwound in one audited action: employee, employment, draft compensation and pre-boarding login are cancelled (kept, not deleted), the M10 headcount-plan slot is released and the requisition reopened, and the candidate is marked reneged / withdrawn. Pre-boarders are never counted as active employees for billing.</t>
        </is>
      </c>
      <c r="F37" t="inlineStr">
        <is>
          <t>In progress</t>
        </is>
      </c>
      <c r="H37">
        <f>IF(G37&lt;&gt;"",G37,F37)</f>
        <v/>
      </c>
      <c r="I37" t="n">
        <v>0</v>
      </c>
      <c r="J37" t="n">
        <v>0</v>
      </c>
      <c r="K37" t="n">
        <v>0</v>
      </c>
      <c r="L37" s="5" t="inlineStr"/>
      <c r="M37" s="5" t="n"/>
    </row>
    <row r="38">
      <c r="A38" t="inlineStr">
        <is>
          <t>YX-LC-13</t>
        </is>
      </c>
      <c r="B38" t="inlineStr">
        <is>
          <t>M01</t>
        </is>
      </c>
      <c r="C38" t="inlineStr">
        <is>
          <t>YX-LC</t>
        </is>
      </c>
      <c r="D38" t="inlineStr">
        <is>
          <t>2</t>
        </is>
      </c>
      <c r="E38" s="5" t="inlineStr">
        <is>
          <t>Changing a pre-boarder's joining date re-anchors the journey: every open task's due date, the draft compensation, the assignment start and the probation dates move with the new joining date; completed tasks are untouched.</t>
        </is>
      </c>
      <c r="F38" t="inlineStr">
        <is>
          <t>In progress</t>
        </is>
      </c>
      <c r="H38">
        <f>IF(G38&lt;&gt;"",G38,F38)</f>
        <v/>
      </c>
      <c r="I38" t="n">
        <v>0</v>
      </c>
      <c r="J38" t="n">
        <v>0</v>
      </c>
      <c r="K38" t="n">
        <v>1</v>
      </c>
      <c r="L38" s="5" t="inlineStr"/>
      <c r="M38" s="5" t="n"/>
    </row>
    <row r="39">
      <c r="A39" t="inlineStr">
        <is>
          <t>YX-LC-14</t>
        </is>
      </c>
      <c r="B39" t="inlineStr">
        <is>
          <t>M01</t>
        </is>
      </c>
      <c r="C39" t="inlineStr">
        <is>
          <t>YX-LC</t>
        </is>
      </c>
      <c r="D39" t="inlineStr">
        <is>
          <t>2</t>
        </is>
      </c>
      <c r="E39" s="5" t="inlineStr">
        <is>
          <t>Every module that holds access, assignments or ownership for a person registers an employment.exited handler (and an LWD-approaching handler where the action must run while the person is active); the exit case shows each handler's deprovisioning status, and failed handlers retry and alert HR.</t>
        </is>
      </c>
      <c r="F39" t="inlineStr">
        <is>
          <t>In progress</t>
        </is>
      </c>
      <c r="H39">
        <f>IF(G39&lt;&gt;"",G39,F39)</f>
        <v/>
      </c>
      <c r="I39" t="n">
        <v>0</v>
      </c>
      <c r="J39" t="n">
        <v>0</v>
      </c>
      <c r="K39" t="n">
        <v>0</v>
      </c>
      <c r="L39" s="5" t="inlineStr"/>
      <c r="M39" s="5" t="n"/>
    </row>
    <row r="40">
      <c r="A40" t="inlineStr">
        <is>
          <t>YX-LC-15</t>
        </is>
      </c>
      <c r="B40" t="inlineStr">
        <is>
          <t>M01</t>
        </is>
      </c>
      <c r="C40" t="inlineStr">
        <is>
          <t>YX-LC</t>
        </is>
      </c>
      <c r="D40" t="inlineStr">
        <is>
          <t>2</t>
        </is>
      </c>
      <c r="E40" s="5" t="inlineStr">
        <is>
          <t>An exit case with backfill_requested opens a replacement requisition in M10 linked to the exit, reusing the leaver's headcount-plan line; without it, the line is released back to the plan N days after the LWD.</t>
        </is>
      </c>
      <c r="F40" t="inlineStr">
        <is>
          <t>In progress</t>
        </is>
      </c>
      <c r="H40">
        <f>IF(G40&lt;&gt;"",G40,F40)</f>
        <v/>
      </c>
      <c r="I40" t="n">
        <v>0</v>
      </c>
      <c r="J40" t="n">
        <v>0</v>
      </c>
      <c r="K40" t="n">
        <v>0</v>
      </c>
      <c r="L40" s="5" t="inlineStr"/>
      <c r="M40" s="5" t="n"/>
    </row>
    <row r="41">
      <c r="A41" t="inlineStr">
        <is>
          <t>YX-LC-16</t>
        </is>
      </c>
      <c r="B41" t="inlineStr">
        <is>
          <t>M01</t>
        </is>
      </c>
      <c r="C41" t="inlineStr">
        <is>
          <t>YX-LC</t>
        </is>
      </c>
      <c r="D41" t="inlineStr">
        <is>
          <t>2</t>
        </is>
      </c>
      <c r="E41" s="5" t="inlineStr">
        <is>
          <t>A death-in-service exit revokes all access at once, has no exit interview or employee sign-off, and pays the F&amp;F to nominees per employee_nominations shares (legal heirs with succession documents when there is no valid nomination), each to a verified bank account; gratuity ignores the 5-year condition, leave encashment goes to the nominee, tax follows P07 heir treatment, Form 16 and all letters go to the heir / next of kin, and nominees get limited document access. The company's optional support policy (ex-gratia, salary continuation, insurance hand-off, contact person) applies on top.</t>
        </is>
      </c>
      <c r="F41" t="inlineStr">
        <is>
          <t>In progress</t>
        </is>
      </c>
      <c r="H41">
        <f>IF(G41&lt;&gt;"",G41,F41)</f>
        <v/>
      </c>
      <c r="I41" t="n">
        <v>0</v>
      </c>
      <c r="J41" t="n">
        <v>0</v>
      </c>
      <c r="K41" t="n">
        <v>0</v>
      </c>
      <c r="L41" s="5" t="inlineStr"/>
      <c r="M41" s="5" t="n"/>
    </row>
    <row r="42">
      <c r="A42" t="inlineStr">
        <is>
          <t>YX-LC-17</t>
        </is>
      </c>
      <c r="B42" t="inlineStr">
        <is>
          <t>M01</t>
        </is>
      </c>
      <c r="C42" t="inlineStr">
        <is>
          <t>YX-LC</t>
        </is>
      </c>
      <c r="D42" t="inlineStr">
        <is>
          <t>2</t>
        </is>
      </c>
      <c r="E42" s="5" t="inlineStr">
        <is>
          <t>Unauthorised absence runs the company's absconding timeline (starter template: day 3 salary hold + alert, day 7 and day 14 notices by email and registered post, day 21 deemed abandonment with LWD = last day present); every step is audited, HR can stop or resume it at any time, and a deemed abandonment gives a recovery-only F&amp;F (net payable held, not forfeited) and a rehire-ineligible flag.</t>
        </is>
      </c>
      <c r="F42" t="inlineStr">
        <is>
          <t>In progress</t>
        </is>
      </c>
      <c r="H42">
        <f>IF(G42&lt;&gt;"",G42,F42)</f>
        <v/>
      </c>
      <c r="I42" t="n">
        <v>0</v>
      </c>
      <c r="J42" t="n">
        <v>0</v>
      </c>
      <c r="K42" t="n">
        <v>1</v>
      </c>
      <c r="L42" s="5" t="inlineStr"/>
      <c r="M42" s="5" t="n"/>
    </row>
    <row r="43">
      <c r="A43" t="inlineStr">
        <is>
          <t>YX-LC-18</t>
        </is>
      </c>
      <c r="B43" t="inlineStr">
        <is>
          <t>M01</t>
        </is>
      </c>
      <c r="C43" t="inlineStr">
        <is>
          <t>YX-LC</t>
        </is>
      </c>
      <c r="D43" t="inlineStr">
        <is>
          <t>2</t>
        </is>
      </c>
      <c r="E43" s="5" t="inlineStr">
        <is>
          <t>A rehire applies the company's rehire policy (code, UAN / PF, same-FY tax per PAN × TAN × FY, service, gratuity service, leave, probation skip, prior-record visibility) as defaults that HR may override per rehire with a reason; the starter template is fresh start with the same record, code and UAN.</t>
        </is>
      </c>
      <c r="F43" t="inlineStr">
        <is>
          <t>In progress</t>
        </is>
      </c>
      <c r="H43">
        <f>IF(G43&lt;&gt;"",G43,F43)</f>
        <v/>
      </c>
      <c r="I43" t="n">
        <v>0</v>
      </c>
      <c r="J43" t="n">
        <v>0</v>
      </c>
      <c r="K43" t="n">
        <v>1</v>
      </c>
      <c r="L43" s="5" t="inlineStr"/>
      <c r="M43" s="5" t="n"/>
    </row>
    <row r="44">
      <c r="A44" t="inlineStr">
        <is>
          <t>YX-LC-19</t>
        </is>
      </c>
      <c r="B44" t="inlineStr">
        <is>
          <t>M01</t>
        </is>
      </c>
      <c r="C44" t="inlineStr">
        <is>
          <t>YX-LC</t>
        </is>
      </c>
      <c r="D44" t="inlineStr">
        <is>
          <t>2</t>
        </is>
      </c>
      <c r="E44" s="5" t="inlineStr">
        <is>
          <t>Fixed-term, intern and apprentice employments carry contract_end_on; the company's contract-end policy per employment type sends reminders and then auto-exits, alerts for extension or converts; extension and conversion are dated changes. Statutory treatment per category comes from P07, never from M01.</t>
        </is>
      </c>
      <c r="F44" t="inlineStr">
        <is>
          <t>In progress</t>
        </is>
      </c>
      <c r="H44">
        <f>IF(G44&lt;&gt;"",G44,F44)</f>
        <v/>
      </c>
      <c r="I44" t="n">
        <v>0</v>
      </c>
      <c r="J44" t="n">
        <v>0</v>
      </c>
      <c r="K44" t="n">
        <v>0</v>
      </c>
      <c r="L44" s="5" t="inlineStr"/>
      <c r="M44" s="5" t="n"/>
    </row>
    <row r="45">
      <c r="A45" t="inlineStr">
        <is>
          <t>YX-LC-20</t>
        </is>
      </c>
      <c r="B45" t="inlineStr">
        <is>
          <t>M01</t>
        </is>
      </c>
      <c r="C45" t="inlineStr">
        <is>
          <t>YX-LC</t>
        </is>
      </c>
      <c r="D45" t="inlineStr">
        <is>
          <t>2</t>
        </is>
      </c>
      <c r="E45" s="5" t="inlineStr">
        <is>
          <t>The retirement date is computed from DOB and the company's retirement age per employment type / grade, with alerts at the policy lead times; extension is a dated change; re-employment is a fixed-term "retired re-employed" employment without probation or EPS; the exit triggers gratuity payout and the PF final-settlement checklist.</t>
        </is>
      </c>
      <c r="F45" t="inlineStr">
        <is>
          <t>In progress</t>
        </is>
      </c>
      <c r="H45">
        <f>IF(G45&lt;&gt;"",G45,F45)</f>
        <v/>
      </c>
      <c r="I45" t="n">
        <v>0</v>
      </c>
      <c r="J45" t="n">
        <v>0</v>
      </c>
      <c r="K45" t="n">
        <v>0</v>
      </c>
      <c r="L45" s="5" t="inlineStr"/>
      <c r="M45" s="5" t="n"/>
    </row>
    <row r="46">
      <c r="A46" t="inlineStr">
        <is>
          <t>YX-LC-21</t>
        </is>
      </c>
      <c r="B46" t="inlineStr">
        <is>
          <t>M01</t>
        </is>
      </c>
      <c r="C46" t="inlineStr">
        <is>
          <t>YX-LC</t>
        </is>
      </c>
      <c r="D46" t="inlineStr">
        <is>
          <t>2</t>
        </is>
      </c>
      <c r="E46" s="5" t="inlineStr">
        <is>
          <t>Leave during notice follows the company's per-leave-type notice policy (M02); an "extends LWD" leave moves the approved LWD and an allowed adjustment reduces the notice-shortfall F&amp;F line, each shown on the exit case.</t>
        </is>
      </c>
      <c r="F46" t="inlineStr">
        <is>
          <t>In progress</t>
        </is>
      </c>
      <c r="H46">
        <f>IF(G46&lt;&gt;"",G46,F46)</f>
        <v/>
      </c>
      <c r="I46" t="n">
        <v>0</v>
      </c>
      <c r="J46" t="n">
        <v>0</v>
      </c>
      <c r="K46" t="n">
        <v>0</v>
      </c>
      <c r="L46" s="5" t="inlineStr"/>
      <c r="M46" s="5" t="n"/>
    </row>
    <row r="47">
      <c r="A47" t="inlineStr">
        <is>
          <t>YX-LC-22</t>
        </is>
      </c>
      <c r="B47" t="inlineStr">
        <is>
          <t>M01</t>
        </is>
      </c>
      <c r="C47" t="inlineStr">
        <is>
          <t>YX-LC</t>
        </is>
      </c>
      <c r="D47" t="inlineStr">
        <is>
          <t>2</t>
        </is>
      </c>
      <c r="E47" s="5" t="inlineStr">
        <is>
          <t>Default onboarding templates include UAN generation / link, ESIC IP registration, Form 11 and Form 2; default offboarding templates include EPFO date of exit, ESIC exit, gratuity Form L within 15 days of payability and PF transfer / withdrawal attestation.</t>
        </is>
      </c>
      <c r="F47" t="inlineStr">
        <is>
          <t>In progress</t>
        </is>
      </c>
      <c r="H47">
        <f>IF(G47&lt;&gt;"",G47,F47)</f>
        <v/>
      </c>
      <c r="I47" t="n">
        <v>0</v>
      </c>
      <c r="J47" t="n">
        <v>0</v>
      </c>
      <c r="K47" t="n">
        <v>0</v>
      </c>
      <c r="L47" s="5" t="inlineStr"/>
      <c r="M47" s="5" t="n"/>
    </row>
    <row r="48">
      <c r="A48" t="inlineStr">
        <is>
          <t>YX-LC-23</t>
        </is>
      </c>
      <c r="B48" t="inlineStr">
        <is>
          <t>M01</t>
        </is>
      </c>
      <c r="C48" t="inlineStr">
        <is>
          <t>YX-LC</t>
        </is>
      </c>
      <c r="D48" t="inlineStr">
        <is>
          <t>2</t>
        </is>
      </c>
      <c r="E48" s="5" t="inlineStr">
        <is>
          <t>Opening an exit case checks for open POSH / disciplinary cases (as respondent) and PIPs and flags them to HR; the company's open-case policy may hold relieving / experience letters and / or the F&amp;F pending the outcome, but never beyond a legal deadline; the case continues after exit.</t>
        </is>
      </c>
      <c r="F48" t="inlineStr">
        <is>
          <t>In progress</t>
        </is>
      </c>
      <c r="H48">
        <f>IF(G48&lt;&gt;"",G48,F48)</f>
        <v/>
      </c>
      <c r="I48" t="n">
        <v>0</v>
      </c>
      <c r="J48" t="n">
        <v>0</v>
      </c>
      <c r="K48" t="n">
        <v>0</v>
      </c>
      <c r="L48" s="5" t="inlineStr"/>
      <c r="M48" s="5" t="n"/>
    </row>
    <row r="49">
      <c r="A49" t="inlineStr">
        <is>
          <t>YX-LC-24</t>
        </is>
      </c>
      <c r="B49" t="inlineStr">
        <is>
          <t>M01</t>
        </is>
      </c>
      <c r="C49" t="inlineStr">
        <is>
          <t>YX-LC</t>
        </is>
      </c>
      <c r="D49" t="inlineStr">
        <is>
          <t>2</t>
        </is>
      </c>
      <c r="E49" s="5" t="inlineStr">
        <is>
          <t>Pre-boarding may last months: pre-boarders are not billed, can be grouped in a batch whose joining-date change re-anchors every member, receive scheduled engagement touchpoints, and may receive an LOI before the formal offer.</t>
        </is>
      </c>
      <c r="F49" t="inlineStr">
        <is>
          <t>In progress</t>
        </is>
      </c>
      <c r="H49">
        <f>IF(G49&lt;&gt;"",G49,F49)</f>
        <v/>
      </c>
      <c r="I49" t="n">
        <v>0</v>
      </c>
      <c r="J49" t="n">
        <v>0</v>
      </c>
      <c r="K49" t="n">
        <v>1</v>
      </c>
      <c r="L49" s="5" t="inlineStr"/>
      <c r="M49" s="5" t="n"/>
    </row>
    <row r="50">
      <c r="A50" t="inlineStr">
        <is>
          <t>YX-LC-25</t>
        </is>
      </c>
      <c r="B50" t="inlineStr">
        <is>
          <t>M01</t>
        </is>
      </c>
      <c r="C50" t="inlineStr">
        <is>
          <t>YX-LC</t>
        </is>
      </c>
      <c r="D50" t="inlineStr">
        <is>
          <t>2</t>
        </is>
      </c>
      <c r="E50" s="5" t="inlineStr">
        <is>
          <t>Lifecycle policies that vary between companies (death support, absconding, rehire, contract end, retirement, sabbatical, leave during notice, open-case hold) are company settings seeded from a clearly labelled starter template; only legal rules (P07) are enforced, and a company may be more generous where the law allows (D17).</t>
        </is>
      </c>
      <c r="F50" t="inlineStr">
        <is>
          <t>In progress</t>
        </is>
      </c>
      <c r="H50">
        <f>IF(G50&lt;&gt;"",G50,F50)</f>
        <v/>
      </c>
      <c r="I50" t="n">
        <v>0</v>
      </c>
      <c r="J50" t="n">
        <v>0</v>
      </c>
      <c r="K50" t="n">
        <v>0</v>
      </c>
      <c r="L50" s="5" t="inlineStr"/>
      <c r="M50" s="5" t="n"/>
    </row>
    <row r="51">
      <c r="A51" t="inlineStr">
        <is>
          <t>YX-LC-26</t>
        </is>
      </c>
      <c r="B51" t="inlineStr">
        <is>
          <t>M01</t>
        </is>
      </c>
      <c r="C51" t="inlineStr">
        <is>
          <t>YX-LC</t>
        </is>
      </c>
      <c r="D51" t="inlineStr">
        <is>
          <t>2</t>
        </is>
      </c>
      <c r="E51" s="5" t="inlineStr">
        <is>
          <t>Appointment letter (C1): every employee, of every employment type, gets an issued P05 appointment letter; each onboarding template carries a non-removable HR task due by the joining date (or the P07 IN.OSH deadline), and a missing letter after the due date raises a compliance alert and an M03 pre-flight warning.</t>
        </is>
      </c>
      <c r="F51" t="inlineStr">
        <is>
          <t>In progress</t>
        </is>
      </c>
      <c r="H51">
        <f>IF(G51&lt;&gt;"",G51,F51)</f>
        <v/>
      </c>
      <c r="I51" t="n">
        <v>0</v>
      </c>
      <c r="J51" t="n">
        <v>0</v>
      </c>
      <c r="K51" t="n">
        <v>1</v>
      </c>
      <c r="L51" s="5" t="inlineStr"/>
      <c r="M51" s="5" t="n"/>
    </row>
    <row r="52">
      <c r="A52" t="inlineStr">
        <is>
          <t>YX-LC-27</t>
        </is>
      </c>
      <c r="B52" t="inlineStr">
        <is>
          <t>M01</t>
        </is>
      </c>
      <c r="C52" t="inlineStr">
        <is>
          <t>YX-LC</t>
        </is>
      </c>
      <c r="D52" t="inlineStr">
        <is>
          <t>2</t>
        </is>
      </c>
      <c r="E52" s="5" t="inlineStr">
        <is>
          <t>Retrenchment, lay-off, closure (C1): a retrenchment exit case records the selection basis and continuous service, gives notice per P07 IN.IR or wages in lieu, pays compensation of 15 days' average pay per completed year of continuous service, raises a Worker Re-skilling Fund payable of 15 days' last-drawn wages, and, where the establishment's worker count is at or above the IN.IR threshold (currently 300), cannot be approved until a government permission request is granted or deemed granted; lay-off and closure use the same establishment-level permission request, and closure opens retrenchment</t>
        </is>
      </c>
      <c r="F52" t="inlineStr">
        <is>
          <t>In progress</t>
        </is>
      </c>
      <c r="H52">
        <f>IF(G52&lt;&gt;"",G52,F52)</f>
        <v/>
      </c>
      <c r="I52" t="n">
        <v>0</v>
      </c>
      <c r="J52" t="n">
        <v>0</v>
      </c>
      <c r="K52" t="n">
        <v>1</v>
      </c>
      <c r="L52" s="5" t="inlineStr"/>
      <c r="M52" s="5" t="n"/>
    </row>
    <row r="53">
      <c r="A53" t="inlineStr">
        <is>
          <t>YX-LC-28</t>
        </is>
      </c>
      <c r="B53" t="inlineStr">
        <is>
          <t>M01</t>
        </is>
      </c>
      <c r="C53" t="inlineStr">
        <is>
          <t>YX-LC</t>
        </is>
      </c>
      <c r="D53" t="inlineStr">
        <is>
          <t>2</t>
        </is>
      </c>
      <c r="E53" s="5" t="inlineStr">
        <is>
          <t>Fixed-term gratuity (C1): a fixed-term employee with at least 1 year of continuous service gets pro-rata gratuity on any exit per P07 IN.SS-CODE; the 5-year condition is not applied to fixed-term employment, and the F&amp;F line explains the pro-rata basis.</t>
        </is>
      </c>
      <c r="F53" t="inlineStr">
        <is>
          <t>In progress</t>
        </is>
      </c>
      <c r="H53">
        <f>IF(G53&lt;&gt;"",G53,F53)</f>
        <v/>
      </c>
      <c r="I53" t="n">
        <v>0</v>
      </c>
      <c r="J53" t="n">
        <v>0</v>
      </c>
      <c r="K53" t="n">
        <v>0</v>
      </c>
      <c r="L53" s="5" t="inlineStr"/>
      <c r="M53" s="5" t="n"/>
    </row>
    <row r="54">
      <c r="A54" t="inlineStr">
        <is>
          <t>YX-LC-29</t>
        </is>
      </c>
      <c r="B54" t="inlineStr">
        <is>
          <t>M01</t>
        </is>
      </c>
      <c r="C54" t="inlineStr">
        <is>
          <t>YX-LC</t>
        </is>
      </c>
      <c r="D54" t="inlineStr">
        <is>
          <t>2</t>
        </is>
      </c>
      <c r="E54" s="5" t="inlineStr">
        <is>
          <t>Rehire and alumni detected at application (J14, J15). When an application, referral or campus registration links to a person (P01 YX-ORG-27) who has a past employment or an alumnus role, the application shows "Ex-employee" from the first screen and through screening: recruiter and HR see exit date, exit type and the rehire-eligible flag (reasons and prior records only as the company's rehire policy's prior-record visibility allows, YX-LC-18); the hiring manager sees only "Ex-employee" and rehire-eligible yes / no. A rehire-ineligible flag alerts the recruiter before the application can move pa</t>
        </is>
      </c>
      <c r="F54" t="inlineStr">
        <is>
          <t>In progress</t>
        </is>
      </c>
      <c r="H54">
        <f>IF(G54&lt;&gt;"",G54,F54)</f>
        <v/>
      </c>
      <c r="I54" t="n">
        <v>0</v>
      </c>
      <c r="J54" t="n">
        <v>0</v>
      </c>
      <c r="K54" t="n">
        <v>0</v>
      </c>
      <c r="L54" s="5" t="inlineStr"/>
      <c r="M54" s="5" t="n"/>
    </row>
    <row r="55">
      <c r="A55" t="inlineStr">
        <is>
          <t>YX-LC-30</t>
        </is>
      </c>
      <c r="B55" t="inlineStr">
        <is>
          <t>M01</t>
        </is>
      </c>
      <c r="C55" t="inlineStr">
        <is>
          <t>YX-LC</t>
        </is>
      </c>
      <c r="D55" t="inlineStr">
        <is>
          <t>2</t>
        </is>
      </c>
      <c r="E55" s="5" t="inlineStr">
        <is>
          <t>Contract worker to employee keeps history (J8, J15). Converting a contract worker adds an employee role and a new employment to the same person from the conversion date and ends the contract-worker role; deployments, site attendance, CLRA / OSH register rows and wage lines stay unchanged and appear on the employee's timeline; the biometric / kiosk enrolment carries over (M13 YX-CLRA-14). Contract service is shown as history; whether it counts for probation or seniority is a company setting (starter: not counted), and statutory service counts follow P07.</t>
        </is>
      </c>
      <c r="F55" t="inlineStr">
        <is>
          <t>In progress</t>
        </is>
      </c>
      <c r="H55">
        <f>IF(G55&lt;&gt;"",G55,F55)</f>
        <v/>
      </c>
      <c r="I55" t="n">
        <v>0</v>
      </c>
      <c r="J55" t="n">
        <v>0</v>
      </c>
      <c r="K55" t="n">
        <v>0</v>
      </c>
      <c r="L55" s="5" t="inlineStr"/>
      <c r="M55" s="5" t="n"/>
    </row>
    <row r="56">
      <c r="A56" t="inlineStr">
        <is>
          <t>YX-LC-31</t>
        </is>
      </c>
      <c r="B56" t="inlineStr">
        <is>
          <t>M01</t>
        </is>
      </c>
      <c r="C56" t="inlineStr">
        <is>
          <t>YX-LC</t>
        </is>
      </c>
      <c r="D56" t="inlineStr">
        <is>
          <t>2</t>
        </is>
      </c>
      <c r="E56" s="5" t="inlineStr">
        <is>
          <t>Day-1 identity check closes the identity chain (Validation pass 3 Must follow-up, 28 Sep 2026). On the joining day, before system access is granted, the new joiner is matched against the person record's identity-chain capture (T04 YX-PROC-19; captured at application verification, test ID check or pre-boarding), with consent (G-08). A mismatch raises an HR review flag; it never auto-blocks joining (the person joins, access follows HR's review). Where face detection is off, consent is refused or no capture exists, HR attests identity against the original ID and the attestation is recorded. The c</t>
        </is>
      </c>
      <c r="F56" t="inlineStr">
        <is>
          <t>In progress</t>
        </is>
      </c>
      <c r="H56">
        <f>IF(G56&lt;&gt;"",G56,F56)</f>
        <v/>
      </c>
      <c r="I56" t="n">
        <v>0</v>
      </c>
      <c r="J56" t="n">
        <v>0</v>
      </c>
      <c r="K56" t="n">
        <v>0</v>
      </c>
      <c r="L56" s="5" t="inlineStr"/>
      <c r="M56" s="5" t="n"/>
    </row>
    <row r="57">
      <c r="A57" t="inlineStr">
        <is>
          <t>YX-LC-32</t>
        </is>
      </c>
      <c r="B57" t="inlineStr">
        <is>
          <t>M01</t>
        </is>
      </c>
      <c r="C57" t="inlineStr">
        <is>
          <t>YX-LC</t>
        </is>
      </c>
      <c r="D57" t="inlineStr">
        <is>
          <t>2</t>
        </is>
      </c>
      <c r="E57" s="5" t="inlineStr">
        <is>
          <t>VRS exit (J4). A VRS scheme (company policy, D17: eligibility and benefit as P19 rules, window, approval) opens exit cases of type *VRS*; the scheme benefit is an F&amp;F line with its basis, and statutory dues (gratuity, leave encashment, notice rules per P07) apply as for any exit; tax treatment per P07 IN.IT (verify).</t>
        </is>
      </c>
      <c r="F57" t="inlineStr">
        <is>
          <t>In progress</t>
        </is>
      </c>
      <c r="H57">
        <f>IF(G57&lt;&gt;"",G57,F57)</f>
        <v/>
      </c>
      <c r="I57" t="n">
        <v>0</v>
      </c>
      <c r="J57" t="n">
        <v>0</v>
      </c>
      <c r="K57" t="n">
        <v>0</v>
      </c>
      <c r="L57" s="5" t="inlineStr"/>
      <c r="M57" s="5" t="n"/>
    </row>
    <row r="58">
      <c r="A58" t="inlineStr">
        <is>
          <t>YX-LC-33</t>
        </is>
      </c>
      <c r="B58" t="inlineStr">
        <is>
          <t>M01</t>
        </is>
      </c>
      <c r="C58" t="inlineStr">
        <is>
          <t>YX-LC</t>
        </is>
      </c>
      <c r="D58" t="inlineStr">
        <is>
          <t>2</t>
        </is>
      </c>
      <c r="E58" s="5" t="inlineStr">
        <is>
          <t>Onboarding buddy (T19). A buddy (never the joiner's manager) can be assigned from pre-boarding; buddy tasks, check-in reminders and day-30 / 90 feedback from both sides are created from the onboarding template; the per-buddy cap is company policy (D17).</t>
        </is>
      </c>
      <c r="F58" t="inlineStr">
        <is>
          <t>In progress</t>
        </is>
      </c>
      <c r="H58">
        <f>IF(G58&lt;&gt;"",G58,F58)</f>
        <v/>
      </c>
      <c r="I58" t="n">
        <v>0</v>
      </c>
      <c r="J58" t="n">
        <v>0</v>
      </c>
      <c r="K58" t="n">
        <v>0</v>
      </c>
      <c r="L58" s="5" t="inlineStr"/>
      <c r="M58" s="5" t="n"/>
    </row>
    <row r="59">
      <c r="A59" t="inlineStr">
        <is>
          <t>YX-AT-01</t>
        </is>
      </c>
      <c r="B59" t="inlineStr">
        <is>
          <t>M02</t>
        </is>
      </c>
      <c r="C59" t="inlineStr">
        <is>
          <t>YX-AT</t>
        </is>
      </c>
      <c r="D59" t="inlineStr">
        <is>
          <t>4</t>
        </is>
      </c>
      <c r="E59" s="5" t="inlineStr">
        <is>
          <t>Punches are deduplicated; each stores source, location verdict and device (kiosk punches: kiosk id + location, M04 Q4); geofence / IP rules follow the employee's location settings (Q6).</t>
        </is>
      </c>
      <c r="F59" t="inlineStr">
        <is>
          <t>Not started</t>
        </is>
      </c>
      <c r="H59">
        <f>IF(G59&lt;&gt;"",G59,F59)</f>
        <v/>
      </c>
      <c r="I59" t="n">
        <v>0</v>
      </c>
      <c r="J59" t="n">
        <v>0</v>
      </c>
      <c r="K59" t="n">
        <v>0</v>
      </c>
      <c r="L59" s="5" t="inlineStr"/>
      <c r="M59" s="5" t="n"/>
    </row>
    <row r="60">
      <c r="A60" t="inlineStr">
        <is>
          <t>YX-AT-02</t>
        </is>
      </c>
      <c r="B60" t="inlineStr">
        <is>
          <t>M02</t>
        </is>
      </c>
      <c r="C60" t="inlineStr">
        <is>
          <t>YX-AT</t>
        </is>
      </c>
      <c r="D60" t="inlineStr">
        <is>
          <t>4</t>
        </is>
      </c>
      <c r="E60" s="5" t="inlineStr">
        <is>
          <t>Weekly offs are resolved per date by the precedence rule (Q1); they are never stored as holiday rows.</t>
        </is>
      </c>
      <c r="F60" t="inlineStr">
        <is>
          <t>Not started</t>
        </is>
      </c>
      <c r="H60">
        <f>IF(G60&lt;&gt;"",G60,F60)</f>
        <v/>
      </c>
      <c r="I60" t="n">
        <v>0</v>
      </c>
      <c r="J60" t="n">
        <v>0</v>
      </c>
      <c r="K60" t="n">
        <v>0</v>
      </c>
      <c r="L60" s="5" t="inlineStr"/>
      <c r="M60" s="5" t="n"/>
    </row>
    <row r="61">
      <c r="A61" t="inlineStr">
        <is>
          <t>YX-AT-03</t>
        </is>
      </c>
      <c r="B61" t="inlineStr">
        <is>
          <t>M02</t>
        </is>
      </c>
      <c r="C61" t="inlineStr">
        <is>
          <t>YX-AT</t>
        </is>
      </c>
      <c r="D61" t="inlineStr">
        <is>
          <t>4</t>
        </is>
      </c>
      <c r="E61" s="5" t="inlineStr">
        <is>
          <t>Day status is derived by the day engine; a missing punch yields "missing check-in/out", never a threshold-based status.</t>
        </is>
      </c>
      <c r="F61" t="inlineStr">
        <is>
          <t>Not started</t>
        </is>
      </c>
      <c r="H61">
        <f>IF(G61&lt;&gt;"",G61,F61)</f>
        <v/>
      </c>
      <c r="I61" t="n">
        <v>0</v>
      </c>
      <c r="J61" t="n">
        <v>0</v>
      </c>
      <c r="K61" t="n">
        <v>0</v>
      </c>
      <c r="L61" s="5" t="inlineStr"/>
      <c r="M61" s="5" t="n"/>
    </row>
    <row r="62">
      <c r="A62" t="inlineStr">
        <is>
          <t>YX-AT-04</t>
        </is>
      </c>
      <c r="B62" t="inlineStr">
        <is>
          <t>M02</t>
        </is>
      </c>
      <c r="C62" t="inlineStr">
        <is>
          <t>YX-AT</t>
        </is>
      </c>
      <c r="D62" t="inlineStr">
        <is>
          <t>4</t>
        </is>
      </c>
      <c r="E62" s="5" t="inlineStr">
        <is>
          <t>Overtime counts only beyond the policy minimum, rounded down to the policy unit, capped per P07 statutory limits, and reaches payroll only when approved (Q7).</t>
        </is>
      </c>
      <c r="F62" t="inlineStr">
        <is>
          <t>Tested, code not linked</t>
        </is>
      </c>
      <c r="H62">
        <f>IF(G62&lt;&gt;"",G62,F62)</f>
        <v/>
      </c>
      <c r="I62" t="n">
        <v>0</v>
      </c>
      <c r="J62" t="n">
        <v>1</v>
      </c>
      <c r="K62" t="n">
        <v>1</v>
      </c>
      <c r="L62" s="5" t="inlineStr">
        <is>
          <t>exam-app-org:packages/yx-ui/src/screens/time/time.test.tsx</t>
        </is>
      </c>
      <c r="M62" s="5" t="n"/>
    </row>
    <row r="63">
      <c r="A63" t="inlineStr">
        <is>
          <t>YX-AT-05</t>
        </is>
      </c>
      <c r="B63" t="inlineStr">
        <is>
          <t>M02</t>
        </is>
      </c>
      <c r="C63" t="inlineStr">
        <is>
          <t>YX-AT</t>
        </is>
      </c>
      <c r="D63" t="inlineStr">
        <is>
          <t>4</t>
        </is>
      </c>
      <c r="E63" s="5" t="inlineStr">
        <is>
          <t>Late penalties follow the tenant's policy (Q4) and appear on the day card and muster before they affect pay.</t>
        </is>
      </c>
      <c r="F63" t="inlineStr">
        <is>
          <t>Not started</t>
        </is>
      </c>
      <c r="H63">
        <f>IF(G63&lt;&gt;"",G63,F63)</f>
        <v/>
      </c>
      <c r="I63" t="n">
        <v>0</v>
      </c>
      <c r="J63" t="n">
        <v>0</v>
      </c>
      <c r="K63" t="n">
        <v>0</v>
      </c>
      <c r="L63" s="5" t="inlineStr"/>
      <c r="M63" s="5" t="n"/>
    </row>
    <row r="64">
      <c r="A64" t="inlineStr">
        <is>
          <t>YX-AT-06</t>
        </is>
      </c>
      <c r="B64" t="inlineStr">
        <is>
          <t>M02</t>
        </is>
      </c>
      <c r="C64" t="inlineStr">
        <is>
          <t>YX-AT</t>
        </is>
      </c>
      <c r="D64" t="inlineStr">
        <is>
          <t>4</t>
        </is>
      </c>
      <c r="E64" s="5" t="inlineStr">
        <is>
          <t>Regularisation and WFH/on-duty limits per month are enforced; beyond the limit, requests route to HR (Q5).</t>
        </is>
      </c>
      <c r="F64" t="inlineStr">
        <is>
          <t>Not started</t>
        </is>
      </c>
      <c r="H64">
        <f>IF(G64&lt;&gt;"",G64,F64)</f>
        <v/>
      </c>
      <c r="I64" t="n">
        <v>0</v>
      </c>
      <c r="J64" t="n">
        <v>0</v>
      </c>
      <c r="K64" t="n">
        <v>0</v>
      </c>
      <c r="L64" s="5" t="inlineStr"/>
      <c r="M64" s="5" t="n"/>
    </row>
    <row r="65">
      <c r="A65" t="inlineStr">
        <is>
          <t>YX-AT-07</t>
        </is>
      </c>
      <c r="B65" t="inlineStr">
        <is>
          <t>M02</t>
        </is>
      </c>
      <c r="C65" t="inlineStr">
        <is>
          <t>YX-AT</t>
        </is>
      </c>
      <c r="D65" t="inlineStr">
        <is>
          <t>4</t>
        </is>
      </c>
      <c r="E65" s="5" t="inlineStr">
        <is>
          <t>Rosters flag overlaps and minimum-rest violations; publishing notifies affected employees.</t>
        </is>
      </c>
      <c r="F65" t="inlineStr">
        <is>
          <t>Not started</t>
        </is>
      </c>
      <c r="H65">
        <f>IF(G65&lt;&gt;"",G65,F65)</f>
        <v/>
      </c>
      <c r="I65" t="n">
        <v>0</v>
      </c>
      <c r="J65" t="n">
        <v>0</v>
      </c>
      <c r="K65" t="n">
        <v>0</v>
      </c>
      <c r="L65" s="5" t="inlineStr"/>
      <c r="M65" s="5" t="n"/>
    </row>
    <row r="66">
      <c r="A66" t="inlineStr">
        <is>
          <t>YX-AT-08</t>
        </is>
      </c>
      <c r="B66" t="inlineStr">
        <is>
          <t>M02</t>
        </is>
      </c>
      <c r="C66" t="inlineStr">
        <is>
          <t>YX-AT</t>
        </is>
      </c>
      <c r="D66" t="inlineStr">
        <is>
          <t>4</t>
        </is>
      </c>
      <c r="E66" s="5" t="inlineStr">
        <is>
          <t>Attendance exceptions must be resolved before payroll approval (P08 YX-LOCK-07/08) — for Punch-mode groups with the block switch on (YX-AT-09).</t>
        </is>
      </c>
      <c r="F66" t="inlineStr">
        <is>
          <t>Not started</t>
        </is>
      </c>
      <c r="H66">
        <f>IF(G66&lt;&gt;"",G66,F66)</f>
        <v/>
      </c>
      <c r="I66" t="n">
        <v>0</v>
      </c>
      <c r="J66" t="n">
        <v>0</v>
      </c>
      <c r="K66" t="n">
        <v>0</v>
      </c>
      <c r="L66" s="5" t="inlineStr"/>
      <c r="M66" s="5" t="n"/>
    </row>
    <row r="67">
      <c r="A67" t="inlineStr">
        <is>
          <t>YX-AT-09</t>
        </is>
      </c>
      <c r="B67" t="inlineStr">
        <is>
          <t>M02</t>
        </is>
      </c>
      <c r="C67" t="inlineStr">
        <is>
          <t>YX-AT</t>
        </is>
      </c>
      <c r="D67" t="inlineStr">
        <is>
          <t>4</t>
        </is>
      </c>
      <c r="E67" s="5" t="inlineStr">
        <is>
          <t>Every employee resolves to one attendance mode — Punch, Assumed present or Timesheet — from the scoped P01 setting (entity / location / department / employment type). Missing-punch exceptions exist only in Punch mode, where the company chooses block (default) or warn for payroll approval; Assumed-present groups never block payroll (LOP entered by HR, M03); Timesheet groups raise "no approved timesheet" instead (D1).</t>
        </is>
      </c>
      <c r="F67" t="inlineStr">
        <is>
          <t>Not started</t>
        </is>
      </c>
      <c r="H67">
        <f>IF(G67&lt;&gt;"",G67,F67)</f>
        <v/>
      </c>
      <c r="I67" t="n">
        <v>0</v>
      </c>
      <c r="J67" t="n">
        <v>0</v>
      </c>
      <c r="K67" t="n">
        <v>0</v>
      </c>
      <c r="L67" s="5" t="inlineStr"/>
      <c r="M67" s="5" t="n"/>
    </row>
    <row r="68">
      <c r="A68" t="inlineStr">
        <is>
          <t>YX-AT-10</t>
        </is>
      </c>
      <c r="B68" t="inlineStr">
        <is>
          <t>M02</t>
        </is>
      </c>
      <c r="C68" t="inlineStr">
        <is>
          <t>YX-AT</t>
        </is>
      </c>
      <c r="D68" t="inlineStr">
        <is>
          <t>4</t>
        </is>
      </c>
      <c r="E68" s="5" t="inlineStr">
        <is>
          <t>The expected status of a day follows employment status first: suspended, long leave (maternity / sabbatical / LWP), absconding in process, pre-boarding and exited days raise no exceptions, late penalties or nudges (D10).</t>
        </is>
      </c>
      <c r="F68" t="inlineStr">
        <is>
          <t>UI prototype only</t>
        </is>
      </c>
      <c r="H68">
        <f>IF(G68&lt;&gt;"",G68,F68)</f>
        <v/>
      </c>
      <c r="I68" t="n">
        <v>0</v>
      </c>
      <c r="J68" t="n">
        <v>0</v>
      </c>
      <c r="K68" t="n">
        <v>1</v>
      </c>
      <c r="L68" s="5" t="inlineStr"/>
      <c r="M68" s="5" t="n"/>
    </row>
    <row r="69">
      <c r="A69" t="inlineStr">
        <is>
          <t>YX-AT-11</t>
        </is>
      </c>
      <c r="B69" t="inlineStr">
        <is>
          <t>M02</t>
        </is>
      </c>
      <c r="C69" t="inlineStr">
        <is>
          <t>YX-AT</t>
        </is>
      </c>
      <c r="D69" t="inlineStr">
        <is>
          <t>4</t>
        </is>
      </c>
      <c r="E69" s="5" t="inlineStr">
        <is>
          <t>A public holiday falling on a weekly off is handled per the calendar's company setting — substitute day / comp-off / none (starter: none) (D17).</t>
        </is>
      </c>
      <c r="F69" t="inlineStr">
        <is>
          <t>Not started</t>
        </is>
      </c>
      <c r="H69">
        <f>IF(G69&lt;&gt;"",G69,F69)</f>
        <v/>
      </c>
      <c r="I69" t="n">
        <v>0</v>
      </c>
      <c r="J69" t="n">
        <v>0</v>
      </c>
      <c r="K69" t="n">
        <v>0</v>
      </c>
      <c r="L69" s="5" t="inlineStr"/>
      <c r="M69" s="5" t="n"/>
    </row>
    <row r="70">
      <c r="A70" t="inlineStr">
        <is>
          <t>YX-AT-12</t>
        </is>
      </c>
      <c r="B70" t="inlineStr">
        <is>
          <t>M02</t>
        </is>
      </c>
      <c r="C70" t="inlineStr">
        <is>
          <t>YX-AT</t>
        </is>
      </c>
      <c r="D70" t="inlineStr">
        <is>
          <t>4</t>
        </is>
      </c>
      <c r="E70" s="5" t="inlineStr">
        <is>
          <t>On a half-day leave date, grace applies from the start of the working half, the leave half carries no late penalty, and OT is measured against the half-day's expected hours.</t>
        </is>
      </c>
      <c r="F70" t="inlineStr">
        <is>
          <t>Not started</t>
        </is>
      </c>
      <c r="H70">
        <f>IF(G70&lt;&gt;"",G70,F70)</f>
        <v/>
      </c>
      <c r="I70" t="n">
        <v>0</v>
      </c>
      <c r="J70" t="n">
        <v>0</v>
      </c>
      <c r="K70" t="n">
        <v>0</v>
      </c>
      <c r="L70" s="5" t="inlineStr"/>
      <c r="M70" s="5" t="n"/>
    </row>
    <row r="71">
      <c r="A71" t="inlineStr">
        <is>
          <t>YX-AT-13</t>
        </is>
      </c>
      <c r="B71" t="inlineStr">
        <is>
          <t>M02</t>
        </is>
      </c>
      <c r="C71" t="inlineStr">
        <is>
          <t>YX-AT</t>
        </is>
      </c>
      <c r="D71" t="inlineStr">
        <is>
          <t>4</t>
        </is>
      </c>
      <c r="E71" s="5" t="inlineStr">
        <is>
          <t>A punch for a shift that started before the lock attaches to that shift without a late request; a biometric batch arriving after the freeze is applied only through an audited HR bulk "device backfill" correction (P08); an employee can have two shifts in one day, each evaluated separately.</t>
        </is>
      </c>
      <c r="F71" t="inlineStr">
        <is>
          <t>Not started</t>
        </is>
      </c>
      <c r="H71">
        <f>IF(G71&lt;&gt;"",G71,F71)</f>
        <v/>
      </c>
      <c r="I71" t="n">
        <v>0</v>
      </c>
      <c r="J71" t="n">
        <v>0</v>
      </c>
      <c r="K71" t="n">
        <v>0</v>
      </c>
      <c r="L71" s="5" t="inlineStr"/>
      <c r="M71" s="5" t="n"/>
    </row>
    <row r="72">
      <c r="A72" t="inlineStr">
        <is>
          <t>YX-AT-14</t>
        </is>
      </c>
      <c r="B72" t="inlineStr">
        <is>
          <t>M02</t>
        </is>
      </c>
      <c r="C72" t="inlineStr">
        <is>
          <t>YX-AT</t>
        </is>
      </c>
      <c r="D72" t="inlineStr">
        <is>
          <t>4</t>
        </is>
      </c>
      <c r="E72" s="5" t="inlineStr">
        <is>
          <t>The Today board, muster, team calendar and attendance calendar open in the viewer's widest P02 scope (manager: team; HR: entity), never self-only; the personal view is the employee's mobile Time tab (fixes U16).</t>
        </is>
      </c>
      <c r="F72" t="inlineStr">
        <is>
          <t>Not started</t>
        </is>
      </c>
      <c r="H72">
        <f>IF(G72&lt;&gt;"",G72,F72)</f>
        <v/>
      </c>
      <c r="I72" t="n">
        <v>0</v>
      </c>
      <c r="J72" t="n">
        <v>0</v>
      </c>
      <c r="K72" t="n">
        <v>0</v>
      </c>
      <c r="L72" s="5" t="inlineStr"/>
      <c r="M72" s="5" t="n"/>
    </row>
    <row r="73">
      <c r="A73" t="inlineStr">
        <is>
          <t>YX-AT-15</t>
        </is>
      </c>
      <c r="B73" t="inlineStr">
        <is>
          <t>M02</t>
        </is>
      </c>
      <c r="C73" t="inlineStr">
        <is>
          <t>YX-AT</t>
        </is>
      </c>
      <c r="D73" t="inlineStr">
        <is>
          <t>4</t>
        </is>
      </c>
      <c r="E73" s="5" t="inlineStr">
        <is>
          <t>The day card shows each punch's source, map pin, distance to the nearest allowed location and verdict (inside / outside / field-recorded) to viewers in scope (fixes U17).</t>
        </is>
      </c>
      <c r="F73" t="inlineStr">
        <is>
          <t>UI prototype only</t>
        </is>
      </c>
      <c r="H73">
        <f>IF(G73&lt;&gt;"",G73,F73)</f>
        <v/>
      </c>
      <c r="I73" t="n">
        <v>0</v>
      </c>
      <c r="J73" t="n">
        <v>0</v>
      </c>
      <c r="K73" t="n">
        <v>1</v>
      </c>
      <c r="L73" s="5" t="inlineStr"/>
      <c r="M73" s="5" t="n"/>
    </row>
    <row r="74">
      <c r="A74" t="inlineStr">
        <is>
          <t>YX-AT-16</t>
        </is>
      </c>
      <c r="B74" t="inlineStr">
        <is>
          <t>M02</t>
        </is>
      </c>
      <c r="C74" t="inlineStr">
        <is>
          <t>YX-AT</t>
        </is>
      </c>
      <c r="D74" t="inlineStr">
        <is>
          <t>4</t>
        </is>
      </c>
      <c r="E74" s="5" t="inlineStr">
        <is>
          <t>Field-force location trail (B2): location points are collected only when the employee's group has field-force tracking on and the employee's consent is on record, and only between duty check-in and check-out within the shift window + grace; never on leave, weekly offs, holidays or after check-out unless an approved on-duty request covers the day. The app shows "Tracking on" while collecting; withdrawing consent stops collection at once. Trails are Confidential (own + manager / HR in scope, duty time only) and deleted after the company's retention period (starter 90 days), keeping only daily di</t>
        </is>
      </c>
      <c r="F74" t="inlineStr">
        <is>
          <t>Not started</t>
        </is>
      </c>
      <c r="H74">
        <f>IF(G74&lt;&gt;"",G74,F74)</f>
        <v/>
      </c>
      <c r="I74" t="n">
        <v>0</v>
      </c>
      <c r="J74" t="n">
        <v>0</v>
      </c>
      <c r="K74" t="n">
        <v>0</v>
      </c>
      <c r="L74" s="5" t="inlineStr"/>
      <c r="M74" s="5" t="n"/>
    </row>
    <row r="75">
      <c r="A75" t="inlineStr">
        <is>
          <t>YX-AT-17</t>
        </is>
      </c>
      <c r="B75" t="inlineStr">
        <is>
          <t>M02</t>
        </is>
      </c>
      <c r="C75" t="inlineStr">
        <is>
          <t>YX-AT</t>
        </is>
      </c>
      <c r="D75" t="inlineStr">
        <is>
          <t>4</t>
        </is>
      </c>
      <c r="E75" s="5" t="inlineStr">
        <is>
          <t>Visits &amp; client-site attendance (B2): a visit check-in records the geofence verdict against the site's pin, a camera-only time- and location-stamped photo and notes; planned vs done is shown per beat plan; a day with a site check-in is present (field) with worked time per the group's rule; mock-location, impossible speed and gaps are flagged, never auto-penalised.</t>
        </is>
      </c>
      <c r="F75" t="inlineStr">
        <is>
          <t>Not started</t>
        </is>
      </c>
      <c r="H75">
        <f>IF(G75&lt;&gt;"",G75,F75)</f>
        <v/>
      </c>
      <c r="I75" t="n">
        <v>0</v>
      </c>
      <c r="J75" t="n">
        <v>0</v>
      </c>
      <c r="K75" t="n">
        <v>0</v>
      </c>
      <c r="L75" s="5" t="inlineStr"/>
      <c r="M75" s="5" t="n"/>
    </row>
    <row r="76">
      <c r="A76" t="inlineStr">
        <is>
          <t>YX-AT-18</t>
        </is>
      </c>
      <c r="B76" t="inlineStr">
        <is>
          <t>M02</t>
        </is>
      </c>
      <c r="C76" t="inlineStr">
        <is>
          <t>YX-AT</t>
        </is>
      </c>
      <c r="D76" t="inlineStr">
        <is>
          <t>4</t>
        </is>
      </c>
      <c r="E76" s="5" t="inlineStr">
        <is>
          <t>Distance-based conveyance (B2): each duty day's distance (straight-line × company factor, or road distance where the company enabled the maps add-on) becomes a draft M05 mileage line the employee must confirm; M05 rates, limits and approvals apply; nothing is reimbursed automatically.</t>
        </is>
      </c>
      <c r="F76" t="inlineStr">
        <is>
          <t>Not started</t>
        </is>
      </c>
      <c r="H76">
        <f>IF(G76&lt;&gt;"",G76,F76)</f>
        <v/>
      </c>
      <c r="I76" t="n">
        <v>0</v>
      </c>
      <c r="J76" t="n">
        <v>0</v>
      </c>
      <c r="K76" t="n">
        <v>0</v>
      </c>
      <c r="L76" s="5" t="inlineStr"/>
      <c r="M76" s="5" t="n"/>
    </row>
    <row r="77">
      <c r="A77" t="inlineStr">
        <is>
          <t>YX-AT-19</t>
        </is>
      </c>
      <c r="B77" t="inlineStr">
        <is>
          <t>M02</t>
        </is>
      </c>
      <c r="C77" t="inlineStr">
        <is>
          <t>YX-AT</t>
        </is>
      </c>
      <c r="D77" t="inlineStr">
        <is>
          <t>4</t>
        </is>
      </c>
      <c r="E77" s="5" t="inlineStr">
        <is>
          <t>Auto-roster (B3): the generator never breaks a hard constraint — valid skill / certification, availability marked hard, approved leave, holidays and weekly offs, minimum rest (never below P07), P07 statutory and company hour / OT caps, one shift at a time, the women's night-shift guard (YX-AT-25, added by Correction C1), employment status (D10); it optimises the company's weighted soft goals (fairness over a rolling window, preferences, continuity, cost); every unfilled or over-staffed slot carries a reason; a run stores inputs, rule version and score; nothing is published until a manager appr</t>
        </is>
      </c>
      <c r="F77" t="inlineStr">
        <is>
          <t>Not started</t>
        </is>
      </c>
      <c r="H77">
        <f>IF(G77&lt;&gt;"",G77,F77)</f>
        <v/>
      </c>
      <c r="I77" t="n">
        <v>0</v>
      </c>
      <c r="J77" t="n">
        <v>0</v>
      </c>
      <c r="K77" t="n">
        <v>0</v>
      </c>
      <c r="L77" s="5" t="inlineStr"/>
      <c r="M77" s="5" t="n"/>
    </row>
    <row r="78">
      <c r="A78" t="inlineStr">
        <is>
          <t>YX-AT-20</t>
        </is>
      </c>
      <c r="B78" t="inlineStr">
        <is>
          <t>M02</t>
        </is>
      </c>
      <c r="C78" t="inlineStr">
        <is>
          <t>YX-AT</t>
        </is>
      </c>
      <c r="D78" t="inlineStr">
        <is>
          <t>4</t>
        </is>
      </c>
      <c r="E78" s="5" t="inlineStr">
        <is>
          <t>Open shifts &amp; bidding (B3): an open shift is offered only to employees who meet its skill, location / pool, conflict, rest and hour-cap checks, re-checked at award; the award follows the company rule (first-come auto-assign or manager picks; starter manager picks); bids are ranked preferences within a bid window, awarded by the company's tie-break rule (starter fairness score, then seniority) and approved with the roster.</t>
        </is>
      </c>
      <c r="F78" t="inlineStr">
        <is>
          <t>Not started</t>
        </is>
      </c>
      <c r="H78">
        <f>IF(G78&lt;&gt;"",G78,F78)</f>
        <v/>
      </c>
      <c r="I78" t="n">
        <v>0</v>
      </c>
      <c r="J78" t="n">
        <v>0</v>
      </c>
      <c r="K78" t="n">
        <v>0</v>
      </c>
      <c r="L78" s="5" t="inlineStr"/>
      <c r="M78" s="5" t="n"/>
    </row>
    <row r="79">
      <c r="A79" t="inlineStr">
        <is>
          <t>YX-AT-21</t>
        </is>
      </c>
      <c r="B79" t="inlineStr">
        <is>
          <t>M02</t>
        </is>
      </c>
      <c r="C79" t="inlineStr">
        <is>
          <t>YX-AT</t>
        </is>
      </c>
      <c r="D79" t="inlineStr">
        <is>
          <t>4</t>
        </is>
      </c>
      <c r="E79" s="5" t="inlineStr">
        <is>
          <t>Desktop / Teams presence (C1): used only where the company switched it on for the group and the employee consented; only presence / active-idle states and times are collected — never keystroke content or counts, screenshots, screen / webcam / audio recording, application names, window titles, URLs or files; it yields first-active / last-active punches (source "teams" / "desktop") or evidence only, per group; managers see the day status and total active hours, never a minute-by-minute timeline; a missing signal goes through the normal exception flow.</t>
        </is>
      </c>
      <c r="F79" t="inlineStr">
        <is>
          <t>Not started</t>
        </is>
      </c>
      <c r="H79">
        <f>IF(G79&lt;&gt;"",G79,F79)</f>
        <v/>
      </c>
      <c r="I79" t="n">
        <v>0</v>
      </c>
      <c r="J79" t="n">
        <v>0</v>
      </c>
      <c r="K79" t="n">
        <v>0</v>
      </c>
      <c r="L79" s="5" t="inlineStr"/>
      <c r="M79" s="5" t="n"/>
    </row>
    <row r="80">
      <c r="A80" t="inlineStr">
        <is>
          <t>YX-AT-22</t>
        </is>
      </c>
      <c r="B80" t="inlineStr">
        <is>
          <t>M02</t>
        </is>
      </c>
      <c r="C80" t="inlineStr">
        <is>
          <t>YX-AT</t>
        </is>
      </c>
      <c r="D80" t="inlineStr">
        <is>
          <t>4</t>
        </is>
      </c>
      <c r="E80" s="5" t="inlineStr">
        <is>
          <t>Visitor management (C1): every visitor enters a location through a pre-registration or a host-approved walk-in; check-in and check-out are logged per location with badge / QR, required acknowledgements (NDA / safety) are captured before entry per the location's rules, blocked visitors are stopped at reception, an "on site now" list is available for emergencies, and visitor data (Confidential) is deleted after the company's retention period (starter 90 days; ID images 30 days).</t>
        </is>
      </c>
      <c r="F80" t="inlineStr">
        <is>
          <t>UI prototype only</t>
        </is>
      </c>
      <c r="H80">
        <f>IF(G80&lt;&gt;"",G80,F80)</f>
        <v/>
      </c>
      <c r="I80" t="n">
        <v>0</v>
      </c>
      <c r="J80" t="n">
        <v>0</v>
      </c>
      <c r="K80" t="n">
        <v>1</v>
      </c>
      <c r="L80" s="5" t="inlineStr"/>
      <c r="M80" s="5" t="n"/>
    </row>
    <row r="81">
      <c r="A81" t="inlineStr">
        <is>
          <t>YX-AT-23</t>
        </is>
      </c>
      <c r="B81" t="inlineStr">
        <is>
          <t>M02</t>
        </is>
      </c>
      <c r="C81" t="inlineStr">
        <is>
          <t>YX-AT</t>
        </is>
      </c>
      <c r="D81" t="inlineStr">
        <is>
          <t>4</t>
        </is>
      </c>
      <c r="E81" s="5" t="inlineStr">
        <is>
          <t xml:space="preserve">Geofence transparency and failed attempts (G7): before a mobile check-in is submitted the employee sees their GPS pin, the accuracy radius and the allowed geofence(s), can retry location, and is told in plain words why a punch would be refused ("Outside Chennai HQ, 850 m away", "Location accuracy 300 m, move outdoors"); every refused or abandoned attempt is logged (time, location, accuracy, distance, reason, device) as an attendance exception the employee and HR can see, so HR can regularise the day from the attempt (P03 request or one-click approval) without the employee being marked late or </t>
        </is>
      </c>
      <c r="F81" t="inlineStr">
        <is>
          <t>Tested, code not linked</t>
        </is>
      </c>
      <c r="H81">
        <f>IF(G81&lt;&gt;"",G81,F81)</f>
        <v/>
      </c>
      <c r="I81" t="n">
        <v>0</v>
      </c>
      <c r="J81" t="n">
        <v>1</v>
      </c>
      <c r="K81" t="n">
        <v>3</v>
      </c>
      <c r="L81" s="5" t="inlineStr">
        <is>
          <t>exam-app-org:packages/yx-ui/src/screens/time/time.test.tsx</t>
        </is>
      </c>
      <c r="M81" s="5" t="n"/>
    </row>
    <row r="82">
      <c r="A82" t="inlineStr">
        <is>
          <t>YX-AT-24</t>
        </is>
      </c>
      <c r="B82" t="inlineStr">
        <is>
          <t>M02</t>
        </is>
      </c>
      <c r="C82" t="inlineStr">
        <is>
          <t>YX-AT</t>
        </is>
      </c>
      <c r="D82" t="inlineStr">
        <is>
          <t>4</t>
        </is>
      </c>
      <c r="E82" s="5" t="inlineStr">
        <is>
          <t>Offline check-in (G8, wave 2): when the phone has no connectivity the punch is queued on the device with device time, GPS fix and accuracy, shown in the card's offline queue with a "pending sync" chip, and synced automatically when online; the synced punch is stored with both device time and server receipt time, flagged offline, evaluated by the day engine (§B3) on device time, and listed for HR with the offline flag; the server rejects a queued punch older than the company's limit (starter 48 h) or with a device clock drift beyond tolerance, raising an exception instead of a silent drop. Self</t>
        </is>
      </c>
      <c r="F82" t="inlineStr">
        <is>
          <t>Not started</t>
        </is>
      </c>
      <c r="H82">
        <f>IF(G82&lt;&gt;"",G82,F82)</f>
        <v/>
      </c>
      <c r="I82" t="n">
        <v>0</v>
      </c>
      <c r="J82" t="n">
        <v>0</v>
      </c>
      <c r="K82" t="n">
        <v>0</v>
      </c>
      <c r="L82" s="5" t="inlineStr"/>
      <c r="M82" s="5" t="n"/>
    </row>
    <row r="83">
      <c r="A83" t="inlineStr">
        <is>
          <t>YX-AT-25</t>
        </is>
      </c>
      <c r="B83" t="inlineStr">
        <is>
          <t>M02</t>
        </is>
      </c>
      <c r="C83" t="inlineStr">
        <is>
          <t>YX-AT</t>
        </is>
      </c>
      <c r="D83" t="inlineStr">
        <is>
          <t>4</t>
        </is>
      </c>
      <c r="E83" s="5" t="inlineStr">
        <is>
          <t>Women's night-shift guard (C1, law): no roster path (manual edit, pattern, swap, open-shift claim, bid award, auto-roster) places a woman on a shift overlapping the legal night window of P07 IN.OSH for the location's state (transitional Factories Act s.66 / state S&amp;E values where OSH rules are not notified) unless, for that date, her written consent is on record and not withdrawn and the establishment's safeguards checklist is valid; the company's night definition (D17) may be wider but never narrower than the legal window; the guard has no company switch or override; refusing or withdrawing c</t>
        </is>
      </c>
      <c r="F83" t="inlineStr">
        <is>
          <t>Not started</t>
        </is>
      </c>
      <c r="H83">
        <f>IF(G83&lt;&gt;"",G83,F83)</f>
        <v/>
      </c>
      <c r="I83" t="n">
        <v>0</v>
      </c>
      <c r="J83" t="n">
        <v>0</v>
      </c>
      <c r="K83" t="n">
        <v>0</v>
      </c>
      <c r="L83" s="5" t="inlineStr"/>
      <c r="M83" s="5" t="n"/>
    </row>
    <row r="84">
      <c r="A84" t="inlineStr">
        <is>
          <t>YX-AT-26</t>
        </is>
      </c>
      <c r="B84" t="inlineStr">
        <is>
          <t>M02</t>
        </is>
      </c>
      <c r="C84" t="inlineStr">
        <is>
          <t>YX-AT</t>
        </is>
      </c>
      <c r="D84" t="inlineStr">
        <is>
          <t>4</t>
        </is>
      </c>
      <c r="E84" s="5" t="inlineStr">
        <is>
          <t>Night-work records (C1): consents (P05 documents), safeguard attestations with evidence and review dates, and a register of women night-shift workers per establishment and period (generated from roster and punches in the dated P07 format, frozen with the period lock) are kept; a lapsed safeguard item alerts the location admin and HR before its review date.</t>
        </is>
      </c>
      <c r="F84" t="inlineStr">
        <is>
          <t>Not started</t>
        </is>
      </c>
      <c r="H84">
        <f>IF(G84&lt;&gt;"",G84,F84)</f>
        <v/>
      </c>
      <c r="I84" t="n">
        <v>0</v>
      </c>
      <c r="J84" t="n">
        <v>0</v>
      </c>
      <c r="K84" t="n">
        <v>0</v>
      </c>
      <c r="L84" s="5" t="inlineStr"/>
      <c r="M84" s="5" t="n"/>
    </row>
    <row r="85">
      <c r="A85" t="inlineStr">
        <is>
          <t>YX-AT-27</t>
        </is>
      </c>
      <c r="B85" t="inlineStr">
        <is>
          <t>M02</t>
        </is>
      </c>
      <c r="C85" t="inlineStr">
        <is>
          <t>YX-AT</t>
        </is>
      </c>
      <c r="D85" t="inlineStr">
        <is>
          <t>4</t>
        </is>
      </c>
      <c r="E85" s="5" t="inlineStr">
        <is>
          <t>Industrial-action statuses (J4). Days in a recorded strike, lockout or lay-off event get that status (not Absent / LOP); M03 pays lay-off compensation per P07 IN.IR (verify) and strike / lockout days per legality and company policy (D17), never below the legal floor; the event and its legality are audited and changing legality recomputes the affected days before the period lock.</t>
        </is>
      </c>
      <c r="F85" t="inlineStr">
        <is>
          <t>Not started</t>
        </is>
      </c>
      <c r="H85">
        <f>IF(G85&lt;&gt;"",G85,F85)</f>
        <v/>
      </c>
      <c r="I85" t="n">
        <v>0</v>
      </c>
      <c r="J85" t="n">
        <v>0</v>
      </c>
      <c r="K85" t="n">
        <v>0</v>
      </c>
      <c r="L85" s="5" t="inlineStr"/>
      <c r="M85" s="5" t="n"/>
    </row>
    <row r="86">
      <c r="A86" t="inlineStr">
        <is>
          <t>YX-AT-28</t>
        </is>
      </c>
      <c r="B86" t="inlineStr">
        <is>
          <t>M02</t>
        </is>
      </c>
      <c r="C86" t="inlineStr">
        <is>
          <t>YX-AT</t>
        </is>
      </c>
      <c r="D86" t="inlineStr">
        <is>
          <t>4</t>
        </is>
      </c>
      <c r="E86" s="5" t="inlineStr">
        <is>
          <t>Standby and call-out (V7). A standby slot is not a working shift; a call-out logged during it is paid at least the company's call-out minimum (D17) and counts for hours, OT and minimum-rest checks; standby allowance per slot feeds M03.</t>
        </is>
      </c>
      <c r="F86" t="inlineStr">
        <is>
          <t>Not started</t>
        </is>
      </c>
      <c r="H86">
        <f>IF(G86&lt;&gt;"",G86,F86)</f>
        <v/>
      </c>
      <c r="I86" t="n">
        <v>0</v>
      </c>
      <c r="J86" t="n">
        <v>0</v>
      </c>
      <c r="K86" t="n">
        <v>0</v>
      </c>
      <c r="L86" s="5" t="inlineStr"/>
      <c r="M86" s="5" t="n"/>
    </row>
    <row r="87">
      <c r="A87" t="inlineStr">
        <is>
          <t>YX-AT-29</t>
        </is>
      </c>
      <c r="B87" t="inlineStr">
        <is>
          <t>M02</t>
        </is>
      </c>
      <c r="C87" t="inlineStr">
        <is>
          <t>YX-AT</t>
        </is>
      </c>
      <c r="D87" t="inlineStr">
        <is>
          <t>4</t>
        </is>
      </c>
      <c r="E87" s="5" t="inlineStr">
        <is>
          <t>Licence gate (V13). No roster path, trip or assignment places a person on a date where a licence required by the role / skill / shift is missing or expired; legally required licences have no override, company-required ones allow an HR override with reason (audited).</t>
        </is>
      </c>
      <c r="F87" t="inlineStr">
        <is>
          <t>Not started</t>
        </is>
      </c>
      <c r="H87">
        <f>IF(G87&lt;&gt;"",G87,F87)</f>
        <v/>
      </c>
      <c r="I87" t="n">
        <v>0</v>
      </c>
      <c r="J87" t="n">
        <v>0</v>
      </c>
      <c r="K87" t="n">
        <v>0</v>
      </c>
      <c r="L87" s="5" t="inlineStr"/>
      <c r="M87" s="5" t="n"/>
    </row>
    <row r="88">
      <c r="A88" t="inlineStr">
        <is>
          <t>YX-AT-30</t>
        </is>
      </c>
      <c r="B88" t="inlineStr">
        <is>
          <t>M02</t>
        </is>
      </c>
      <c r="C88" t="inlineStr">
        <is>
          <t>YX-AT</t>
        </is>
      </c>
      <c r="D88" t="inlineStr">
        <is>
          <t>4</t>
        </is>
      </c>
      <c r="E88" s="5" t="inlineStr">
        <is>
          <t>Hybrid office days (T7). Office-day compliance per week is computed from office-geofence / kiosk / badge evidence against the group's policy, pro-rated for leave, holidays and approved travel; it is visible to the employee and manager, and never feeds pay, LOP or ratings unless the company sets a P19 rule to do so.</t>
        </is>
      </c>
      <c r="F88" t="inlineStr">
        <is>
          <t>Not started</t>
        </is>
      </c>
      <c r="H88">
        <f>IF(G88&lt;&gt;"",G88,F88)</f>
        <v/>
      </c>
      <c r="I88" t="n">
        <v>0</v>
      </c>
      <c r="J88" t="n">
        <v>0</v>
      </c>
      <c r="K88" t="n">
        <v>0</v>
      </c>
      <c r="L88" s="5" t="inlineStr"/>
      <c r="M88" s="5" t="n"/>
    </row>
    <row r="89">
      <c r="A89" t="inlineStr">
        <is>
          <t>YX-LV-01</t>
        </is>
      </c>
      <c r="B89" t="inlineStr">
        <is>
          <t>M02</t>
        </is>
      </c>
      <c r="C89" t="inlineStr">
        <is>
          <t>YX-LV</t>
        </is>
      </c>
      <c r="D89" t="inlineStr">
        <is>
          <t>4</t>
        </is>
      </c>
      <c r="E89" s="5" t="inlineStr">
        <is>
          <t>A leave balance is always the sum of its ledger entries; no screen or report computes it differently.</t>
        </is>
      </c>
      <c r="F89" t="inlineStr">
        <is>
          <t>Not started</t>
        </is>
      </c>
      <c r="H89">
        <f>IF(G89&lt;&gt;"",G89,F89)</f>
        <v/>
      </c>
      <c r="I89" t="n">
        <v>0</v>
      </c>
      <c r="J89" t="n">
        <v>0</v>
      </c>
      <c r="K89" t="n">
        <v>0</v>
      </c>
      <c r="L89" s="5" t="inlineStr"/>
      <c r="M89" s="5" t="n"/>
    </row>
    <row r="90">
      <c r="A90" t="inlineStr">
        <is>
          <t>YX-LV-02</t>
        </is>
      </c>
      <c r="B90" t="inlineStr">
        <is>
          <t>M02</t>
        </is>
      </c>
      <c r="C90" t="inlineStr">
        <is>
          <t>YX-LV</t>
        </is>
      </c>
      <c r="D90" t="inlineStr">
        <is>
          <t>4</t>
        </is>
      </c>
      <c r="E90" s="5" t="inlineStr">
        <is>
          <t>Accruals follow the type's frequency, basis (upfront / days worked / LOP-reduced) and rounding; the last accrual of the leave year trues up to the exact entitlement (L4).</t>
        </is>
      </c>
      <c r="F90" t="inlineStr">
        <is>
          <t>Not started</t>
        </is>
      </c>
      <c r="H90">
        <f>IF(G90&lt;&gt;"",G90,F90)</f>
        <v/>
      </c>
      <c r="I90" t="n">
        <v>0</v>
      </c>
      <c r="J90" t="n">
        <v>0</v>
      </c>
      <c r="K90" t="n">
        <v>0</v>
      </c>
      <c r="L90" s="5" t="inlineStr"/>
      <c r="M90" s="5" t="n"/>
    </row>
    <row r="91">
      <c r="A91" t="inlineStr">
        <is>
          <t>YX-LV-03</t>
        </is>
      </c>
      <c r="B91" t="inlineStr">
        <is>
          <t>M02</t>
        </is>
      </c>
      <c r="C91" t="inlineStr">
        <is>
          <t>YX-LV</t>
        </is>
      </c>
      <c r="D91" t="inlineStr">
        <is>
          <t>4</t>
        </is>
      </c>
      <c r="E91" s="5" t="inlineStr">
        <is>
          <t>Day counting applies the type's sandwich mode, holiday/weekly-off treatment and half-day rules (L3), using the employee's location calendar and weekly-off resolution.</t>
        </is>
      </c>
      <c r="F91" t="inlineStr">
        <is>
          <t>Tested, code not linked</t>
        </is>
      </c>
      <c r="H91">
        <f>IF(G91&lt;&gt;"",G91,F91)</f>
        <v/>
      </c>
      <c r="I91" t="n">
        <v>0</v>
      </c>
      <c r="J91" t="n">
        <v>1</v>
      </c>
      <c r="K91" t="n">
        <v>1</v>
      </c>
      <c r="L91" s="5" t="inlineStr">
        <is>
          <t>exam-app-org:packages/yx-ui/src/screens/time/time.test.tsx</t>
        </is>
      </c>
      <c r="M91" s="5" t="n"/>
    </row>
    <row r="92">
      <c r="A92" t="inlineStr">
        <is>
          <t>YX-LV-04</t>
        </is>
      </c>
      <c r="B92" t="inlineStr">
        <is>
          <t>M02</t>
        </is>
      </c>
      <c r="C92" t="inlineStr">
        <is>
          <t>YX-LV</t>
        </is>
      </c>
      <c r="D92" t="inlineStr">
        <is>
          <t>4</t>
        </is>
      </c>
      <c r="E92" s="5" t="inlineStr">
        <is>
          <t>Negative balances stay within the type's limit; future accruals repay first; on exit the remainder follows L6.</t>
        </is>
      </c>
      <c r="F92" t="inlineStr">
        <is>
          <t>Not started</t>
        </is>
      </c>
      <c r="H92">
        <f>IF(G92&lt;&gt;"",G92,F92)</f>
        <v/>
      </c>
      <c r="I92" t="n">
        <v>0</v>
      </c>
      <c r="J92" t="n">
        <v>0</v>
      </c>
      <c r="K92" t="n">
        <v>0</v>
      </c>
      <c r="L92" s="5" t="inlineStr"/>
      <c r="M92" s="5" t="n"/>
    </row>
    <row r="93">
      <c r="A93" t="inlineStr">
        <is>
          <t>YX-LV-05</t>
        </is>
      </c>
      <c r="B93" t="inlineStr">
        <is>
          <t>M02</t>
        </is>
      </c>
      <c r="C93" t="inlineStr">
        <is>
          <t>YX-LV</t>
        </is>
      </c>
      <c r="D93" t="inlineStr">
        <is>
          <t>4</t>
        </is>
      </c>
      <c r="E93" s="5" t="inlineStr">
        <is>
          <t>Eligibility, notice, maximum per request/month, block dates and mandatory-attachment rules are checked before submission and shown in the live summary.</t>
        </is>
      </c>
      <c r="F93" t="inlineStr">
        <is>
          <t>UI prototype only</t>
        </is>
      </c>
      <c r="H93">
        <f>IF(G93&lt;&gt;"",G93,F93)</f>
        <v/>
      </c>
      <c r="I93" t="n">
        <v>0</v>
      </c>
      <c r="J93" t="n">
        <v>0</v>
      </c>
      <c r="K93" t="n">
        <v>1</v>
      </c>
      <c r="L93" s="5" t="inlineStr"/>
      <c r="M93" s="5" t="n"/>
    </row>
    <row r="94">
      <c r="A94" t="inlineStr">
        <is>
          <t>YX-LV-06</t>
        </is>
      </c>
      <c r="B94" t="inlineStr">
        <is>
          <t>M02</t>
        </is>
      </c>
      <c r="C94" t="inlineStr">
        <is>
          <t>YX-LV</t>
        </is>
      </c>
      <c r="D94" t="inlineStr">
        <is>
          <t>4</t>
        </is>
      </c>
      <c r="E94" s="5" t="inlineStr">
        <is>
          <t>Comp-off credits expire after the type's window; expiry posts a ledger entry and notifies the employee in advance.</t>
        </is>
      </c>
      <c r="F94" t="inlineStr">
        <is>
          <t>Not started</t>
        </is>
      </c>
      <c r="H94">
        <f>IF(G94&lt;&gt;"",G94,F94)</f>
        <v/>
      </c>
      <c r="I94" t="n">
        <v>0</v>
      </c>
      <c r="J94" t="n">
        <v>0</v>
      </c>
      <c r="K94" t="n">
        <v>0</v>
      </c>
      <c r="L94" s="5" t="inlineStr"/>
      <c r="M94" s="5" t="n"/>
    </row>
    <row r="95">
      <c r="A95" t="inlineStr">
        <is>
          <t>YX-LV-07</t>
        </is>
      </c>
      <c r="B95" t="inlineStr">
        <is>
          <t>M02</t>
        </is>
      </c>
      <c r="C95" t="inlineStr">
        <is>
          <t>YX-LV</t>
        </is>
      </c>
      <c r="D95" t="inlineStr">
        <is>
          <t>4</t>
        </is>
      </c>
      <c r="E95" s="5" t="inlineStr">
        <is>
          <t>Year-end processing (carry forward, lapse, encash) runs only through the year-end wizard with preview and approval.</t>
        </is>
      </c>
      <c r="F95" t="inlineStr">
        <is>
          <t>UI prototype only</t>
        </is>
      </c>
      <c r="H95">
        <f>IF(G95&lt;&gt;"",G95,F95)</f>
        <v/>
      </c>
      <c r="I95" t="n">
        <v>0</v>
      </c>
      <c r="J95" t="n">
        <v>0</v>
      </c>
      <c r="K95" t="n">
        <v>1</v>
      </c>
      <c r="L95" s="5" t="inlineStr"/>
      <c r="M95" s="5" t="n"/>
    </row>
    <row r="96">
      <c r="A96" t="inlineStr">
        <is>
          <t>YX-LV-08</t>
        </is>
      </c>
      <c r="B96" t="inlineStr">
        <is>
          <t>M02</t>
        </is>
      </c>
      <c r="C96" t="inlineStr">
        <is>
          <t>YX-LV</t>
        </is>
      </c>
      <c r="D96" t="inlineStr">
        <is>
          <t>4</t>
        </is>
      </c>
      <c r="E96" s="5" t="inlineStr">
        <is>
          <t>Leave affecting a locked period can only be corrected via a late request / correction with effect in the next payroll (P08).</t>
        </is>
      </c>
      <c r="F96" t="inlineStr">
        <is>
          <t>Not started</t>
        </is>
      </c>
      <c r="H96">
        <f>IF(G96&lt;&gt;"",G96,F96)</f>
        <v/>
      </c>
      <c r="I96" t="n">
        <v>0</v>
      </c>
      <c r="J96" t="n">
        <v>0</v>
      </c>
      <c r="K96" t="n">
        <v>0</v>
      </c>
      <c r="L96" s="5" t="inlineStr"/>
      <c r="M96" s="5" t="n"/>
    </row>
    <row r="97">
      <c r="A97" t="inlineStr">
        <is>
          <t>YX-LV-09</t>
        </is>
      </c>
      <c r="B97" t="inlineStr">
        <is>
          <t>M02</t>
        </is>
      </c>
      <c r="C97" t="inlineStr">
        <is>
          <t>YX-LV</t>
        </is>
      </c>
      <c r="D97" t="inlineStr">
        <is>
          <t>4</t>
        </is>
      </c>
      <c r="E97" s="5" t="inlineStr">
        <is>
          <t>A mandatory attachment of a medical nature is stored as a P05 "Medical certificate" document (Special class) and verified by HR; approvers and managers see only "certificate attached · verified / pending", never the file (D9).</t>
        </is>
      </c>
      <c r="F97" t="inlineStr">
        <is>
          <t>Not started</t>
        </is>
      </c>
      <c r="H97">
        <f>IF(G97&lt;&gt;"",G97,F97)</f>
        <v/>
      </c>
      <c r="I97" t="n">
        <v>0</v>
      </c>
      <c r="J97" t="n">
        <v>0</v>
      </c>
      <c r="K97" t="n">
        <v>0</v>
      </c>
      <c r="L97" s="5" t="inlineStr"/>
      <c r="M97" s="5" t="n"/>
    </row>
    <row r="98">
      <c r="A98" t="inlineStr">
        <is>
          <t>YX-LV-10</t>
        </is>
      </c>
      <c r="B98" t="inlineStr">
        <is>
          <t>M02</t>
        </is>
      </c>
      <c r="C98" t="inlineStr">
        <is>
          <t>YX-LV</t>
        </is>
      </c>
      <c r="D98" t="inlineStr">
        <is>
          <t>4</t>
        </is>
      </c>
      <c r="E98" s="5" t="inlineStr">
        <is>
          <t>Maternity follows the P07 IN.LEAVE template: 80 days in the preceding 12 months for eligibility; 26 weeks (max 8 before delivery), 12 weeks for adopting / commissioning mothers or the 3rd child, 6 weeks for miscarriage / MTP, 2 weeks for tubectomy. For ESIC-covered employees the leave is recorded but pay is by ESIC (M03 YX-PAY-26). Dismissal during maternity leave is blocked (law); crèche and post-maternity WFH are company settings (D17).</t>
        </is>
      </c>
      <c r="F98" t="inlineStr">
        <is>
          <t>Not started</t>
        </is>
      </c>
      <c r="H98">
        <f>IF(G98&lt;&gt;"",G98,F98)</f>
        <v/>
      </c>
      <c r="I98" t="n">
        <v>0</v>
      </c>
      <c r="J98" t="n">
        <v>0</v>
      </c>
      <c r="K98" t="n">
        <v>0</v>
      </c>
      <c r="L98" s="5" t="inlineStr"/>
      <c r="M98" s="5" t="n"/>
    </row>
    <row r="99">
      <c r="A99" t="inlineStr">
        <is>
          <t>YX-LV-11</t>
        </is>
      </c>
      <c r="B99" t="inlineStr">
        <is>
          <t>M02</t>
        </is>
      </c>
      <c r="C99" t="inlineStr">
        <is>
          <t>YX-LV</t>
        </is>
      </c>
      <c r="D99" t="inlineStr">
        <is>
          <t>4</t>
        </is>
      </c>
      <c r="E99" s="5" t="inlineStr">
        <is>
          <t>During sabbatical, long LWP or maternity, accrual pauses or continues per leave type as the company sets (D17); statutory values are enforced where the law fixes them.</t>
        </is>
      </c>
      <c r="F99" t="inlineStr">
        <is>
          <t>Not started</t>
        </is>
      </c>
      <c r="H99">
        <f>IF(G99&lt;&gt;"",G99,F99)</f>
        <v/>
      </c>
      <c r="I99" t="n">
        <v>0</v>
      </c>
      <c r="J99" t="n">
        <v>0</v>
      </c>
      <c r="K99" t="n">
        <v>0</v>
      </c>
      <c r="L99" s="5" t="inlineStr"/>
      <c r="M99" s="5" t="n"/>
    </row>
    <row r="100">
      <c r="A100" t="inlineStr">
        <is>
          <t>YX-LV-12</t>
        </is>
      </c>
      <c r="B100" t="inlineStr">
        <is>
          <t>M02</t>
        </is>
      </c>
      <c r="C100" t="inlineStr">
        <is>
          <t>YX-LV</t>
        </is>
      </c>
      <c r="D100" t="inlineStr">
        <is>
          <t>4</t>
        </is>
      </c>
      <c r="E100" s="5" t="inlineStr">
        <is>
          <t>Leave during the notice period follows the type's company policy — allowed (starter) / LOP / extends LWD / blocked (D17); the apply sheet warns, and the LWD / notice-shortfall effect is sent to the M01 exit case.</t>
        </is>
      </c>
      <c r="F100" t="inlineStr">
        <is>
          <t>UI prototype only</t>
        </is>
      </c>
      <c r="H100">
        <f>IF(G100&lt;&gt;"",G100,F100)</f>
        <v/>
      </c>
      <c r="I100" t="n">
        <v>0</v>
      </c>
      <c r="J100" t="n">
        <v>0</v>
      </c>
      <c r="K100" t="n">
        <v>1</v>
      </c>
      <c r="L100" s="5" t="inlineStr"/>
      <c r="M100" s="5" t="n"/>
    </row>
    <row r="101">
      <c r="A101" t="inlineStr">
        <is>
          <t>YX-LV-13</t>
        </is>
      </c>
      <c r="B101" t="inlineStr">
        <is>
          <t>M02</t>
        </is>
      </c>
      <c r="C101" t="inlineStr">
        <is>
          <t>YX-LV</t>
        </is>
      </c>
      <c r="D101" t="inlineStr">
        <is>
          <t>4</t>
        </is>
      </c>
      <c r="E101" s="5" t="inlineStr">
        <is>
          <t>A leave-year change creates a short year with pro-rata entitlements and a carry-forward transition wizard; on transfer the holiday calendar switches on the transfer date and optional holidays are prorated or reset per company setting.</t>
        </is>
      </c>
      <c r="F101" t="inlineStr">
        <is>
          <t>Not started</t>
        </is>
      </c>
      <c r="H101">
        <f>IF(G101&lt;&gt;"",G101,F101)</f>
        <v/>
      </c>
      <c r="I101" t="n">
        <v>0</v>
      </c>
      <c r="J101" t="n">
        <v>0</v>
      </c>
      <c r="K101" t="n">
        <v>0</v>
      </c>
      <c r="L101" s="5" t="inlineStr"/>
      <c r="M101" s="5" t="n"/>
    </row>
    <row r="102">
      <c r="A102" t="inlineStr">
        <is>
          <t>YX-LV-14</t>
        </is>
      </c>
      <c r="B102" t="inlineStr">
        <is>
          <t>M02</t>
        </is>
      </c>
      <c r="C102" t="inlineStr">
        <is>
          <t>YX-LV</t>
        </is>
      </c>
      <c r="D102" t="inlineStr">
        <is>
          <t>4</t>
        </is>
      </c>
      <c r="E102" s="5" t="inlineStr">
        <is>
          <t>Unpaid (LWP) leave types carry no balance: the balance card, reports and mobile show "taken this year", never a negative closing balance; negative balances exist only for paid types within their L6 limit (fixes U7).</t>
        </is>
      </c>
      <c r="F102" t="inlineStr">
        <is>
          <t>UI prototype only</t>
        </is>
      </c>
      <c r="H102">
        <f>IF(G102&lt;&gt;"",G102,F102)</f>
        <v/>
      </c>
      <c r="I102" t="n">
        <v>0</v>
      </c>
      <c r="J102" t="n">
        <v>0</v>
      </c>
      <c r="K102" t="n">
        <v>2</v>
      </c>
      <c r="L102" s="5" t="inlineStr"/>
      <c r="M102" s="5" t="n"/>
    </row>
    <row r="103">
      <c r="A103" t="inlineStr">
        <is>
          <t>YX-LV-15</t>
        </is>
      </c>
      <c r="B103" t="inlineStr">
        <is>
          <t>M02</t>
        </is>
      </c>
      <c r="C103" t="inlineStr">
        <is>
          <t>YX-LV</t>
        </is>
      </c>
      <c r="D103" t="inlineStr">
        <is>
          <t>4</t>
        </is>
      </c>
      <c r="E103" s="5" t="inlineStr">
        <is>
          <t>Injury leave (J6): injury leave is posted only from an M08 workplace accident / injury case (YX-CASE-14) for the days the person cannot work; it has no balance or accrual, counts as service and never as LOP; pay follows the company policy (D17) but never below the statutory floor — ESIC benefit for ESI-covered persons, P07 IN.EC compensation otherwise (M03 YX-PAY-50); medical evidence is a Special document (YX-LV-09) and the manager sees only the dates.</t>
        </is>
      </c>
      <c r="F103" t="inlineStr">
        <is>
          <t>Not started</t>
        </is>
      </c>
      <c r="H103">
        <f>IF(G103&lt;&gt;"",G103,F103)</f>
        <v/>
      </c>
      <c r="I103" t="n">
        <v>0</v>
      </c>
      <c r="J103" t="n">
        <v>0</v>
      </c>
      <c r="K103" t="n">
        <v>0</v>
      </c>
      <c r="L103" s="5" t="inlineStr"/>
      <c r="M103" s="5" t="n"/>
    </row>
    <row r="104">
      <c r="A104" t="inlineStr">
        <is>
          <t>YX-LV-16</t>
        </is>
      </c>
      <c r="B104" t="inlineStr">
        <is>
          <t>M02</t>
        </is>
      </c>
      <c r="C104" t="inlineStr">
        <is>
          <t>YX-LV</t>
        </is>
      </c>
      <c r="D104" t="inlineStr">
        <is>
          <t>4</t>
        </is>
      </c>
      <c r="E104" s="5" t="inlineStr">
        <is>
          <t>Mandatory block leave (V12). With the BFSI pack on, each designated person must take one block of the company's required consecutive days per year (verify regulator guidance); the start triggers P12 access suspension until return, any access during it needs a logged compliance-officer exception, and people without a block planned by the company's cut-off are listed for the compliance officer.</t>
        </is>
      </c>
      <c r="F104" t="inlineStr">
        <is>
          <t>Not started</t>
        </is>
      </c>
      <c r="H104">
        <f>IF(G104&lt;&gt;"",G104,F104)</f>
        <v/>
      </c>
      <c r="I104" t="n">
        <v>0</v>
      </c>
      <c r="J104" t="n">
        <v>0</v>
      </c>
      <c r="K104" t="n">
        <v>0</v>
      </c>
      <c r="L104" s="5" t="inlineStr"/>
      <c r="M104" s="5" t="n"/>
    </row>
    <row r="105">
      <c r="A105" t="inlineStr">
        <is>
          <t>YX-PAY-01</t>
        </is>
      </c>
      <c r="B105" t="inlineStr">
        <is>
          <t>M03</t>
        </is>
      </c>
      <c r="C105" t="inlineStr">
        <is>
          <t>YX-PAY</t>
        </is>
      </c>
      <c r="D105" t="inlineStr">
        <is>
          <t>5</t>
        </is>
      </c>
      <c r="E105" s="5" t="inlineStr">
        <is>
          <t>Formulas run in a sandboxed expression language with no code execution. A template is validated on save: dependency order, no cycles, and a test run on a sample employee. Editing a template creates a new version and never changes past payslips (fixes A-D2, A-D3).</t>
        </is>
      </c>
      <c r="F105" t="inlineStr">
        <is>
          <t>Not started</t>
        </is>
      </c>
      <c r="H105">
        <f>IF(G105&lt;&gt;"",G105,F105)</f>
        <v/>
      </c>
      <c r="I105" t="n">
        <v>0</v>
      </c>
      <c r="J105" t="n">
        <v>0</v>
      </c>
      <c r="K105" t="n">
        <v>0</v>
      </c>
      <c r="L105" s="5" t="inlineStr"/>
      <c r="M105" s="5" t="n"/>
    </row>
    <row r="106">
      <c r="A106" t="inlineStr">
        <is>
          <t>YX-PAY-02</t>
        </is>
      </c>
      <c r="B106" t="inlineStr">
        <is>
          <t>M03</t>
        </is>
      </c>
      <c r="C106" t="inlineStr">
        <is>
          <t>YX-PAY</t>
        </is>
      </c>
      <c r="D106" t="inlineStr">
        <is>
          <t>5</t>
        </is>
      </c>
      <c r="E106" s="5" t="inlineStr">
        <is>
          <t>Proration uses the component's formula when one is defined. Otherwise it uses amount × payable days ÷ period days, with the day basis set per company (calendar days, 30 or 26). Never prorate twice (fixes B-D3).</t>
        </is>
      </c>
      <c r="F106" t="inlineStr">
        <is>
          <t>UI prototype only</t>
        </is>
      </c>
      <c r="H106">
        <f>IF(G106&lt;&gt;"",G106,F106)</f>
        <v/>
      </c>
      <c r="I106" t="n">
        <v>0</v>
      </c>
      <c r="J106" t="n">
        <v>0</v>
      </c>
      <c r="K106" t="n">
        <v>1</v>
      </c>
      <c r="L106" s="5" t="inlineStr"/>
      <c r="M106" s="5" t="n"/>
    </row>
    <row r="107">
      <c r="A107" t="inlineStr">
        <is>
          <t>YX-PAY-03</t>
        </is>
      </c>
      <c r="B107" t="inlineStr">
        <is>
          <t>M03</t>
        </is>
      </c>
      <c r="C107" t="inlineStr">
        <is>
          <t>YX-PAY</t>
        </is>
      </c>
      <c r="D107" t="inlineStr">
        <is>
          <t>5</t>
        </is>
      </c>
      <c r="E107" s="5" t="inlineStr">
        <is>
          <t>A payslip is split into P06 segments whenever compensation, template or statutory status changes inside the period. Each line shows its segment (fixes B-D1).</t>
        </is>
      </c>
      <c r="F107" t="inlineStr">
        <is>
          <t>Not started</t>
        </is>
      </c>
      <c r="H107">
        <f>IF(G107&lt;&gt;"",G107,F107)</f>
        <v/>
      </c>
      <c r="I107" t="n">
        <v>0</v>
      </c>
      <c r="J107" t="n">
        <v>0</v>
      </c>
      <c r="K107" t="n">
        <v>0</v>
      </c>
      <c r="L107" s="5" t="inlineStr"/>
      <c r="M107" s="5" t="n"/>
    </row>
    <row r="108">
      <c r="A108" t="inlineStr">
        <is>
          <t>YX-PAY-04</t>
        </is>
      </c>
      <c r="B108" t="inlineStr">
        <is>
          <t>M03</t>
        </is>
      </c>
      <c r="C108" t="inlineStr">
        <is>
          <t>YX-PAY</t>
        </is>
      </c>
      <c r="D108" t="inlineStr">
        <is>
          <t>5</t>
        </is>
      </c>
      <c r="E108" s="5" t="inlineStr">
        <is>
          <t>An employee can have only one regular payslip per period and pay group; overlapping runs are rejected (fixes B-D4, C-D6).</t>
        </is>
      </c>
      <c r="F108" t="inlineStr">
        <is>
          <t>Not started</t>
        </is>
      </c>
      <c r="H108">
        <f>IF(G108&lt;&gt;"",G108,F108)</f>
        <v/>
      </c>
      <c r="I108" t="n">
        <v>0</v>
      </c>
      <c r="J108" t="n">
        <v>0</v>
      </c>
      <c r="K108" t="n">
        <v>0</v>
      </c>
      <c r="L108" s="5" t="inlineStr"/>
      <c r="M108" s="5" t="n"/>
    </row>
    <row r="109">
      <c r="A109" t="inlineStr">
        <is>
          <t>YX-PAY-05</t>
        </is>
      </c>
      <c r="B109" t="inlineStr">
        <is>
          <t>M03</t>
        </is>
      </c>
      <c r="C109" t="inlineStr">
        <is>
          <t>YX-PAY</t>
        </is>
      </c>
      <c r="D109" t="inlineStr">
        <is>
          <t>5</t>
        </is>
      </c>
      <c r="E109" s="5" t="inlineStr">
        <is>
          <t>The pre-run validation runs before calculation. It checks for: missing or unverified bank details, missing / unverified / inoperative PAN (a warning, not a block — TDS then follows s.206AA, YX-TAX-10), missing UAN or ESI IP number for PF / ESI-eligible employees (E11), no compensation, attendance exceptions, negative net pay, pay below minimum wage or the national floor wage (P07, YX-PAY-22), the Code wage-definition add-back (YX-PAY-47), joiners and leavers, pending one-time pay, and impossible-value checks (G9, 26 Sep 2026): LOP days greater than the period's calendar days, pay or LOP for da</t>
        </is>
      </c>
      <c r="F109" t="inlineStr">
        <is>
          <t>Not started</t>
        </is>
      </c>
      <c r="H109">
        <f>IF(G109&lt;&gt;"",G109,F109)</f>
        <v/>
      </c>
      <c r="I109" t="n">
        <v>0</v>
      </c>
      <c r="J109" t="n">
        <v>0</v>
      </c>
      <c r="K109" t="n">
        <v>0</v>
      </c>
      <c r="L109" s="5" t="inlineStr"/>
      <c r="M109" s="5" t="n"/>
    </row>
    <row r="110">
      <c r="A110" t="inlineStr">
        <is>
          <t>YX-PAY-06</t>
        </is>
      </c>
      <c r="B110" t="inlineStr">
        <is>
          <t>M03</t>
        </is>
      </c>
      <c r="C110" t="inlineStr">
        <is>
          <t>YX-PAY</t>
        </is>
      </c>
      <c r="D110" t="inlineStr">
        <is>
          <t>5</t>
        </is>
      </c>
      <c r="E110" s="5" t="inlineStr">
        <is>
          <t>Variance review: every payslip is compared with the previous period. Changes above a threshold (default ±10 % net, or any new or removed component) must be acknowledged before approval.</t>
        </is>
      </c>
      <c r="F110" t="inlineStr">
        <is>
          <t>UI prototype only</t>
        </is>
      </c>
      <c r="H110">
        <f>IF(G110&lt;&gt;"",G110,F110)</f>
        <v/>
      </c>
      <c r="I110" t="n">
        <v>0</v>
      </c>
      <c r="J110" t="n">
        <v>0</v>
      </c>
      <c r="K110" t="n">
        <v>1</v>
      </c>
      <c r="L110" s="5" t="inlineStr"/>
      <c r="M110" s="5" t="n"/>
    </row>
    <row r="111">
      <c r="A111" t="inlineStr">
        <is>
          <t>YX-PAY-07</t>
        </is>
      </c>
      <c r="B111" t="inlineStr">
        <is>
          <t>M03</t>
        </is>
      </c>
      <c r="C111" t="inlineStr">
        <is>
          <t>YX-PAY</t>
        </is>
      </c>
      <c r="D111" t="inlineStr">
        <is>
          <t>5</t>
        </is>
      </c>
      <c r="E111" s="5" t="inlineStr">
        <is>
          <t>Approval follows the run's approval chain (Q2), with maker ≠ checker (P02 Q6). Inputs are frozen at the P08 cut-off / when processing starts; approval moves the period to locked (P08 YX-LOCK-04). Bank files, payslip publication and journals are only available after approval.</t>
        </is>
      </c>
      <c r="F111" t="inlineStr">
        <is>
          <t>UI prototype only</t>
        </is>
      </c>
      <c r="H111">
        <f>IF(G111&lt;&gt;"",G111,F111)</f>
        <v/>
      </c>
      <c r="I111" t="n">
        <v>0</v>
      </c>
      <c r="J111" t="n">
        <v>0</v>
      </c>
      <c r="K111" t="n">
        <v>1</v>
      </c>
      <c r="L111" s="5" t="inlineStr"/>
      <c r="M111" s="5" t="n"/>
    </row>
    <row r="112">
      <c r="A112" t="inlineStr">
        <is>
          <t>YX-PAY-08</t>
        </is>
      </c>
      <c r="B112" t="inlineStr">
        <is>
          <t>M03</t>
        </is>
      </c>
      <c r="C112" t="inlineStr">
        <is>
          <t>YX-PAY</t>
        </is>
      </c>
      <c r="D112" t="inlineStr">
        <is>
          <t>5</t>
        </is>
      </c>
      <c r="E112" s="5" t="inlineStr">
        <is>
          <t>A run is never deleted once it has been calculated. Cancelling marks it void, keeps its payslips as void, and is audited (fixes C-D5).</t>
        </is>
      </c>
      <c r="F112" t="inlineStr">
        <is>
          <t>Not started</t>
        </is>
      </c>
      <c r="H112">
        <f>IF(G112&lt;&gt;"",G112,F112)</f>
        <v/>
      </c>
      <c r="I112" t="n">
        <v>0</v>
      </c>
      <c r="J112" t="n">
        <v>0</v>
      </c>
      <c r="K112" t="n">
        <v>0</v>
      </c>
      <c r="L112" s="5" t="inlineStr"/>
      <c r="M112" s="5" t="n"/>
    </row>
    <row r="113">
      <c r="A113" t="inlineStr">
        <is>
          <t>YX-PAY-09</t>
        </is>
      </c>
      <c r="B113" t="inlineStr">
        <is>
          <t>M03</t>
        </is>
      </c>
      <c r="C113" t="inlineStr">
        <is>
          <t>YX-PAY</t>
        </is>
      </c>
      <c r="D113" t="inlineStr">
        <is>
          <t>5</t>
        </is>
      </c>
      <c r="E113" s="5" t="inlineStr">
        <is>
          <t>A withheld payslip is released per employee per run. Releasing it affects only that run (fixes C-D2), and the action is idempotent (fixes C-D3).</t>
        </is>
      </c>
      <c r="F113" t="inlineStr">
        <is>
          <t>Not started</t>
        </is>
      </c>
      <c r="H113">
        <f>IF(G113&lt;&gt;"",G113,F113)</f>
        <v/>
      </c>
      <c r="I113" t="n">
        <v>0</v>
      </c>
      <c r="J113" t="n">
        <v>0</v>
      </c>
      <c r="K113" t="n">
        <v>0</v>
      </c>
      <c r="L113" s="5" t="inlineStr"/>
      <c r="M113" s="5" t="n"/>
    </row>
    <row r="114">
      <c r="A114" t="inlineStr">
        <is>
          <t>YX-PAY-10</t>
        </is>
      </c>
      <c r="B114" t="inlineStr">
        <is>
          <t>M03</t>
        </is>
      </c>
      <c r="C114" t="inlineStr">
        <is>
          <t>YX-PAY</t>
        </is>
      </c>
      <c r="D114" t="inlineStr">
        <is>
          <t>5</t>
        </is>
      </c>
      <c r="E114" s="5" t="inlineStr">
        <is>
          <t>Year-to-date figures only count payslips of the same employment in that FY whose period ends on or before the current one (fixes B-D5, B-D6). Tax YTD, TDS and Form 130 are combined across employments per PAN × TAN × FY (YX-TAX-13).</t>
        </is>
      </c>
      <c r="F114" t="inlineStr">
        <is>
          <t>Not started</t>
        </is>
      </c>
      <c r="H114">
        <f>IF(G114&lt;&gt;"",G114,F114)</f>
        <v/>
      </c>
      <c r="I114" t="n">
        <v>0</v>
      </c>
      <c r="J114" t="n">
        <v>0</v>
      </c>
      <c r="K114" t="n">
        <v>0</v>
      </c>
      <c r="L114" s="5" t="inlineStr"/>
      <c r="M114" s="5" t="n"/>
    </row>
    <row r="115">
      <c r="A115" t="inlineStr">
        <is>
          <t>YX-PAY-11</t>
        </is>
      </c>
      <c r="B115" t="inlineStr">
        <is>
          <t>M03</t>
        </is>
      </c>
      <c r="C115" t="inlineStr">
        <is>
          <t>YX-PAY</t>
        </is>
      </c>
      <c r="D115" t="inlineStr">
        <is>
          <t>5</t>
        </is>
      </c>
      <c r="E115" s="5" t="inlineStr">
        <is>
          <t>Payroll recoveries (loan EMIs, expense-advance instalments from M05, other recoveries) are deducted in the order set by their schedules. If net pay would fall below the protected minimum (company setting), the recovery is deferred rather than creating negative pay. Outstanding balances go to F&amp;F.</t>
        </is>
      </c>
      <c r="F115" t="inlineStr">
        <is>
          <t>UI prototype only</t>
        </is>
      </c>
      <c r="H115">
        <f>IF(G115&lt;&gt;"",G115,F115)</f>
        <v/>
      </c>
      <c r="I115" t="n">
        <v>0</v>
      </c>
      <c r="J115" t="n">
        <v>0</v>
      </c>
      <c r="K115" t="n">
        <v>1</v>
      </c>
      <c r="L115" s="5" t="inlineStr"/>
      <c r="M115" s="5" t="n"/>
    </row>
    <row r="116">
      <c r="A116" t="inlineStr">
        <is>
          <t>YX-PAY-12</t>
        </is>
      </c>
      <c r="B116" t="inlineStr">
        <is>
          <t>M03</t>
        </is>
      </c>
      <c r="C116" t="inlineStr">
        <is>
          <t>YX-PAY</t>
        </is>
      </c>
      <c r="D116" t="inlineStr">
        <is>
          <t>5</t>
        </is>
      </c>
      <c r="E116" s="5" t="inlineStr">
        <is>
          <t>Every payslip line stores its explanation (formula, inputs, rule version). The payslip PDF and the "why this number" drawer are rendered from it.</t>
        </is>
      </c>
      <c r="F116" t="inlineStr">
        <is>
          <t>UI prototype only</t>
        </is>
      </c>
      <c r="H116">
        <f>IF(G116&lt;&gt;"",G116,F116)</f>
        <v/>
      </c>
      <c r="I116" t="n">
        <v>0</v>
      </c>
      <c r="J116" t="n">
        <v>0</v>
      </c>
      <c r="K116" t="n">
        <v>1</v>
      </c>
      <c r="L116" s="5" t="inlineStr"/>
      <c r="M116" s="5" t="n"/>
    </row>
    <row r="117">
      <c r="A117" t="inlineStr">
        <is>
          <t>YX-PAY-13</t>
        </is>
      </c>
      <c r="B117" t="inlineStr">
        <is>
          <t>M03</t>
        </is>
      </c>
      <c r="C117" t="inlineStr">
        <is>
          <t>YX-PAY</t>
        </is>
      </c>
      <c r="D117" t="inlineStr">
        <is>
          <t>5</t>
        </is>
      </c>
      <c r="E117" s="5" t="inlineStr">
        <is>
          <t>Bank files keep account numbers and IFSC codes as text (leading zeros preserved), include only approved, unwithheld, verified-account payslips, and are generated at most once per run unless regenerated with a reason (fixes D-D10, C-D4).</t>
        </is>
      </c>
      <c r="F117" t="inlineStr">
        <is>
          <t>Not started</t>
        </is>
      </c>
      <c r="H117">
        <f>IF(G117&lt;&gt;"",G117,F117)</f>
        <v/>
      </c>
      <c r="I117" t="n">
        <v>0</v>
      </c>
      <c r="J117" t="n">
        <v>0</v>
      </c>
      <c r="K117" t="n">
        <v>0</v>
      </c>
      <c r="L117" s="5" t="inlineStr"/>
      <c r="M117" s="5" t="n"/>
    </row>
    <row r="118">
      <c r="A118" t="inlineStr">
        <is>
          <t>YX-PAY-14</t>
        </is>
      </c>
      <c r="B118" t="inlineStr">
        <is>
          <t>M03</t>
        </is>
      </c>
      <c r="C118" t="inlineStr">
        <is>
          <t>YX-PAY</t>
        </is>
      </c>
      <c r="D118" t="inlineStr">
        <is>
          <t>5</t>
        </is>
      </c>
      <c r="E118" s="5" t="inlineStr">
        <is>
          <t>Payment status (paid / failed / returned) is recorded per payslip. Failed payments re-enter the next bank file or an off-cycle payment. On a return the employee is notified in the app (+ SMS, no amounts) to correct the bank details; the corrected account may skip the P02 §4.5 cooling period only after checker approval and a successful penny-drop; meanwhile payroll may pay to the employee's verified reimbursement account (D11).</t>
        </is>
      </c>
      <c r="F118" t="inlineStr">
        <is>
          <t>Not started</t>
        </is>
      </c>
      <c r="H118">
        <f>IF(G118&lt;&gt;"",G118,F118)</f>
        <v/>
      </c>
      <c r="I118" t="n">
        <v>0</v>
      </c>
      <c r="J118" t="n">
        <v>0</v>
      </c>
      <c r="K118" t="n">
        <v>0</v>
      </c>
      <c r="L118" s="5" t="inlineStr"/>
      <c r="M118" s="5" t="n"/>
    </row>
    <row r="119">
      <c r="A119" t="inlineStr">
        <is>
          <t>YX-PAY-15</t>
        </is>
      </c>
      <c r="B119" t="inlineStr">
        <is>
          <t>M03</t>
        </is>
      </c>
      <c r="C119" t="inlineStr">
        <is>
          <t>YX-PAY</t>
        </is>
      </c>
      <c r="D119" t="inlineStr">
        <is>
          <t>5</t>
        </is>
      </c>
      <c r="E119" s="5" t="inlineStr">
        <is>
          <t>Gratuity is provisioned monthly (last drawn gratuity wage × 15/26 × service years, capped at the statutory ceiling). Payment follows the law: 5 years of eligibility (fixed-term employees: pro-rata after 1 year of continuous service, Code on Social Security, in force 21 Nov 2025, P07 IN.SS-CODE), a final year of 6 months or more rounds up, cap from P07 (fixes D-D5); from 21 Nov 2025 the gratuity wage is the Code wage with the 50 % add-back (YX-PAY-47).</t>
        </is>
      </c>
      <c r="F119" t="inlineStr">
        <is>
          <t>UI prototype only</t>
        </is>
      </c>
      <c r="H119">
        <f>IF(G119&lt;&gt;"",G119,F119)</f>
        <v/>
      </c>
      <c r="I119" t="n">
        <v>0</v>
      </c>
      <c r="J119" t="n">
        <v>0</v>
      </c>
      <c r="K119" t="n">
        <v>1</v>
      </c>
      <c r="L119" s="5" t="inlineStr"/>
      <c r="M119" s="5" t="n"/>
    </row>
    <row r="120">
      <c r="A120" t="inlineStr">
        <is>
          <t>YX-PAY-16</t>
        </is>
      </c>
      <c r="B120" t="inlineStr">
        <is>
          <t>M03</t>
        </is>
      </c>
      <c r="C120" t="inlineStr">
        <is>
          <t>YX-PAY</t>
        </is>
      </c>
      <c r="D120" t="inlineStr">
        <is>
          <t>5</t>
        </is>
      </c>
      <c r="E120" s="5" t="inlineStr">
        <is>
          <t>Statutory bonus is computed per the Payment of Bonus Act rules in P07 (eligibility wage, calculation ceiling, 8.33–20 %). The payment method follows Q8.</t>
        </is>
      </c>
      <c r="F120" t="inlineStr">
        <is>
          <t>UI prototype only</t>
        </is>
      </c>
      <c r="H120">
        <f>IF(G120&lt;&gt;"",G120,F120)</f>
        <v/>
      </c>
      <c r="I120" t="n">
        <v>0</v>
      </c>
      <c r="J120" t="n">
        <v>0</v>
      </c>
      <c r="K120" t="n">
        <v>1</v>
      </c>
      <c r="L120" s="5" t="inlineStr"/>
      <c r="M120" s="5" t="n"/>
    </row>
    <row r="121">
      <c r="A121" t="inlineStr">
        <is>
          <t>YX-PAY-17</t>
        </is>
      </c>
      <c r="B121" t="inlineStr">
        <is>
          <t>M03</t>
        </is>
      </c>
      <c r="C121" t="inlineStr">
        <is>
          <t>YX-PAY</t>
        </is>
      </c>
      <c r="D121" t="inlineStr">
        <is>
          <t>5</t>
        </is>
      </c>
      <c r="E121" s="5" t="inlineStr">
        <is>
          <t>The PF wage comes from component flags, not names (fixes IN-D7). Employer EPF, EPS and EDLI, plus admin charges, are computed on every payslip and included in CTC (fixes IN-D1, IN-D2). This covers the pre-2014 EPS rule, the age-58 EPS stop, and international workers.</t>
        </is>
      </c>
      <c r="F121" t="inlineStr">
        <is>
          <t>UI prototype only</t>
        </is>
      </c>
      <c r="H121">
        <f>IF(G121&lt;&gt;"",G121,F121)</f>
        <v/>
      </c>
      <c r="I121" t="n">
        <v>0</v>
      </c>
      <c r="J121" t="n">
        <v>0</v>
      </c>
      <c r="K121" t="n">
        <v>1</v>
      </c>
      <c r="L121" s="5" t="inlineStr"/>
      <c r="M121" s="5" t="n"/>
    </row>
    <row r="122">
      <c r="A122" t="inlineStr">
        <is>
          <t>YX-PAY-18</t>
        </is>
      </c>
      <c r="B122" t="inlineStr">
        <is>
          <t>M03</t>
        </is>
      </c>
      <c r="C122" t="inlineStr">
        <is>
          <t>YX-PAY</t>
        </is>
      </c>
      <c r="D122" t="inlineStr">
        <is>
          <t>5</t>
        </is>
      </c>
      <c r="E122" s="5" t="inlineStr">
        <is>
          <t>ESI coverage is tested on the contribution-period wage and continues until the period ends. Amounts are rounded up to the next rupee, and the daily-wage exemption applies (fixes IN-D4, IN-D5).</t>
        </is>
      </c>
      <c r="F122" t="inlineStr">
        <is>
          <t>UI prototype only</t>
        </is>
      </c>
      <c r="H122">
        <f>IF(G122&lt;&gt;"",G122,F122)</f>
        <v/>
      </c>
      <c r="I122" t="n">
        <v>0</v>
      </c>
      <c r="J122" t="n">
        <v>0</v>
      </c>
      <c r="K122" t="n">
        <v>1</v>
      </c>
      <c r="L122" s="5" t="inlineStr"/>
      <c r="M122" s="5" t="n"/>
    </row>
    <row r="123">
      <c r="A123" t="inlineStr">
        <is>
          <t>YX-PAY-19</t>
        </is>
      </c>
      <c r="B123" t="inlineStr">
        <is>
          <t>M03</t>
        </is>
      </c>
      <c r="C123" t="inlineStr">
        <is>
          <t>YX-PAY</t>
        </is>
      </c>
      <c r="D123" t="inlineStr">
        <is>
          <t>5</t>
        </is>
      </c>
      <c r="E123" s="5" t="inlineStr">
        <is>
          <t>PT and LWF follow the employee's work-location state on the deduction date. State slabs, frequency, annual caps (e.g. ₹2,500 PT) and the deduction month come from P07. One deduction per period per employment (fixes IN-D6, IN-D10).</t>
        </is>
      </c>
      <c r="F123" t="inlineStr">
        <is>
          <t>Not started</t>
        </is>
      </c>
      <c r="H123">
        <f>IF(G123&lt;&gt;"",G123,F123)</f>
        <v/>
      </c>
      <c r="I123" t="n">
        <v>0</v>
      </c>
      <c r="J123" t="n">
        <v>0</v>
      </c>
      <c r="K123" t="n">
        <v>0</v>
      </c>
      <c r="L123" s="5" t="inlineStr"/>
      <c r="M123" s="5" t="n"/>
    </row>
    <row r="124">
      <c r="A124" t="inlineStr">
        <is>
          <t>YX-PAY-20</t>
        </is>
      </c>
      <c r="B124" t="inlineStr">
        <is>
          <t>M03</t>
        </is>
      </c>
      <c r="C124" t="inlineStr">
        <is>
          <t>YX-PAY</t>
        </is>
      </c>
      <c r="D124" t="inlineStr">
        <is>
          <t>5</t>
        </is>
      </c>
      <c r="E124" s="5" t="inlineStr">
        <is>
          <t>Registers (formats from P07 IN.REGISTERS, YX-PAY-39; APX-C RPT-STAT-13) and returns read the statutory values stored on the payslip at calculation time, never the employee's current settings (fixes IN-D3).</t>
        </is>
      </c>
      <c r="F124" t="inlineStr">
        <is>
          <t>Not started</t>
        </is>
      </c>
      <c r="H124">
        <f>IF(G124&lt;&gt;"",G124,F124)</f>
        <v/>
      </c>
      <c r="I124" t="n">
        <v>0</v>
      </c>
      <c r="J124" t="n">
        <v>0</v>
      </c>
      <c r="K124" t="n">
        <v>0</v>
      </c>
      <c r="L124" s="5" t="inlineStr"/>
      <c r="M124" s="5" t="n"/>
    </row>
    <row r="125">
      <c r="A125" t="inlineStr">
        <is>
          <t>YX-PAY-21</t>
        </is>
      </c>
      <c r="B125" t="inlineStr">
        <is>
          <t>M03</t>
        </is>
      </c>
      <c r="C125" t="inlineStr">
        <is>
          <t>YX-PAY</t>
        </is>
      </c>
      <c r="D125" t="inlineStr">
        <is>
          <t>5</t>
        </is>
      </c>
      <c r="E125" s="5" t="inlineStr">
        <is>
          <t xml:space="preserve">Statutory files (ECR, ESI, PT, LWF, Form 138 / Form 140) are generated per entity, statute and period. They can only be downloaded by the payroll scope, and each download is audited (fixes IN-D8). A period can only be generated once; before it is filed it can be regenerated with a reason (fixes IN-D9); after filing the filed file is never regenerated or re-uploaded — a correction produces a linked supplementary filing (YX-PAY-51; J20). The filing path is set per entity: PF / ESI / PT / LWF by HR upload or by the compliance partner (Q7(c): transmitted to the partner, statuses synced back); TDS </t>
        </is>
      </c>
      <c r="F125" t="inlineStr">
        <is>
          <t>Not started</t>
        </is>
      </c>
      <c r="H125">
        <f>IF(G125&lt;&gt;"",G125,F125)</f>
        <v/>
      </c>
      <c r="I125" t="n">
        <v>0</v>
      </c>
      <c r="J125" t="n">
        <v>0</v>
      </c>
      <c r="K125" t="n">
        <v>0</v>
      </c>
      <c r="L125" s="5" t="inlineStr"/>
      <c r="M125" s="5" t="n"/>
    </row>
    <row r="126">
      <c r="A126" t="inlineStr">
        <is>
          <t>YX-PAY-22</t>
        </is>
      </c>
      <c r="B126" t="inlineStr">
        <is>
          <t>M03</t>
        </is>
      </c>
      <c r="C126" t="inlineStr">
        <is>
          <t>YX-PAY</t>
        </is>
      </c>
      <c r="D126" t="inlineStr">
        <is>
          <t>5</t>
        </is>
      </c>
      <c r="E126" s="5" t="inlineStr">
        <is>
          <t>The minimum-wage check (P07) runs in pre-run validation and on compensation changes. It warns when the wage is below the applicable minimum = max(state rate for the location's zone and the assignment's skill category, national floor wage) (P07 YX-STAT-22; C1).</t>
        </is>
      </c>
      <c r="F126" t="inlineStr">
        <is>
          <t>UI prototype only</t>
        </is>
      </c>
      <c r="H126">
        <f>IF(G126&lt;&gt;"",G126,F126)</f>
        <v/>
      </c>
      <c r="I126" t="n">
        <v>0</v>
      </c>
      <c r="J126" t="n">
        <v>0</v>
      </c>
      <c r="K126" t="n">
        <v>1</v>
      </c>
      <c r="L126" s="5" t="inlineStr"/>
      <c r="M126" s="5" t="n"/>
    </row>
    <row r="127">
      <c r="A127" t="inlineStr">
        <is>
          <t>YX-PAY-23</t>
        </is>
      </c>
      <c r="B127" t="inlineStr">
        <is>
          <t>M03</t>
        </is>
      </c>
      <c r="C127" t="inlineStr">
        <is>
          <t>YX-PAY</t>
        </is>
      </c>
      <c r="D127" t="inlineStr">
        <is>
          <t>5</t>
        </is>
      </c>
      <c r="E127" s="5" t="inlineStr">
        <is>
          <t>While an employee is suspended pending inquiry (M08 Q5), the run pays a subsistence-allowance component at the P07 rate (state standing orders) instead of normal pay, until the suspension ends.</t>
        </is>
      </c>
      <c r="F127" t="inlineStr">
        <is>
          <t>Not started</t>
        </is>
      </c>
      <c r="H127">
        <f>IF(G127&lt;&gt;"",G127,F127)</f>
        <v/>
      </c>
      <c r="I127" t="n">
        <v>0</v>
      </c>
      <c r="J127" t="n">
        <v>0</v>
      </c>
      <c r="K127" t="n">
        <v>0</v>
      </c>
      <c r="L127" s="5" t="inlineStr"/>
      <c r="M127" s="5" t="n"/>
    </row>
    <row r="128">
      <c r="A128" t="inlineStr">
        <is>
          <t>YX-PAY-24</t>
        </is>
      </c>
      <c r="B128" t="inlineStr">
        <is>
          <t>M03</t>
        </is>
      </c>
      <c r="C128" t="inlineStr">
        <is>
          <t>YX-PAY</t>
        </is>
      </c>
      <c r="D128" t="inlineStr">
        <is>
          <t>5</t>
        </is>
      </c>
      <c r="E128" s="5" t="inlineStr">
        <is>
          <t>A compensation's pay basis is monthly CTC, fixed amounts, or an hourly / daily rate with OT and holiday multipliers (from the M10 rate card for placements). Rate-based pay = approved hours (or days) from the M02 timesheet hours feed × rate × the category multiplier; unapproved hours are never paid. Each rate-based payslip line carries its placement_id for margin reporting (D4).</t>
        </is>
      </c>
      <c r="F128" t="inlineStr">
        <is>
          <t>Not started</t>
        </is>
      </c>
      <c r="H128">
        <f>IF(G128&lt;&gt;"",G128,F128)</f>
        <v/>
      </c>
      <c r="I128" t="n">
        <v>0</v>
      </c>
      <c r="J128" t="n">
        <v>0</v>
      </c>
      <c r="K128" t="n">
        <v>0</v>
      </c>
      <c r="L128" s="5" t="inlineStr"/>
      <c r="M128" s="5" t="n"/>
    </row>
    <row r="129">
      <c r="A129" t="inlineStr">
        <is>
          <t>YX-PAY-25</t>
        </is>
      </c>
      <c r="B129" t="inlineStr">
        <is>
          <t>M03</t>
        </is>
      </c>
      <c r="C129" t="inlineStr">
        <is>
          <t>YX-PAY</t>
        </is>
      </c>
      <c r="D129" t="inlineStr">
        <is>
          <t>5</t>
        </is>
      </c>
      <c r="E129" s="5" t="inlineStr">
        <is>
          <t>An employee can raise a query on a payslip in the app; it lands in the Payroll Admin query queue, the reply stays in the app (P04 Q6), and each query is audited. From wave 5 the queue migrates into the M08 helpdesk payroll queue (D13).</t>
        </is>
      </c>
      <c r="F129" t="inlineStr">
        <is>
          <t>Not started</t>
        </is>
      </c>
      <c r="H129">
        <f>IF(G129&lt;&gt;"",G129,F129)</f>
        <v/>
      </c>
      <c r="I129" t="n">
        <v>0</v>
      </c>
      <c r="J129" t="n">
        <v>0</v>
      </c>
      <c r="K129" t="n">
        <v>0</v>
      </c>
      <c r="L129" s="5" t="inlineStr"/>
      <c r="M129" s="5" t="n"/>
    </row>
    <row r="130">
      <c r="A130" t="inlineStr">
        <is>
          <t>YX-PAY-26</t>
        </is>
      </c>
      <c r="B130" t="inlineStr">
        <is>
          <t>M03</t>
        </is>
      </c>
      <c r="C130" t="inlineStr">
        <is>
          <t>YX-PAY</t>
        </is>
      </c>
      <c r="D130" t="inlineStr">
        <is>
          <t>5</t>
        </is>
      </c>
      <c r="E130" s="5" t="inlineStr">
        <is>
          <t>Maternity benefit = average daily wage of the preceding 3 calendar months × maternity days (P07 formula), plus the ₹3,500 medical bonus when no pre / post-natal care is provided. ESIC-covered employees get no employer maternity payment (ESIC pays; the leave is still recorded in M02 YX-LV-10). A company top-up to full salary is optional (starter template: off, D17); the company may pay more, never less.</t>
        </is>
      </c>
      <c r="F130" t="inlineStr">
        <is>
          <t>Not started</t>
        </is>
      </c>
      <c r="H130">
        <f>IF(G130&lt;&gt;"",G130,F130)</f>
        <v/>
      </c>
      <c r="I130" t="n">
        <v>0</v>
      </c>
      <c r="J130" t="n">
        <v>0</v>
      </c>
      <c r="K130" t="n">
        <v>0</v>
      </c>
      <c r="L130" s="5" t="inlineStr"/>
      <c r="M130" s="5" t="n"/>
    </row>
    <row r="131">
      <c r="A131" t="inlineStr">
        <is>
          <t>YX-PAY-27</t>
        </is>
      </c>
      <c r="B131" t="inlineStr">
        <is>
          <t>M03</t>
        </is>
      </c>
      <c r="C131" t="inlineStr">
        <is>
          <t>YX-PAY</t>
        </is>
      </c>
      <c r="D131" t="inlineStr">
        <is>
          <t>5</t>
        </is>
      </c>
      <c r="E131" s="5" t="inlineStr">
        <is>
          <t>F&amp;F on death in service is paid to the nominees by their share %, each to a verified bank account; with no valid nomination, to the legal heir(s) on documents verified by HR. TDS on heir payments and the gratuity 5-year waiver follow P07 (YX-TAX-12). Company ex-gratia or salary continuation from the M01 support policy is a one-time pay line in the same off-cycle run.</t>
        </is>
      </c>
      <c r="F131" t="inlineStr">
        <is>
          <t>Not started</t>
        </is>
      </c>
      <c r="H131">
        <f>IF(G131&lt;&gt;"",G131,F131)</f>
        <v/>
      </c>
      <c r="I131" t="n">
        <v>0</v>
      </c>
      <c r="J131" t="n">
        <v>0</v>
      </c>
      <c r="K131" t="n">
        <v>0</v>
      </c>
      <c r="L131" s="5" t="inlineStr"/>
      <c r="M131" s="5" t="n"/>
    </row>
    <row r="132">
      <c r="A132" t="inlineStr">
        <is>
          <t>YX-PAY-28</t>
        </is>
      </c>
      <c r="B132" t="inlineStr">
        <is>
          <t>M03</t>
        </is>
      </c>
      <c r="C132" t="inlineStr">
        <is>
          <t>YX-PAY</t>
        </is>
      </c>
      <c r="D132" t="inlineStr">
        <is>
          <t>5</t>
        </is>
      </c>
      <c r="E132" s="5" t="inlineStr">
        <is>
          <t>A salary hold carries a reason code (absconding, pending documents, disciplinary, bank failure, exit clearance, other). Holds are raised automatically by triggers — the M01 absconding timeline, a failed / returned payment (YX-PAY-14), exit clearance pending — or manually with a reason. While held, PF / ESI / TDS are still computed and deposited on the accrued pay; only the net is held. Release goes into the next bank file or an off-cycle payment (YX-PAY-09). A hold-ageing report lists holds by age and reason.</t>
        </is>
      </c>
      <c r="F132" t="inlineStr">
        <is>
          <t>Not started</t>
        </is>
      </c>
      <c r="H132">
        <f>IF(G132&lt;&gt;"",G132,F132)</f>
        <v/>
      </c>
      <c r="I132" t="n">
        <v>0</v>
      </c>
      <c r="J132" t="n">
        <v>0</v>
      </c>
      <c r="K132" t="n">
        <v>0</v>
      </c>
      <c r="L132" s="5" t="inlineStr"/>
      <c r="M132" s="5" t="n"/>
    </row>
    <row r="133">
      <c r="A133" t="inlineStr">
        <is>
          <t>YX-PAY-29</t>
        </is>
      </c>
      <c r="B133" t="inlineStr">
        <is>
          <t>M03</t>
        </is>
      </c>
      <c r="C133" t="inlineStr">
        <is>
          <t>YX-PAY</t>
        </is>
      </c>
      <c r="D133" t="inlineStr">
        <is>
          <t>5</t>
        </is>
      </c>
      <c r="E133" s="5" t="inlineStr">
        <is>
          <t>Pay never goes out negative: a negative net is set to zero and the shortfall becomes a carry-forward balance, recovered automatically in the next runs (within YX-PAY-11 protected net and YX-PAY-32 cap) and finally in F&amp;F.</t>
        </is>
      </c>
      <c r="F133" t="inlineStr">
        <is>
          <t>UI prototype only</t>
        </is>
      </c>
      <c r="H133">
        <f>IF(G133&lt;&gt;"",G133,F133)</f>
        <v/>
      </c>
      <c r="I133" t="n">
        <v>0</v>
      </c>
      <c r="J133" t="n">
        <v>0</v>
      </c>
      <c r="K133" t="n">
        <v>1</v>
      </c>
      <c r="L133" s="5" t="inlineStr"/>
      <c r="M133" s="5" t="n"/>
    </row>
    <row r="134">
      <c r="A134" t="inlineStr">
        <is>
          <t>YX-PAY-30</t>
        </is>
      </c>
      <c r="B134" t="inlineStr">
        <is>
          <t>M03</t>
        </is>
      </c>
      <c r="C134" t="inlineStr">
        <is>
          <t>YX-PAY</t>
        </is>
      </c>
      <c r="D134" t="inlineStr">
        <is>
          <t>5</t>
        </is>
      </c>
      <c r="E134" s="5" t="inlineStr">
        <is>
          <t>An overpayment is recovered by an instalment plan recorded with the employee's consent (P05 acknowledgement); a recovery crossing the FY is reported in the correct year (arrears / relief u/s 89(1), Form 10E data); a write-off needs approval with a reason and is audited.</t>
        </is>
      </c>
      <c r="F134" t="inlineStr">
        <is>
          <t>Not started</t>
        </is>
      </c>
      <c r="H134">
        <f>IF(G134&lt;&gt;"",G134,F134)</f>
        <v/>
      </c>
      <c r="I134" t="n">
        <v>0</v>
      </c>
      <c r="J134" t="n">
        <v>0</v>
      </c>
      <c r="K134" t="n">
        <v>0</v>
      </c>
      <c r="L134" s="5" t="inlineStr"/>
      <c r="M134" s="5" t="n"/>
    </row>
    <row r="135">
      <c r="A135" t="inlineStr">
        <is>
          <t>YX-PAY-31</t>
        </is>
      </c>
      <c r="B135" t="inlineStr">
        <is>
          <t>M03</t>
        </is>
      </c>
      <c r="C135" t="inlineStr">
        <is>
          <t>YX-PAY</t>
        </is>
      </c>
      <c r="D135" t="inlineStr">
        <is>
          <t>5</t>
        </is>
      </c>
      <c r="E135" s="5" t="inlineStr">
        <is>
          <t>payment_mode is bank by default. Cash / cheque is available only where the company enables it (D17) and needs a reason, approval and audit per employee. Such payslips go to a disbursement register (not the bank file); paid status is captured with a signature / acknowledgement upload and reconciled against the run before the period is closed.</t>
        </is>
      </c>
      <c r="F135" t="inlineStr">
        <is>
          <t>Not started</t>
        </is>
      </c>
      <c r="H135">
        <f>IF(G135&lt;&gt;"",G135,F135)</f>
        <v/>
      </c>
      <c r="I135" t="n">
        <v>0</v>
      </c>
      <c r="J135" t="n">
        <v>0</v>
      </c>
      <c r="K135" t="n">
        <v>0</v>
      </c>
      <c r="L135" s="5" t="inlineStr"/>
      <c r="M135" s="5" t="n"/>
    </row>
    <row r="136">
      <c r="A136" t="inlineStr">
        <is>
          <t>YX-PAY-32</t>
        </is>
      </c>
      <c r="B136" t="inlineStr">
        <is>
          <t>M03</t>
        </is>
      </c>
      <c r="C136" t="inlineStr">
        <is>
          <t>YX-PAY</t>
        </is>
      </c>
      <c r="D136" t="inlineStr">
        <is>
          <t>5</t>
        </is>
      </c>
      <c r="E136" s="5" t="inlineStr">
        <is>
          <t>Court attachment / garnishment deductions apply after statutory deductions and before other recoveries (loans, advances, carry-forwards), in order-date priority among orders, until the order amount or end date; remittance to the court / payee is tracked. The total of all deductions is capped per the Payment of Wages Act / Code on Wages (P07 parameter, e.g. 50 %, 75 % where co-operative society dues are included); lower-priority deductions are deferred to stay within the cap (law, not company policy).</t>
        </is>
      </c>
      <c r="F136" t="inlineStr">
        <is>
          <t>Not started</t>
        </is>
      </c>
      <c r="H136">
        <f>IF(G136&lt;&gt;"",G136,F136)</f>
        <v/>
      </c>
      <c r="I136" t="n">
        <v>0</v>
      </c>
      <c r="J136" t="n">
        <v>0</v>
      </c>
      <c r="K136" t="n">
        <v>0</v>
      </c>
      <c r="L136" s="5" t="inlineStr"/>
      <c r="M136" s="5" t="n"/>
    </row>
    <row r="137">
      <c r="A137" t="inlineStr">
        <is>
          <t>YX-PAY-33</t>
        </is>
      </c>
      <c r="B137" t="inlineStr">
        <is>
          <t>M03</t>
        </is>
      </c>
      <c r="C137" t="inlineStr">
        <is>
          <t>YX-PAY</t>
        </is>
      </c>
      <c r="D137" t="inlineStr">
        <is>
          <t>5</t>
        </is>
      </c>
      <c r="E137" s="5" t="inlineStr">
        <is>
          <t>Arrears and special statutory cases (P07): PF / ESI / PT on arrears follow the P07 basis rules (PF and ESI attributed to the period the arrear relates to where the rule says so); an EPS higher-pension option flag on employee_statutory drives EPS on actual wage; international workers get the monthly IW-1 return.</t>
        </is>
      </c>
      <c r="F137" t="inlineStr">
        <is>
          <t>Not started</t>
        </is>
      </c>
      <c r="H137">
        <f>IF(G137&lt;&gt;"",G137,F137)</f>
        <v/>
      </c>
      <c r="I137" t="n">
        <v>0</v>
      </c>
      <c r="J137" t="n">
        <v>0</v>
      </c>
      <c r="K137" t="n">
        <v>0</v>
      </c>
      <c r="L137" s="5" t="inlineStr"/>
      <c r="M137" s="5" t="n"/>
    </row>
    <row r="138">
      <c r="A138" t="inlineStr">
        <is>
          <t>YX-PAY-34</t>
        </is>
      </c>
      <c r="B138" t="inlineStr">
        <is>
          <t>M03</t>
        </is>
      </c>
      <c r="C138" t="inlineStr">
        <is>
          <t>YX-PAY</t>
        </is>
      </c>
      <c r="D138" t="inlineStr">
        <is>
          <t>5</t>
        </is>
      </c>
      <c r="E138" s="5" t="inlineStr">
        <is>
          <t>Calculation, submission, publication and file generation show per-employee progress and result inline; a run changes status only when every payslip succeeded; a failure names the employee, record and field with a Fix link (YX-API-07), never a generic banner (fixes U27, U25).</t>
        </is>
      </c>
      <c r="F138" t="inlineStr">
        <is>
          <t>UI prototype only</t>
        </is>
      </c>
      <c r="H138">
        <f>IF(G138&lt;&gt;"",G138,F138)</f>
        <v/>
      </c>
      <c r="I138" t="n">
        <v>0</v>
      </c>
      <c r="J138" t="n">
        <v>0</v>
      </c>
      <c r="K138" t="n">
        <v>1</v>
      </c>
      <c r="L138" s="5" t="inlineStr"/>
      <c r="M138" s="5" t="n"/>
    </row>
    <row r="139">
      <c r="A139" t="inlineStr">
        <is>
          <t>YX-PAY-35</t>
        </is>
      </c>
      <c r="B139" t="inlineStr">
        <is>
          <t>M03</t>
        </is>
      </c>
      <c r="C139" t="inlineStr">
        <is>
          <t>YX-PAY</t>
        </is>
      </c>
      <c r="D139" t="inlineStr">
        <is>
          <t>5</t>
        </is>
      </c>
      <c r="E139" s="5" t="inlineStr">
        <is>
          <t>The payslip is rendered from a payslip layout template per legal entity (optionally per pay group), a P05 template of kind "payslip" in the single render pipeline (YX-DOC-15, APX-F #27): sections, component order and grouping, employer-contribution box, YTD, days strip, languages, logo, no empty columns, one totals block; P07 mandatory wage-slip fields are locked (YX-DOC-22). Edited on Settings › Payroll › Payslip layout with a sample-employee preview; a published payslip keeps its layout version (fixes U33).</t>
        </is>
      </c>
      <c r="F139" t="inlineStr">
        <is>
          <t>Not started</t>
        </is>
      </c>
      <c r="H139">
        <f>IF(G139&lt;&gt;"",G139,F139)</f>
        <v/>
      </c>
      <c r="I139" t="n">
        <v>0</v>
      </c>
      <c r="J139" t="n">
        <v>0</v>
      </c>
      <c r="K139" t="n">
        <v>0</v>
      </c>
      <c r="L139" s="5" t="inlineStr"/>
      <c r="M139" s="5" t="n"/>
    </row>
    <row r="140">
      <c r="A140" t="inlineStr">
        <is>
          <t>YX-PAY-36</t>
        </is>
      </c>
      <c r="B140" t="inlineStr">
        <is>
          <t>M03</t>
        </is>
      </c>
      <c r="C140" t="inlineStr">
        <is>
          <t>YX-PAY</t>
        </is>
      </c>
      <c r="D140" t="inlineStr">
        <is>
          <t>5</t>
        </is>
      </c>
      <c r="E140" s="5" t="inlineStr">
        <is>
          <t>Deductor and responsible-person details (TAN, address, responsible person) come from the entity's statutory set-up (statutory_registrations), never retyped per return; switching a statute on for an entity runs a completeness check of its required fields and blocks generation until complete. Each TDS return shows a deposit-vs-deduction reconciliation (APX-C RPT-STAT-01) and flags any difference, however small, before FVU validation (fixes U47, U40).</t>
        </is>
      </c>
      <c r="F140" t="inlineStr">
        <is>
          <t>Not started</t>
        </is>
      </c>
      <c r="H140">
        <f>IF(G140&lt;&gt;"",G140,F140)</f>
        <v/>
      </c>
      <c r="I140" t="n">
        <v>0</v>
      </c>
      <c r="J140" t="n">
        <v>0</v>
      </c>
      <c r="K140" t="n">
        <v>0</v>
      </c>
      <c r="L140" s="5" t="inlineStr"/>
      <c r="M140" s="5" t="n"/>
    </row>
    <row r="141">
      <c r="A141" t="inlineStr">
        <is>
          <t>YX-PAY-37</t>
        </is>
      </c>
      <c r="B141" t="inlineStr">
        <is>
          <t>M03</t>
        </is>
      </c>
      <c r="C141" t="inlineStr">
        <is>
          <t>YX-PAY</t>
        </is>
      </c>
      <c r="D141" t="inlineStr">
        <is>
          <t>5</t>
        </is>
      </c>
      <c r="E141" s="5" t="inlineStr">
        <is>
          <t>Consultant register (A8): a consultant is paid only when PAN (or its recorded absence, YX-TAX-16), a bank account verified per P10 (penny-drop; P02 §4.5 cooling on change) and a default TDS section are recorded; a GSTIN is validated when given. Consultants are never employees: no payslip, PF, ESI, PT, LWF, gratuity or bonus, and they never appear in employee registers or headcount.</t>
        </is>
      </c>
      <c r="F141" t="inlineStr">
        <is>
          <t>Not started</t>
        </is>
      </c>
      <c r="H141">
        <f>IF(G141&lt;&gt;"",G141,F141)</f>
        <v/>
      </c>
      <c r="I141" t="n">
        <v>0</v>
      </c>
      <c r="J141" t="n">
        <v>0</v>
      </c>
      <c r="K141" t="n">
        <v>0</v>
      </c>
      <c r="L141" s="5" t="inlineStr"/>
      <c r="M141" s="5" t="n"/>
    </row>
    <row r="142">
      <c r="A142" t="inlineStr">
        <is>
          <t>YX-PAY-38</t>
        </is>
      </c>
      <c r="B142" t="inlineStr">
        <is>
          <t>M03</t>
        </is>
      </c>
      <c r="C142" t="inlineStr">
        <is>
          <t>YX-PAY</t>
        </is>
      </c>
      <c r="D142" t="inlineStr">
        <is>
          <t>5</t>
        </is>
      </c>
      <c r="E142" s="5" t="inlineStr">
        <is>
          <t xml:space="preserve">Consultant invoices (A8): one or more invoices per consultant per month, uploaded by the consultant (Consultant login, P02 §4.7) or by HR; a duplicate invoice no. per consultant × FY is rejected. Each invoice is approved through P03 (maker ≠ checker, P02 Q6); approved invoices for the period are paid in the same bank file / payout as the month's run (or an off-cycle payment) with per-invoice payment status (YX-PAY-13/14 apply). GST (GSTIN, invoice no., taxable value, tax split) is captured for input credit and passed to the accounting journal (P10 Q7) with TDS payable by section. A consultant </t>
        </is>
      </c>
      <c r="F142" t="inlineStr">
        <is>
          <t>Not started</t>
        </is>
      </c>
      <c r="H142">
        <f>IF(G142&lt;&gt;"",G142,F142)</f>
        <v/>
      </c>
      <c r="I142" t="n">
        <v>0</v>
      </c>
      <c r="J142" t="n">
        <v>0</v>
      </c>
      <c r="K142" t="n">
        <v>0</v>
      </c>
      <c r="L142" s="5" t="inlineStr"/>
      <c r="M142" s="5" t="n"/>
    </row>
    <row r="143">
      <c r="A143" t="inlineStr">
        <is>
          <t>YX-PAY-39</t>
        </is>
      </c>
      <c r="B143" t="inlineStr">
        <is>
          <t>M03</t>
        </is>
      </c>
      <c r="C143" t="inlineStr">
        <is>
          <t>YX-PAY</t>
        </is>
      </c>
      <c r="D143" t="inlineStr">
        <is>
          <t>5</t>
        </is>
      </c>
      <c r="E143" s="5" t="inlineStr">
        <is>
          <t>Always-on digital registers (A9): every register that P07 IN.REGISTERS requires for the entity's locations (format valid on the period date, per state: labour-code unified registers — wages, attendance / muster, deductions, fines, advances, overtime, leave, bonus, maternity, accidents where applicable — plus legacy state S&amp;E / Factories Act formats where still required) is generated monthly from payslips (stored statutory values, YX-PAY-20) and attendance (the accidents register from closed M08 workplace accident cases, YX-CASE-14; J6), frozen when the period locks (P08 YX-LOCK-04), signed wit</t>
        </is>
      </c>
      <c r="F143" t="inlineStr">
        <is>
          <t>Not started</t>
        </is>
      </c>
      <c r="H143">
        <f>IF(G143&lt;&gt;"",G143,F143)</f>
        <v/>
      </c>
      <c r="I143" t="n">
        <v>0</v>
      </c>
      <c r="J143" t="n">
        <v>0</v>
      </c>
      <c r="K143" t="n">
        <v>0</v>
      </c>
      <c r="L143" s="5" t="inlineStr"/>
      <c r="M143" s="5" t="n"/>
    </row>
    <row r="144">
      <c r="A144" t="inlineStr">
        <is>
          <t>YX-PAY-40</t>
        </is>
      </c>
      <c r="B144" t="inlineStr">
        <is>
          <t>M03</t>
        </is>
      </c>
      <c r="C144" t="inlineStr">
        <is>
          <t>YX-PAY</t>
        </is>
      </c>
      <c r="D144" t="inlineStr">
        <is>
          <t>5</t>
        </is>
      </c>
      <c r="E144" s="5" t="inlineStr">
        <is>
          <t xml:space="preserve">EWA limits (B10): a draw is allowed only when the company's EWA policy is on for the employee's group, the employee meets its eligibility (starter: confirmed, not serving notice, no active salary hold) and the period is outside the blackout days; the available amount = policy % × earned-to-date (computed from M02 payable days so far, net of draws and deductions already due) within the per-draw min / max and draws-per-period limit; the fee (partner price, who pays it) and the recovery date are shown in rupees and accepted by the employee before the draw is sent. Earned-to-date is recomputed on </t>
        </is>
      </c>
      <c r="F144" t="inlineStr">
        <is>
          <t>UI prototype only</t>
        </is>
      </c>
      <c r="H144">
        <f>IF(G144&lt;&gt;"",G144,F144)</f>
        <v/>
      </c>
      <c r="I144" t="n">
        <v>0</v>
      </c>
      <c r="J144" t="n">
        <v>0</v>
      </c>
      <c r="K144" t="n">
        <v>1</v>
      </c>
      <c r="L144" s="5" t="inlineStr"/>
      <c r="M144" s="5" t="n"/>
    </row>
    <row r="145">
      <c r="A145" t="inlineStr">
        <is>
          <t>YX-PAY-41</t>
        </is>
      </c>
      <c r="B145" t="inlineStr">
        <is>
          <t>M03</t>
        </is>
      </c>
      <c r="C145" t="inlineStr">
        <is>
          <t>YX-PAY</t>
        </is>
      </c>
      <c r="D145" t="inlineStr">
        <is>
          <t>5</t>
        </is>
      </c>
      <c r="E145" s="5" t="inlineStr">
        <is>
          <t>EWA recovery (B10): every disbursed draw is recovered in full as a named deduction in the next regular payroll of the same employment (after statutory deductions, before other recoveries, inside the YX-PAY-32 total cap — a draw can never exceed what that cap leaves); partner-funded draws are remitted to the partner with the run's bank file / payout and reconciled per draw; if the employee exits, the balance goes to F&amp;F (M01 YX-LC-07). With partner funding, a shortfall the payroll cannot recover is the partner's risk per the partner agreement, never charged to the employer; employer-funded draw</t>
        </is>
      </c>
      <c r="F145" t="inlineStr">
        <is>
          <t>Not started</t>
        </is>
      </c>
      <c r="H145">
        <f>IF(G145&lt;&gt;"",G145,F145)</f>
        <v/>
      </c>
      <c r="I145" t="n">
        <v>0</v>
      </c>
      <c r="J145" t="n">
        <v>0</v>
      </c>
      <c r="K145" t="n">
        <v>0</v>
      </c>
      <c r="L145" s="5" t="inlineStr"/>
      <c r="M145" s="5" t="n"/>
    </row>
    <row r="146">
      <c r="A146" t="inlineStr">
        <is>
          <t>YX-PAY-42</t>
        </is>
      </c>
      <c r="B146" t="inlineStr">
        <is>
          <t>M03</t>
        </is>
      </c>
      <c r="C146" t="inlineStr">
        <is>
          <t>YX-PAY</t>
        </is>
      </c>
      <c r="D146" t="inlineStr">
        <is>
          <t>5</t>
        </is>
      </c>
      <c r="E146" s="5" t="inlineStr">
        <is>
          <t>Cost rates (B1): an employee's monthly cost rate = employer cost (gross + employer contributions) ÷ the company's standard hours, taken from the approved payslip once the month is paid (from compensation for an open month, marked provisional); it is Restricted (payroll / finance scope) and M12 shows project managers only project-level totals.</t>
        </is>
      </c>
      <c r="F146" t="inlineStr">
        <is>
          <t>Not started</t>
        </is>
      </c>
      <c r="H146">
        <f>IF(G146&lt;&gt;"",G146,F146)</f>
        <v/>
      </c>
      <c r="I146" t="n">
        <v>0</v>
      </c>
      <c r="J146" t="n">
        <v>0</v>
      </c>
      <c r="K146" t="n">
        <v>0</v>
      </c>
      <c r="L146" s="5" t="inlineStr"/>
      <c r="M146" s="5" t="n"/>
    </row>
    <row r="147">
      <c r="A147" t="inlineStr">
        <is>
          <t>YX-PAY-43</t>
        </is>
      </c>
      <c r="B147" t="inlineStr">
        <is>
          <t>M03</t>
        </is>
      </c>
      <c r="C147" t="inlineStr">
        <is>
          <t>YX-PAY</t>
        </is>
      </c>
      <c r="D147" t="inlineStr">
        <is>
          <t>5</t>
        </is>
      </c>
      <c r="E147" s="5" t="inlineStr">
        <is>
          <t>Country packs (C4): a legal entity has one country; its pay groups, components, tax, social security, end-of-service benefits, statutory files and payslip mandatory fields come only from that country's P07 pack valid on the period date, never from code branches; a run covers one pay group, so one country and one currency; a country pack can be switched on for an entity only after its setup completeness check passes (YX-PAY-36 pattern). Cross-country reports convert at the company's FX source for reporting only (M05 YX-EXP-14 sources).</t>
        </is>
      </c>
      <c r="F147" t="inlineStr">
        <is>
          <t>Not started</t>
        </is>
      </c>
      <c r="H147">
        <f>IF(G147&lt;&gt;"",G147,F147)</f>
        <v/>
      </c>
      <c r="I147" t="n">
        <v>0</v>
      </c>
      <c r="J147" t="n">
        <v>0</v>
      </c>
      <c r="K147" t="n">
        <v>0</v>
      </c>
      <c r="L147" s="5" t="inlineStr"/>
      <c r="M147" s="5" t="n"/>
    </row>
    <row r="148">
      <c r="A148" t="inlineStr">
        <is>
          <t>YX-PAY-44</t>
        </is>
      </c>
      <c r="B148" t="inlineStr">
        <is>
          <t>M03</t>
        </is>
      </c>
      <c r="C148" t="inlineStr">
        <is>
          <t>YX-PAY</t>
        </is>
      </c>
      <c r="D148" t="inlineStr">
        <is>
          <t>5</t>
        </is>
      </c>
      <c r="E148" s="5" t="inlineStr">
        <is>
          <t>UAE / GCC packs (C4): for WPS-covered entities, the run produces the WPS salary file in the pack's format (UAE SIF: employer and employee records with establishment id, routing code, IBAN, fixed / variable pay, leave days) through the entity's WPS agent / bank; end-of-service gratuity is provisioned monthly and paid on exit per the pack's rule (UAE: basic-salary-based days per year of service with the pack's caps and resignation / termination treatment) and appears as an F&amp;F line; GCC variants use their own pack rows (salary-file format, gratuity, social insurance). All values are dated P07 da</t>
        </is>
      </c>
      <c r="F148" t="inlineStr">
        <is>
          <t>Not started</t>
        </is>
      </c>
      <c r="H148">
        <f>IF(G148&lt;&gt;"",G148,F148)</f>
        <v/>
      </c>
      <c r="I148" t="n">
        <v>0</v>
      </c>
      <c r="J148" t="n">
        <v>0</v>
      </c>
      <c r="K148" t="n">
        <v>0</v>
      </c>
      <c r="L148" s="5" t="inlineStr"/>
      <c r="M148" s="5" t="n"/>
    </row>
    <row r="149">
      <c r="A149" t="inlineStr">
        <is>
          <t>YX-PAY-45</t>
        </is>
      </c>
      <c r="B149" t="inlineStr">
        <is>
          <t>M03</t>
        </is>
      </c>
      <c r="C149" t="inlineStr">
        <is>
          <t>YX-PAY</t>
        </is>
      </c>
      <c r="D149" t="inlineStr">
        <is>
          <t>5</t>
        </is>
      </c>
      <c r="E149" s="5" t="inlineStr">
        <is>
          <t>US 1099 reporting only (C4): US contractors paid through the consultant register (YX-PAY-37) carry a W-9 (TIN masked, Special); YukthiX totals payments per contractor per calendar year and produces 1099-NEC data (file and recipient PDF) for contractors at or above the pack's threshold; no US withholding, W-2 payroll or state filings are performed.</t>
        </is>
      </c>
      <c r="F149" t="inlineStr">
        <is>
          <t>Not started</t>
        </is>
      </c>
      <c r="H149">
        <f>IF(G149&lt;&gt;"",G149,F149)</f>
        <v/>
      </c>
      <c r="I149" t="n">
        <v>0</v>
      </c>
      <c r="J149" t="n">
        <v>0</v>
      </c>
      <c r="K149" t="n">
        <v>0</v>
      </c>
      <c r="L149" s="5" t="inlineStr"/>
      <c r="M149" s="5" t="n"/>
    </row>
    <row r="150">
      <c r="A150" t="inlineStr">
        <is>
          <t>YX-PAY-46</t>
        </is>
      </c>
      <c r="B150" t="inlineStr">
        <is>
          <t>M03</t>
        </is>
      </c>
      <c r="C150" t="inlineStr">
        <is>
          <t>YX-PAY</t>
        </is>
      </c>
      <c r="D150" t="inlineStr">
        <is>
          <t>5</t>
        </is>
      </c>
      <c r="E150" s="5" t="inlineStr">
        <is>
          <t>ESOP (C4): grants follow the plan's pool (a grant beyond the unallocated pool is blocked), vest only by their schedule (cliff, time, milestone confirmed by an approver), and are exercisable only for vested units within the plan's window; on exit, unvested units lapse and vested units follow the plan's leaver rule and post-exit window (starter 90 days); every grant, vest, exercise and sale is dated, audited and visible to the employee in the Pay tab; the cap-table export reconciles pool = granted + unallocated and granted = vested + unvested + lapsed.</t>
        </is>
      </c>
      <c r="F150" t="inlineStr">
        <is>
          <t>Not started</t>
        </is>
      </c>
      <c r="H150">
        <f>IF(G150&lt;&gt;"",G150,F150)</f>
        <v/>
      </c>
      <c r="I150" t="n">
        <v>0</v>
      </c>
      <c r="J150" t="n">
        <v>0</v>
      </c>
      <c r="K150" t="n">
        <v>0</v>
      </c>
      <c r="L150" s="5" t="inlineStr"/>
      <c r="M150" s="5" t="n"/>
    </row>
    <row r="151">
      <c r="A151" t="inlineStr">
        <is>
          <t>YX-PAY-47</t>
        </is>
      </c>
      <c r="B151" t="inlineStr">
        <is>
          <t>M03</t>
        </is>
      </c>
      <c r="C151" t="inlineStr">
        <is>
          <t>YX-PAY</t>
        </is>
      </c>
      <c r="D151" t="inlineStr">
        <is>
          <t>5</t>
        </is>
      </c>
      <c r="E151" s="5" t="inlineStr">
        <is>
          <t>Code wage definition (C1, P07 YX-STAT-21): for pay periods from 21 Nov 2025 every payslip computes Code "wages" from component flags (basic, DA, retaining allowance vs the Code's exclusions) and, where the exclusions exceed 50 % of total remuneration, adds the excess back; the add-back wage is the base for PF, ESI, gratuity, bonus and leave encashment (law, not a company option). Pre-run validation lists every employee with an add-back (amount and effect on PF / ESI) as a finding to acknowledge, and a salary template that produces an add-back for a sample employee is flagged on save (YX-PAY-01</t>
        </is>
      </c>
      <c r="F151" t="inlineStr">
        <is>
          <t>UI prototype only</t>
        </is>
      </c>
      <c r="H151">
        <f>IF(G151&lt;&gt;"",G151,F151)</f>
        <v/>
      </c>
      <c r="I151" t="n">
        <v>0</v>
      </c>
      <c r="J151" t="n">
        <v>0</v>
      </c>
      <c r="K151" t="n">
        <v>1</v>
      </c>
      <c r="L151" s="5" t="inlineStr"/>
      <c r="M151" s="5" t="n"/>
    </row>
    <row r="152">
      <c r="A152" t="inlineStr">
        <is>
          <t>YX-PAY-48</t>
        </is>
      </c>
      <c r="B152" t="inlineStr">
        <is>
          <t>M03</t>
        </is>
      </c>
      <c r="C152" t="inlineStr">
        <is>
          <t>YX-PAY</t>
        </is>
      </c>
      <c r="D152" t="inlineStr">
        <is>
          <t>5</t>
        </is>
      </c>
      <c r="E152" s="5" t="inlineStr">
        <is>
          <t>Wages on exit within 2 working days (C1, Code on Wages): for every exit type (resignation, removal, retrenchment, dismissal, closure) the F&amp;F target is payment within 2 working days of the last working day (working days per the entity's holiday calendar, M02). On the approved LWD the F&amp;F off-cycle run is created automatically (inputs pulled per M01 YX-LC-07) and SCH-28 raises fnf.due / fnf.overdue against this deadline as the SLA alert to Payroll and the HR head (APX-A). If something blocks full settlement (e.g. an unresolved recovery), the undisputed wages are still paid within the deadline a</t>
        </is>
      </c>
      <c r="F152" t="inlineStr">
        <is>
          <t>Not started</t>
        </is>
      </c>
      <c r="H152">
        <f>IF(G152&lt;&gt;"",G152,F152)</f>
        <v/>
      </c>
      <c r="I152" t="n">
        <v>0</v>
      </c>
      <c r="J152" t="n">
        <v>0</v>
      </c>
      <c r="K152" t="n">
        <v>0</v>
      </c>
      <c r="L152" s="5" t="inlineStr"/>
      <c r="M152" s="5" t="n"/>
    </row>
    <row r="153">
      <c r="A153" t="inlineStr">
        <is>
          <t>YX-PAY-49</t>
        </is>
      </c>
      <c r="B153" t="inlineStr">
        <is>
          <t>M03</t>
        </is>
      </c>
      <c r="C153" t="inlineStr">
        <is>
          <t>YX-PAY</t>
        </is>
      </c>
      <c r="D153" t="inlineStr">
        <is>
          <t>5</t>
        </is>
      </c>
      <c r="E153" s="5" t="inlineStr">
        <is>
          <t>Retrenchment F&amp;F lines (C1, P07 IN.IR): a retrenchment exit adds to the F&amp;F run retrenchment compensation = 15 days' average pay × completed years of continuous service (P07 part-year and day-basis rules), notice pay in lieu where notice was not given, and an employer Worker Re-skilling Fund line of 15 days' last-drawn wages, remitted to the fund (never part of the worker's net) with a compliance-calendar item and challan reference; where the establishment has 300+ workers, the F&amp;F run for a retrenchment, lay-off or closure cannot be approved without the recorded government-permission referenc</t>
        </is>
      </c>
      <c r="F153" t="inlineStr">
        <is>
          <t>UI prototype only</t>
        </is>
      </c>
      <c r="H153">
        <f>IF(G153&lt;&gt;"",G153,F153)</f>
        <v/>
      </c>
      <c r="I153" t="n">
        <v>0</v>
      </c>
      <c r="J153" t="n">
        <v>0</v>
      </c>
      <c r="K153" t="n">
        <v>1</v>
      </c>
      <c r="L153" s="5" t="inlineStr"/>
      <c r="M153" s="5" t="n"/>
    </row>
    <row r="154">
      <c r="A154" t="inlineStr">
        <is>
          <t>YX-PAY-50</t>
        </is>
      </c>
      <c r="B154" t="inlineStr">
        <is>
          <t>M03</t>
        </is>
      </c>
      <c r="C154" t="inlineStr">
        <is>
          <t>YX-PAY</t>
        </is>
      </c>
      <c r="D154" t="inlineStr">
        <is>
          <t>5</t>
        </is>
      </c>
      <c r="E154" s="5" t="inlineStr">
        <is>
          <t>Injury pay and EC compensation (J6, M08 YX-CASE-14/16, M02 YX-LV-15): injury leave days reach the run from M02 as their own category. ESI-covered: ESIC pays the disablement benefit, so the employer pays nothing for those days unless the company policy (D17) adds a top-up. Not ESI-covered: the employer pays at least the P07 IN.EC compensation (temporary-disablement half-monthly payments after the waiting period) as a named line; the company policy (D17; starter: full pay for the injury leave) may pay more, never less. Permanent-disablement or death compensation is a one-time line (or a commissi</t>
        </is>
      </c>
      <c r="F154" t="inlineStr">
        <is>
          <t>Not started</t>
        </is>
      </c>
      <c r="H154">
        <f>IF(G154&lt;&gt;"",G154,F154)</f>
        <v/>
      </c>
      <c r="I154" t="n">
        <v>0</v>
      </c>
      <c r="J154" t="n">
        <v>0</v>
      </c>
      <c r="K154" t="n">
        <v>0</v>
      </c>
      <c r="L154" s="5" t="inlineStr"/>
      <c r="M154" s="5" t="n"/>
    </row>
    <row r="155">
      <c r="A155" t="inlineStr">
        <is>
          <t>YX-PAY-51</t>
        </is>
      </c>
      <c r="B155" t="inlineStr">
        <is>
          <t>M03</t>
        </is>
      </c>
      <c r="C155" t="inlineStr">
        <is>
          <t>YX-PAY</t>
        </is>
      </c>
      <c r="D155" t="inlineStr">
        <is>
          <t>5</t>
        </is>
      </c>
      <c r="E155" s="5" t="inlineStr">
        <is>
          <t xml:space="preserve">PF / ESI corrections after filing (J20, P07 YX-STAT-26): once a month's ECR or ESI return is filed, any correction — arrears (incl. PF on arrears per YX-PAY-33), a missed employee, a wrong wage — produces a supplementary / arrear ECR or an ESI past-period contribution for that month, never a regenerated file for re-upload; each supplementary filing links to the original filing and to the payslip lines that caused it, follows the same generate → upload (or partner) → acknowledgement → filed-lock path, and shows as a child card under the original month in the statutory hub. Excess remittance is </t>
        </is>
      </c>
      <c r="F155" t="inlineStr">
        <is>
          <t>UI prototype only</t>
        </is>
      </c>
      <c r="H155">
        <f>IF(G155&lt;&gt;"",G155,F155)</f>
        <v/>
      </c>
      <c r="I155" t="n">
        <v>0</v>
      </c>
      <c r="J155" t="n">
        <v>0</v>
      </c>
      <c r="K155" t="n">
        <v>1</v>
      </c>
      <c r="L155" s="5" t="inlineStr"/>
      <c r="M155" s="5" t="n"/>
    </row>
    <row r="156">
      <c r="A156" t="inlineStr">
        <is>
          <t>YX-PAY-52</t>
        </is>
      </c>
      <c r="B156" t="inlineStr">
        <is>
          <t>M03</t>
        </is>
      </c>
      <c r="C156" t="inlineStr">
        <is>
          <t>YX-PAY</t>
        </is>
      </c>
      <c r="D156" t="inlineStr">
        <is>
          <t>5</t>
        </is>
      </c>
      <c r="E156" s="5" t="inlineStr">
        <is>
          <t>Arrears across the migration boundary (J3, P15 YX-MIG-15): a back-dated revision (e.g. a union settlement) with an effective date before go-live computes arrears month by month as corrected − as-paid, taking the as-paid amounts per component from the imported as-paid lines; the arrears worksheet and payslip explanation label those months "based on imported figures" with the import batch. If imported lines are missing for a month in the range, the worksheet does not assume a base: it asks HR to confirm the as-paid base for that month (entered with a reason, audited) before the arrears can be ap</t>
        </is>
      </c>
      <c r="F156" t="inlineStr">
        <is>
          <t>UI prototype only</t>
        </is>
      </c>
      <c r="H156">
        <f>IF(G156&lt;&gt;"",G156,F156)</f>
        <v/>
      </c>
      <c r="I156" t="n">
        <v>0</v>
      </c>
      <c r="J156" t="n">
        <v>0</v>
      </c>
      <c r="K156" t="n">
        <v>1</v>
      </c>
      <c r="L156" s="5" t="inlineStr"/>
      <c r="M156" s="5" t="n"/>
    </row>
    <row r="157">
      <c r="A157" t="inlineStr">
        <is>
          <t>YX-PAY-53</t>
        </is>
      </c>
      <c r="B157" t="inlineStr">
        <is>
          <t>M03</t>
        </is>
      </c>
      <c r="C157" t="inlineStr">
        <is>
          <t>YX-PAY</t>
        </is>
      </c>
      <c r="D157" t="inlineStr">
        <is>
          <t>5</t>
        </is>
      </c>
      <c r="E157" s="5" t="inlineStr">
        <is>
          <t>Coverage-driven statutory switch-on (J1, P07 YX-STAT-27): when an entity crosses a coverage threshold, pre-run validation blocks the next run approval until the statute is switched on with its registration, or an admin records "applied, number awaited" with a date; the readiness screen lists every approaching threshold.</t>
        </is>
      </c>
      <c r="F157" t="inlineStr">
        <is>
          <t>Not started</t>
        </is>
      </c>
      <c r="H157">
        <f>IF(G157&lt;&gt;"",G157,F157)</f>
        <v/>
      </c>
      <c r="I157" t="n">
        <v>0</v>
      </c>
      <c r="J157" t="n">
        <v>0</v>
      </c>
      <c r="K157" t="n">
        <v>0</v>
      </c>
      <c r="L157" s="5" t="inlineStr"/>
      <c r="M157" s="5" t="n"/>
    </row>
    <row r="158">
      <c r="A158" t="inlineStr">
        <is>
          <t>YX-PAY-54</t>
        </is>
      </c>
      <c r="B158" t="inlineStr">
        <is>
          <t>M03</t>
        </is>
      </c>
      <c r="C158" t="inlineStr">
        <is>
          <t>YX-PAY</t>
        </is>
      </c>
      <c r="D158" t="inlineStr">
        <is>
          <t>5</t>
        </is>
      </c>
      <c r="E158" s="5" t="inlineStr">
        <is>
          <t>PT / LWF on a state change (J25, P07 YX-STAT-28): the payslip reads the work-state history from M01 and deducts PT / LWF for the one liable state per slot that P07 returns; the payslip and the PT / LWF returns show the state used; an employee is never deducted by two states, or by none, for the same slot.</t>
        </is>
      </c>
      <c r="F158" t="inlineStr">
        <is>
          <t>Not started</t>
        </is>
      </c>
      <c r="H158">
        <f>IF(G158&lt;&gt;"",G158,F158)</f>
        <v/>
      </c>
      <c r="I158" t="n">
        <v>0</v>
      </c>
      <c r="J158" t="n">
        <v>0</v>
      </c>
      <c r="K158" t="n">
        <v>0</v>
      </c>
      <c r="L158" s="5" t="inlineStr"/>
      <c r="M158" s="5" t="n"/>
    </row>
    <row r="159">
      <c r="A159" t="inlineStr">
        <is>
          <t>YX-PAY-55</t>
        </is>
      </c>
      <c r="B159" t="inlineStr">
        <is>
          <t>M03</t>
        </is>
      </c>
      <c r="C159" t="inlineStr">
        <is>
          <t>YX-PAY</t>
        </is>
      </c>
      <c r="D159" t="inlineStr">
        <is>
          <t>5</t>
        </is>
      </c>
      <c r="E159" s="5" t="inlineStr">
        <is>
          <t>ELI scheme (R5, P07 YX-STAT-29): eligibility is evaluated on joining and stored; UAN activation (face authentication via UMANG) and Aadhaar-bank seeding are onboarding tasks (M01 checklist); the ECR carries the scheme fields; the employer incentive expected vs received is tracked per ECR month; an eligibility report lists eligible, pending-prerequisite and ineligible employees with reasons.</t>
        </is>
      </c>
      <c r="F159" t="inlineStr">
        <is>
          <t>Not started</t>
        </is>
      </c>
      <c r="H159">
        <f>IF(G159&lt;&gt;"",G159,F159)</f>
        <v/>
      </c>
      <c r="I159" t="n">
        <v>0</v>
      </c>
      <c r="J159" t="n">
        <v>0</v>
      </c>
      <c r="K159" t="n">
        <v>0</v>
      </c>
      <c r="L159" s="5" t="inlineStr"/>
      <c r="M159" s="5" t="n"/>
    </row>
    <row r="160">
      <c r="A160" t="inlineStr">
        <is>
          <t>YX-PAY-56</t>
        </is>
      </c>
      <c r="B160" t="inlineStr">
        <is>
          <t>M03</t>
        </is>
      </c>
      <c r="C160" t="inlineStr">
        <is>
          <t>YX-PAY</t>
        </is>
      </c>
      <c r="D160" t="inlineStr">
        <is>
          <t>5</t>
        </is>
      </c>
      <c r="E160" s="5" t="inlineStr">
        <is>
          <t>ESI PwD ceiling (R8, P07 YX-STAT-30): ESI eligibility uses the ceiling P07 returns for the employee's consented disability status (field owned by M01); a status change takes effect from the next contribution period (verify against ESI rules).</t>
        </is>
      </c>
      <c r="F160" t="inlineStr">
        <is>
          <t>Not started</t>
        </is>
      </c>
      <c r="H160">
        <f>IF(G160&lt;&gt;"",G160,F160)</f>
        <v/>
      </c>
      <c r="I160" t="n">
        <v>0</v>
      </c>
      <c r="J160" t="n">
        <v>0</v>
      </c>
      <c r="K160" t="n">
        <v>0</v>
      </c>
      <c r="L160" s="5" t="inlineStr"/>
      <c r="M160" s="5" t="n"/>
    </row>
    <row r="161">
      <c r="A161" t="inlineStr">
        <is>
          <t>YX-PAY-57</t>
        </is>
      </c>
      <c r="B161" t="inlineStr">
        <is>
          <t>M03</t>
        </is>
      </c>
      <c r="C161" t="inlineStr">
        <is>
          <t>YX-PAY</t>
        </is>
      </c>
      <c r="D161" t="inlineStr">
        <is>
          <t>5</t>
        </is>
      </c>
      <c r="E161" s="5" t="inlineStr">
        <is>
          <t>Actuarial census and provision (J24): Payroll Admin generates a census per entity as at a valuation date (employee id, date of birth, gender, joining date, service, Code wage and last-drawn basic + DA, encashable leave balance by type, the year's exits with payouts) in a standard layout plus actuary-specific columns; the actuary's report and figures (opening / closing obligation, service cost, interest, actuarial gain / loss) are uploaded and booked as gratuity and leave provision journals in the accounting export; the census is Restricted (P02).</t>
        </is>
      </c>
      <c r="F161" t="inlineStr">
        <is>
          <t>Not started</t>
        </is>
      </c>
      <c r="H161">
        <f>IF(G161&lt;&gt;"",G161,F161)</f>
        <v/>
      </c>
      <c r="I161" t="n">
        <v>0</v>
      </c>
      <c r="J161" t="n">
        <v>0</v>
      </c>
      <c r="K161" t="n">
        <v>0</v>
      </c>
      <c r="L161" s="5" t="inlineStr"/>
      <c r="M161" s="5" t="n"/>
    </row>
    <row r="162">
      <c r="A162" t="inlineStr">
        <is>
          <t>YX-PAY-58</t>
        </is>
      </c>
      <c r="B162" t="inlineStr">
        <is>
          <t>M03</t>
        </is>
      </c>
      <c r="C162" t="inlineStr">
        <is>
          <t>YX-PAY</t>
        </is>
      </c>
      <c r="D162" t="inlineStr">
        <is>
          <t>5</t>
        </is>
      </c>
      <c r="E162" s="5" t="inlineStr">
        <is>
          <t>Weekly and fortnightly pay (V5, wave 3): pay groups with a weekly or fortnightly calendar get their own run, readiness, payslip and bank-file screens; PF / ESI are computed per run and aggregated into the monthly return; PT / LWF use the part-period logic from P07; TDS is projected on annualised run pay.</t>
        </is>
      </c>
      <c r="F162" t="inlineStr">
        <is>
          <t>Not started</t>
        </is>
      </c>
      <c r="H162">
        <f>IF(G162&lt;&gt;"",G162,F162)</f>
        <v/>
      </c>
      <c r="I162" t="n">
        <v>0</v>
      </c>
      <c r="J162" t="n">
        <v>0</v>
      </c>
      <c r="K162" t="n">
        <v>0</v>
      </c>
      <c r="L162" s="5" t="inlineStr"/>
      <c r="M162" s="5" t="n"/>
    </row>
    <row r="163">
      <c r="A163" t="inlineStr">
        <is>
          <t>YX-PAY-59</t>
        </is>
      </c>
      <c r="B163" t="inlineStr">
        <is>
          <t>M03</t>
        </is>
      </c>
      <c r="C163" t="inlineStr">
        <is>
          <t>YX-PAY</t>
        </is>
      </c>
      <c r="D163" t="inlineStr">
        <is>
          <t>5</t>
        </is>
      </c>
      <c r="E163" s="5" t="inlineStr">
        <is>
          <t>Piece-rate pay (V1, P07 YX-STAT-31): earnings = Σ(output × rate-card rate valid on the output date); where the period's earnings are below the time-rate minimum wage for days worked, a named minimum-wage top-up line is added; OT for piece-rated workers uses the P07 basis; output is keyed or imported (CSV / API) and locks with the period (P08).</t>
        </is>
      </c>
      <c r="F163" t="inlineStr">
        <is>
          <t>UI prototype only</t>
        </is>
      </c>
      <c r="H163">
        <f>IF(G163&lt;&gt;"",G163,F163)</f>
        <v/>
      </c>
      <c r="I163" t="n">
        <v>0</v>
      </c>
      <c r="J163" t="n">
        <v>0</v>
      </c>
      <c r="K163" t="n">
        <v>1</v>
      </c>
      <c r="L163" s="5" t="inlineStr"/>
      <c r="M163" s="5" t="n"/>
    </row>
    <row r="164">
      <c r="A164" t="inlineStr">
        <is>
          <t>YX-PAY-60</t>
        </is>
      </c>
      <c r="B164" t="inlineStr">
        <is>
          <t>M03</t>
        </is>
      </c>
      <c r="C164" t="inlineStr">
        <is>
          <t>YX-PAY</t>
        </is>
      </c>
      <c r="D164" t="inlineStr">
        <is>
          <t>5</t>
        </is>
      </c>
      <c r="E164" s="5" t="inlineStr">
        <is>
          <t>Incentive and commission plans (V2): plans from starter templates (production, attendance, sales commission) define metric source (import / M12 / API), quota, tiers, accelerators, cap, payout frequency and clawback window; results are approved via P03 and enter the run as one-time pay; clawbacks recover through later payslips within the deduction cap (E14) or F&amp;F; each employee sees a statement per period (metric, tier, amount, clawback). Commission is salary for TDS.</t>
        </is>
      </c>
      <c r="F164" t="inlineStr">
        <is>
          <t>UI prototype only</t>
        </is>
      </c>
      <c r="H164">
        <f>IF(G164&lt;&gt;"",G164,F164)</f>
        <v/>
      </c>
      <c r="I164" t="n">
        <v>0</v>
      </c>
      <c r="J164" t="n">
        <v>0</v>
      </c>
      <c r="K164" t="n">
        <v>1</v>
      </c>
      <c r="L164" s="5" t="inlineStr"/>
      <c r="M164" s="5" t="n"/>
    </row>
    <row r="165">
      <c r="A165" t="inlineStr">
        <is>
          <t>YX-PAY-61</t>
        </is>
      </c>
      <c r="B165" t="inlineStr">
        <is>
          <t>M03</t>
        </is>
      </c>
      <c r="C165" t="inlineStr">
        <is>
          <t>YX-PAY</t>
        </is>
      </c>
      <c r="D165" t="inlineStr">
        <is>
          <t>5</t>
        </is>
      </c>
      <c r="E165" s="5" t="inlineStr">
        <is>
          <t>Tips and service-charge pooling (V6, P07 YX-STAT-31): a pool per outlet per period is distributed by points, per shift or by hours from M02 attendance; amounts paid through payroll are a named line with PF / ESI / TDS treatment from P07; amounts paid directly by customers are recorded for statements only.</t>
        </is>
      </c>
      <c r="F165" t="inlineStr">
        <is>
          <t>UI prototype only</t>
        </is>
      </c>
      <c r="H165">
        <f>IF(G165&lt;&gt;"",G165,F165)</f>
        <v/>
      </c>
      <c r="I165" t="n">
        <v>0</v>
      </c>
      <c r="J165" t="n">
        <v>0</v>
      </c>
      <c r="K165" t="n">
        <v>1</v>
      </c>
      <c r="L165" s="5" t="inlineStr"/>
      <c r="M165" s="5" t="n"/>
    </row>
    <row r="166">
      <c r="A166" t="inlineStr">
        <is>
          <t>YX-PAY-62</t>
        </is>
      </c>
      <c r="B166" t="inlineStr">
        <is>
          <t>M03</t>
        </is>
      </c>
      <c r="C166" t="inlineStr">
        <is>
          <t>YX-PAY</t>
        </is>
      </c>
      <c r="D166" t="inlineStr">
        <is>
          <t>5</t>
        </is>
      </c>
      <c r="E166" s="5" t="inlineStr">
        <is>
          <t>On-call, standby and call-out pay (V7): from M02 on-call slots the run pays a standby allowance per slot and, for a call-out, max(actual hours, call-out minimum) × rate × multiplier; rates from a starter template (D17), minimum-wage and OT floors from P07.</t>
        </is>
      </c>
      <c r="F166" t="inlineStr">
        <is>
          <t>UI prototype only</t>
        </is>
      </c>
      <c r="H166">
        <f>IF(G166&lt;&gt;"",G166,F166)</f>
        <v/>
      </c>
      <c r="I166" t="n">
        <v>0</v>
      </c>
      <c r="J166" t="n">
        <v>0</v>
      </c>
      <c r="K166" t="n">
        <v>1</v>
      </c>
      <c r="L166" s="5" t="inlineStr"/>
      <c r="M166" s="5" t="n"/>
    </row>
    <row r="167">
      <c r="A167" t="inlineStr">
        <is>
          <t>YX-PAY-63</t>
        </is>
      </c>
      <c r="B167" t="inlineStr">
        <is>
          <t>M03</t>
        </is>
      </c>
      <c r="C167" t="inlineStr">
        <is>
          <t>YX-PAY</t>
        </is>
      </c>
      <c r="D167" t="inlineStr">
        <is>
          <t>5</t>
        </is>
      </c>
      <c r="E167" s="5" t="inlineStr">
        <is>
          <t>Industrial-relations pay (J4, P07 YX-STAT-32): check-off dues are deducted only with a recorded authorisation, within the deduction cap, and remitted per union per period with a remittance statement; a wage / long-term settlement sets increases by worker category and effective date and the arrears engine (YX-PAY-33 / 52) computes arrears by category; M02 lay-off days pay lay-off compensation per P07; a VRS payout is a one-time F&amp;F line.</t>
        </is>
      </c>
      <c r="F167" t="inlineStr">
        <is>
          <t>Not started</t>
        </is>
      </c>
      <c r="H167">
        <f>IF(G167&lt;&gt;"",G167,F167)</f>
        <v/>
      </c>
      <c r="I167" t="n">
        <v>0</v>
      </c>
      <c r="J167" t="n">
        <v>0</v>
      </c>
      <c r="K167" t="n">
        <v>0</v>
      </c>
      <c r="L167" s="5" t="inlineStr"/>
      <c r="M167" s="5" t="n"/>
    </row>
    <row r="168">
      <c r="A168" t="inlineStr">
        <is>
          <t>YX-TAX-01</t>
        </is>
      </c>
      <c r="B168" t="inlineStr">
        <is>
          <t>M03</t>
        </is>
      </c>
      <c r="C168" t="inlineStr">
        <is>
          <t>YX-TAX</t>
        </is>
      </c>
      <c r="D168" t="inlineStr">
        <is>
          <t>5</t>
        </is>
      </c>
      <c r="E168" s="5" t="inlineStr">
        <is>
          <t>The new regime is the default. The employee chooses a regime in their tax workspace until the company's cut-off; after that only HR can change it, with a reason. The regime must match the slab set used (fixes T-D4).</t>
        </is>
      </c>
      <c r="F168" t="inlineStr">
        <is>
          <t>Not started</t>
        </is>
      </c>
      <c r="H168">
        <f>IF(G168&lt;&gt;"",G168,F168)</f>
        <v/>
      </c>
      <c r="I168" t="n">
        <v>0</v>
      </c>
      <c r="J168" t="n">
        <v>0</v>
      </c>
      <c r="K168" t="n">
        <v>0</v>
      </c>
      <c r="L168" s="5" t="inlineStr"/>
      <c r="M168" s="5" t="n"/>
    </row>
    <row r="169">
      <c r="A169" t="inlineStr">
        <is>
          <t>YX-TAX-02</t>
        </is>
      </c>
      <c r="B169" t="inlineStr">
        <is>
          <t>M03</t>
        </is>
      </c>
      <c r="C169" t="inlineStr">
        <is>
          <t>YX-TAX</t>
        </is>
      </c>
      <c r="D169" t="inlineStr">
        <is>
          <t>5</t>
        </is>
      </c>
      <c r="E169" s="5" t="inlineStr">
        <is>
          <t>Monthly TDS = (projected annual tax − tax already deducted) ÷ remaining pay periods. The projection includes past actuals, the current payslip, future months at current pay, one-time pay already approved, Form 12B income and other income. Only one tax component per employee is allowed (fixes B-D8).</t>
        </is>
      </c>
      <c r="F169" t="inlineStr">
        <is>
          <t>UI prototype only</t>
        </is>
      </c>
      <c r="H169">
        <f>IF(G169&lt;&gt;"",G169,F169)</f>
        <v/>
      </c>
      <c r="I169" t="n">
        <v>0</v>
      </c>
      <c r="J169" t="n">
        <v>0</v>
      </c>
      <c r="K169" t="n">
        <v>1</v>
      </c>
      <c r="L169" s="5" t="inlineStr"/>
      <c r="M169" s="5" t="n"/>
    </row>
    <row r="170">
      <c r="A170" t="inlineStr">
        <is>
          <t>YX-TAX-03</t>
        </is>
      </c>
      <c r="B170" t="inlineStr">
        <is>
          <t>M03</t>
        </is>
      </c>
      <c r="C170" t="inlineStr">
        <is>
          <t>YX-TAX</t>
        </is>
      </c>
      <c r="D170" t="inlineStr">
        <is>
          <t>5</t>
        </is>
      </c>
      <c r="E170" s="5" t="inlineStr">
        <is>
          <t>Before proofs are verified, declarations are used for the projection. After the proof cut-off, only verified proof amounts count, and any extra tax is spread over the remaining periods (fixes D-D3; Q5).</t>
        </is>
      </c>
      <c r="F170" t="inlineStr">
        <is>
          <t>Not started</t>
        </is>
      </c>
      <c r="H170">
        <f>IF(G170&lt;&gt;"",G170,F170)</f>
        <v/>
      </c>
      <c r="I170" t="n">
        <v>0</v>
      </c>
      <c r="J170" t="n">
        <v>0</v>
      </c>
      <c r="K170" t="n">
        <v>0</v>
      </c>
      <c r="L170" s="5" t="inlineStr"/>
      <c r="M170" s="5" t="n"/>
    </row>
    <row r="171">
      <c r="A171" t="inlineStr">
        <is>
          <t>YX-TAX-04</t>
        </is>
      </c>
      <c r="B171" t="inlineStr">
        <is>
          <t>M03</t>
        </is>
      </c>
      <c r="C171" t="inlineStr">
        <is>
          <t>YX-TAX</t>
        </is>
      </c>
      <c r="D171" t="inlineStr">
        <is>
          <t>5</t>
        </is>
      </c>
      <c r="E171" s="5" t="inlineStr">
        <is>
          <t>HRA exemption is computed month by month over the months of actual employment and rent (fixes D-D2). A landlord PAN is required above the threshold in the P07 rule.</t>
        </is>
      </c>
      <c r="F171" t="inlineStr">
        <is>
          <t>UI prototype only</t>
        </is>
      </c>
      <c r="H171">
        <f>IF(G171&lt;&gt;"",G171,F171)</f>
        <v/>
      </c>
      <c r="I171" t="n">
        <v>0</v>
      </c>
      <c r="J171" t="n">
        <v>0</v>
      </c>
      <c r="K171" t="n">
        <v>1</v>
      </c>
      <c r="L171" s="5" t="inlineStr"/>
      <c r="M171" s="5" t="n"/>
    </row>
    <row r="172">
      <c r="A172" t="inlineStr">
        <is>
          <t>YX-TAX-05</t>
        </is>
      </c>
      <c r="B172" t="inlineStr">
        <is>
          <t>M03</t>
        </is>
      </c>
      <c r="C172" t="inlineStr">
        <is>
          <t>YX-TAX</t>
        </is>
      </c>
      <c r="D172" t="inlineStr">
        <is>
          <t>5</t>
        </is>
      </c>
      <c r="E172" s="5" t="inlineStr">
        <is>
          <t>Every line of every declaration and proof is verified by payroll or HR (approve, reject or partly approve, with a comment). Employees can't approve their own proofs (fixes D-D12).</t>
        </is>
      </c>
      <c r="F172" t="inlineStr">
        <is>
          <t>Not started</t>
        </is>
      </c>
      <c r="H172">
        <f>IF(G172&lt;&gt;"",G172,F172)</f>
        <v/>
      </c>
      <c r="I172" t="n">
        <v>0</v>
      </c>
      <c r="J172" t="n">
        <v>0</v>
      </c>
      <c r="K172" t="n">
        <v>0</v>
      </c>
      <c r="L172" s="5" t="inlineStr"/>
      <c r="M172" s="5" t="n"/>
    </row>
    <row r="173">
      <c r="A173" t="inlineStr">
        <is>
          <t>YX-TAX-06</t>
        </is>
      </c>
      <c r="B173" t="inlineStr">
        <is>
          <t>M03</t>
        </is>
      </c>
      <c r="C173" t="inlineStr">
        <is>
          <t>YX-TAX</t>
        </is>
      </c>
      <c r="D173" t="inlineStr">
        <is>
          <t>5</t>
        </is>
      </c>
      <c r="E173" s="5" t="inlineStr">
        <is>
          <t>The tax breakup shown to the employee equals the tax deducted, calculated by one function (fixes B-D11, D-D8).</t>
        </is>
      </c>
      <c r="F173" t="inlineStr">
        <is>
          <t>UI prototype only</t>
        </is>
      </c>
      <c r="H173">
        <f>IF(G173&lt;&gt;"",G173,F173)</f>
        <v/>
      </c>
      <c r="I173" t="n">
        <v>0</v>
      </c>
      <c r="J173" t="n">
        <v>0</v>
      </c>
      <c r="K173" t="n">
        <v>1</v>
      </c>
      <c r="L173" s="5" t="inlineStr"/>
      <c r="M173" s="5" t="n"/>
    </row>
    <row r="174">
      <c r="A174" t="inlineStr">
        <is>
          <t>YX-TAX-07</t>
        </is>
      </c>
      <c r="B174" t="inlineStr">
        <is>
          <t>M03</t>
        </is>
      </c>
      <c r="C174" t="inlineStr">
        <is>
          <t>YX-TAX</t>
        </is>
      </c>
      <c r="D174" t="inlineStr">
        <is>
          <t>5</t>
        </is>
      </c>
      <c r="E174" s="5" t="inlineStr">
        <is>
          <t>Form 138 and Form 130 (24Q and Form 16 for periods up to 31 Mar 2026, YX-TAX-19) use tax actually deducted and include leavers (fixes T-D7). The challan window is based on deposit date (fixes T-D1, T-D6, T-D10).</t>
        </is>
      </c>
      <c r="F174" t="inlineStr">
        <is>
          <t>Not started</t>
        </is>
      </c>
      <c r="H174">
        <f>IF(G174&lt;&gt;"",G174,F174)</f>
        <v/>
      </c>
      <c r="I174" t="n">
        <v>0</v>
      </c>
      <c r="J174" t="n">
        <v>0</v>
      </c>
      <c r="K174" t="n">
        <v>0</v>
      </c>
      <c r="L174" s="5" t="inlineStr"/>
      <c r="M174" s="5" t="n"/>
    </row>
    <row r="175">
      <c r="A175" t="inlineStr">
        <is>
          <t>YX-TAX-08</t>
        </is>
      </c>
      <c r="B175" t="inlineStr">
        <is>
          <t>M03</t>
        </is>
      </c>
      <c r="C175" t="inlineStr">
        <is>
          <t>YX-TAX</t>
        </is>
      </c>
      <c r="D175" t="inlineStr">
        <is>
          <t>5</t>
        </is>
      </c>
      <c r="E175" s="5" t="inlineStr">
        <is>
          <t>A filed return is locked (P08 "filed"). Corrections create a correction return linked to the original (fixes T-D2, T-D3).</t>
        </is>
      </c>
      <c r="F175" t="inlineStr">
        <is>
          <t>Not started</t>
        </is>
      </c>
      <c r="H175">
        <f>IF(G175&lt;&gt;"",G175,F175)</f>
        <v/>
      </c>
      <c r="I175" t="n">
        <v>0</v>
      </c>
      <c r="J175" t="n">
        <v>0</v>
      </c>
      <c r="K175" t="n">
        <v>0</v>
      </c>
      <c r="L175" s="5" t="inlineStr"/>
      <c r="M175" s="5" t="n"/>
    </row>
    <row r="176">
      <c r="A176" t="inlineStr">
        <is>
          <t>YX-TAX-09</t>
        </is>
      </c>
      <c r="B176" t="inlineStr">
        <is>
          <t>M03</t>
        </is>
      </c>
      <c r="C176" t="inlineStr">
        <is>
          <t>YX-TAX</t>
        </is>
      </c>
      <c r="D176" t="inlineStr">
        <is>
          <t>5</t>
        </is>
      </c>
      <c r="E176" s="5" t="inlineStr">
        <is>
          <t>Leave encashment, s.10(10AA) (P07): on retirement / exit the exemption = the least of the four P07 limbs, subject to the ₹25 L lifetime cap reduced by exemptions already used (prior-employer usage captured in the tax workspace); encashment while in service is fully taxable.</t>
        </is>
      </c>
      <c r="F176" t="inlineStr">
        <is>
          <t>Not started</t>
        </is>
      </c>
      <c r="H176">
        <f>IF(G176&lt;&gt;"",G176,F176)</f>
        <v/>
      </c>
      <c r="I176" t="n">
        <v>0</v>
      </c>
      <c r="J176" t="n">
        <v>0</v>
      </c>
      <c r="K176" t="n">
        <v>0</v>
      </c>
      <c r="L176" s="5" t="inlineStr"/>
      <c r="M176" s="5" t="n"/>
    </row>
    <row r="177">
      <c r="A177" t="inlineStr">
        <is>
          <t>YX-TAX-10</t>
        </is>
      </c>
      <c r="B177" t="inlineStr">
        <is>
          <t>M03</t>
        </is>
      </c>
      <c r="C177" t="inlineStr">
        <is>
          <t>YX-TAX</t>
        </is>
      </c>
      <c r="D177" t="inlineStr">
        <is>
          <t>5</t>
        </is>
      </c>
      <c r="E177" s="5" t="inlineStr">
        <is>
          <t>PAN missing or inoperative (s.206AA): payroll is not blocked; TDS = the higher of 20 % or the slab rate, and the salary-return deductee row carries the no-PAN flag (PANNOTAVBL on a 24Q; the Form 138 code from P07). PAN operative status is checked via P10 before each run and before filing.</t>
        </is>
      </c>
      <c r="F177" t="inlineStr">
        <is>
          <t>UI prototype only</t>
        </is>
      </c>
      <c r="H177">
        <f>IF(G177&lt;&gt;"",G177,F177)</f>
        <v/>
      </c>
      <c r="I177" t="n">
        <v>0</v>
      </c>
      <c r="J177" t="n">
        <v>0</v>
      </c>
      <c r="K177" t="n">
        <v>2</v>
      </c>
      <c r="L177" s="5" t="inlineStr"/>
      <c r="M177" s="5" t="n"/>
    </row>
    <row r="178">
      <c r="A178" t="inlineStr">
        <is>
          <t>YX-TAX-11</t>
        </is>
      </c>
      <c r="B178" t="inlineStr">
        <is>
          <t>M03</t>
        </is>
      </c>
      <c r="C178" t="inlineStr">
        <is>
          <t>YX-TAX</t>
        </is>
      </c>
      <c r="D178" t="inlineStr">
        <is>
          <t>5</t>
        </is>
      </c>
      <c r="E178" s="5" t="inlineStr">
        <is>
          <t>Residential status: the tax workspace records the residential-status test per FY. For a non-resident: no s.87A rebate, DTAA / TRC and Form 10F captured, and the treaty rate applied only with a valid TRC.</t>
        </is>
      </c>
      <c r="F178" t="inlineStr">
        <is>
          <t>Not started</t>
        </is>
      </c>
      <c r="H178">
        <f>IF(G178&lt;&gt;"",G178,F178)</f>
        <v/>
      </c>
      <c r="I178" t="n">
        <v>0</v>
      </c>
      <c r="J178" t="n">
        <v>0</v>
      </c>
      <c r="K178" t="n">
        <v>0</v>
      </c>
      <c r="L178" s="5" t="inlineStr"/>
      <c r="M178" s="5" t="n"/>
    </row>
    <row r="179">
      <c r="A179" t="inlineStr">
        <is>
          <t>YX-TAX-12</t>
        </is>
      </c>
      <c r="B179" t="inlineStr">
        <is>
          <t>M03</t>
        </is>
      </c>
      <c r="C179" t="inlineStr">
        <is>
          <t>YX-TAX</t>
        </is>
      </c>
      <c r="D179" t="inlineStr">
        <is>
          <t>5</t>
        </is>
      </c>
      <c r="E179" s="5" t="inlineStr">
        <is>
          <t>Perquisites and special cases (P07): company car (Rule 3 by engine size / use) and rent-free / concessional accommodation are valued as perquisites and reported in Form 12BA; the gratuity 5-year condition is waived on death or disablement; TDS on payments to a legal heir follows the P07 rule for heirs.</t>
        </is>
      </c>
      <c r="F179" t="inlineStr">
        <is>
          <t>Not started</t>
        </is>
      </c>
      <c r="H179">
        <f>IF(G179&lt;&gt;"",G179,F179)</f>
        <v/>
      </c>
      <c r="I179" t="n">
        <v>0</v>
      </c>
      <c r="J179" t="n">
        <v>0</v>
      </c>
      <c r="K179" t="n">
        <v>0</v>
      </c>
      <c r="L179" s="5" t="inlineStr"/>
      <c r="M179" s="5" t="n"/>
    </row>
    <row r="180">
      <c r="A180" t="inlineStr">
        <is>
          <t>YX-TAX-13</t>
        </is>
      </c>
      <c r="B180" t="inlineStr">
        <is>
          <t>M03</t>
        </is>
      </c>
      <c r="C180" t="inlineStr">
        <is>
          <t>YX-TAX</t>
        </is>
      </c>
      <c r="D180" t="inlineStr">
        <is>
          <t>5</t>
        </is>
      </c>
      <c r="E180" s="5" t="inlineStr">
        <is>
          <t>Continuity across employments (E9 / E5): on an inter-entity transfer, Form 12B is auto-populated into the new entity's tax workspace and declarations / proofs are copied; the gratuity exemption is tracked across both payouts (one lifetime limit). On a rehire in the same FY, YTD, TDS and Form 130 are combined per PAN × TAN × FY.</t>
        </is>
      </c>
      <c r="F180" t="inlineStr">
        <is>
          <t>Not started</t>
        </is>
      </c>
      <c r="H180">
        <f>IF(G180&lt;&gt;"",G180,F180)</f>
        <v/>
      </c>
      <c r="I180" t="n">
        <v>0</v>
      </c>
      <c r="J180" t="n">
        <v>0</v>
      </c>
      <c r="K180" t="n">
        <v>0</v>
      </c>
      <c r="L180" s="5" t="inlineStr"/>
      <c r="M180" s="5" t="n"/>
    </row>
    <row r="181">
      <c r="A181" t="inlineStr">
        <is>
          <t>YX-TAX-14</t>
        </is>
      </c>
      <c r="B181" t="inlineStr">
        <is>
          <t>M03</t>
        </is>
      </c>
      <c r="C181" t="inlineStr">
        <is>
          <t>YX-TAX</t>
        </is>
      </c>
      <c r="D181" t="inlineStr">
        <is>
          <t>5</t>
        </is>
      </c>
      <c r="E181" s="5" t="inlineStr">
        <is>
          <t>A TDS challan is pre-filled from the approved runs for its deposit month (TDS per section, entity TAN); interest for late deduction / late deposit (s.201(1A)) and the late-filing fee (s.234E) are computed from P07 IN.TDS interest and fee parameters (YX-STAT-14); a manual edit needs a reason and is audited (fixes U45).</t>
        </is>
      </c>
      <c r="F181" t="inlineStr">
        <is>
          <t>UI prototype only</t>
        </is>
      </c>
      <c r="H181">
        <f>IF(G181&lt;&gt;"",G181,F181)</f>
        <v/>
      </c>
      <c r="I181" t="n">
        <v>0</v>
      </c>
      <c r="J181" t="n">
        <v>0</v>
      </c>
      <c r="K181" t="n">
        <v>1</v>
      </c>
      <c r="L181" s="5" t="inlineStr"/>
      <c r="M181" s="5" t="n"/>
    </row>
    <row r="182">
      <c r="A182" t="inlineStr">
        <is>
          <t>YX-TAX-15</t>
        </is>
      </c>
      <c r="B182" t="inlineStr">
        <is>
          <t>M03</t>
        </is>
      </c>
      <c r="C182" t="inlineStr">
        <is>
          <t>YX-TAX</t>
        </is>
      </c>
      <c r="D182" t="inlineStr">
        <is>
          <t>5</t>
        </is>
      </c>
      <c r="E182" s="5" t="inlineStr">
        <is>
          <t>A quarterly return for an entity that started or migrated mid-year includes prior-month deductee rows from the imported YTD (setup step 6, or a deductee-row import in the return wizard); missing months block validation with a Fix link, so Form 138 is complete (fixes U46).</t>
        </is>
      </c>
      <c r="F182" t="inlineStr">
        <is>
          <t>Not started</t>
        </is>
      </c>
      <c r="H182">
        <f>IF(G182&lt;&gt;"",G182,F182)</f>
        <v/>
      </c>
      <c r="I182" t="n">
        <v>0</v>
      </c>
      <c r="J182" t="n">
        <v>0</v>
      </c>
      <c r="K182" t="n">
        <v>0</v>
      </c>
      <c r="L182" s="5" t="inlineStr"/>
      <c r="M182" s="5" t="n"/>
    </row>
    <row r="183">
      <c r="A183" t="inlineStr">
        <is>
          <t>YX-TAX-16</t>
        </is>
      </c>
      <c r="B183" t="inlineStr">
        <is>
          <t>M03</t>
        </is>
      </c>
      <c r="C183" t="inlineStr">
        <is>
          <t>YX-TAX</t>
        </is>
      </c>
      <c r="D183" t="inlineStr">
        <is>
          <t>5</t>
        </is>
      </c>
      <c r="E183" s="5" t="inlineStr">
        <is>
          <t>TDS on consultant invoices (A8, P07 IN.TDS): section per invoice — 194C (contract work; individual / HUF vs other rate), 194J(a) technical services and 194J(b) professional fees (return codes from P07 by law version, e.g. 94J-A / 94J-B on a 26Q; different rates); P07 single-payment and aggregate-per-FY thresholds are tracked per consultant × entity × FY, and TDS applies from the invoice that crosses them as the P07 rule says; TDS is on the taxable value excluding GST when GST is shown separately; no PAN or inoperative PAN → 20 % (s.206AA, or the section rate if higher) with the return's no-PAN</t>
        </is>
      </c>
      <c r="F183" t="inlineStr">
        <is>
          <t>Not started</t>
        </is>
      </c>
      <c r="H183">
        <f>IF(G183&lt;&gt;"",G183,F183)</f>
        <v/>
      </c>
      <c r="I183" t="n">
        <v>0</v>
      </c>
      <c r="J183" t="n">
        <v>0</v>
      </c>
      <c r="K183" t="n">
        <v>0</v>
      </c>
      <c r="L183" s="5" t="inlineStr"/>
      <c r="M183" s="5" t="n"/>
    </row>
    <row r="184">
      <c r="A184" t="inlineStr">
        <is>
          <t>YX-TAX-17</t>
        </is>
      </c>
      <c r="B184" t="inlineStr">
        <is>
          <t>M03</t>
        </is>
      </c>
      <c r="C184" t="inlineStr">
        <is>
          <t>YX-TAX</t>
        </is>
      </c>
      <c r="D184" t="inlineStr">
        <is>
          <t>5</t>
        </is>
      </c>
      <c r="E184" s="5" t="inlineStr">
        <is>
          <t>Form 140 and Form 131 (A8): consultant TDS is deposited on the same challans by section as salary TDS (YX-TAX-14; one challan per section per deposit month); the quarterly Form 140 is drafted from paid invoices, reconciled deposit-vs-deduction (YX-PAY-36), validated and filed in the same filing modes as Form 138 (self-file with FVU, or filing partner; Q6), and locked on filing (YX-TAX-08; corrections as correction returns). Form 131 is issued per consultant per quarter after filing (from TRACES in either mode), DSC-signed (P05) and published in the consultant's login.</t>
        </is>
      </c>
      <c r="F184" t="inlineStr">
        <is>
          <t>Not started</t>
        </is>
      </c>
      <c r="H184">
        <f>IF(G184&lt;&gt;"",G184,F184)</f>
        <v/>
      </c>
      <c r="I184" t="n">
        <v>0</v>
      </c>
      <c r="J184" t="n">
        <v>0</v>
      </c>
      <c r="K184" t="n">
        <v>0</v>
      </c>
      <c r="L184" s="5" t="inlineStr"/>
      <c r="M184" s="5" t="n"/>
    </row>
    <row r="185">
      <c r="A185" t="inlineStr">
        <is>
          <t>YX-TAX-18</t>
        </is>
      </c>
      <c r="B185" t="inlineStr">
        <is>
          <t>M03</t>
        </is>
      </c>
      <c r="C185" t="inlineStr">
        <is>
          <t>YX-TAX</t>
        </is>
      </c>
      <c r="D185" t="inlineStr">
        <is>
          <t>5</t>
        </is>
      </c>
      <c r="E185" s="5" t="inlineStr">
        <is>
          <t>ESOP perquisite (C4, P07 IN.TDS): on exercise, the perquisite = (FMV on the exercise date − exercise price) × units, with FMV per P07 (listed: stock-exchange price rule; unlisted: category-I merchant-banker valuation not older than the P07 limit); it is salary income taxed through the payroll TDS projection (YX-TAX-02) in the exercise month and reported in Form 130 / 12BA; for an eligible start-up (P07 condition) the company may defer the TDS to the earliest of the P07 events (period from the end of the assessment year / tax year, sale of the shares, leaving the company), tracked per exercise;</t>
        </is>
      </c>
      <c r="F185" t="inlineStr">
        <is>
          <t>Not started</t>
        </is>
      </c>
      <c r="H185">
        <f>IF(G185&lt;&gt;"",G185,F185)</f>
        <v/>
      </c>
      <c r="I185" t="n">
        <v>0</v>
      </c>
      <c r="J185" t="n">
        <v>0</v>
      </c>
      <c r="K185" t="n">
        <v>0</v>
      </c>
      <c r="L185" s="5" t="inlineStr"/>
      <c r="M185" s="5" t="n"/>
    </row>
    <row r="186">
      <c r="A186" t="inlineStr">
        <is>
          <t>YX-TAX-19</t>
        </is>
      </c>
      <c r="B186" t="inlineStr">
        <is>
          <t>M03</t>
        </is>
      </c>
      <c r="C186" t="inlineStr">
        <is>
          <t>YX-TAX</t>
        </is>
      </c>
      <c r="D186" t="inlineStr">
        <is>
          <t>5</t>
        </is>
      </c>
      <c r="E186" s="5" t="inlineStr">
        <is>
          <t>Income-tax Act 2025 law version (C2, P07 YX-STAT-24): every TDS computation, challan, return and certificate records its law version; periods and returns up to the tax year ending 31 Mar 2026 use the 1961 Act forms (e.g. the Q4 FY 2025-26 24Q filed and the Form 16 / 16A issued in 2026, and any later correction of those quarters), and from 1 Apr 2026 the 2025 Act forms — Form 138 (salary return), Form 140 (non-salary return), Form 130 / Form 131 (certificates); the tax workspace says "tax year" from tax year 2026-27; section labels on screens and files come from the P07 cross-walk (no section n</t>
        </is>
      </c>
      <c r="F186" t="inlineStr">
        <is>
          <t>Not started</t>
        </is>
      </c>
      <c r="H186">
        <f>IF(G186&lt;&gt;"",G186,F186)</f>
        <v/>
      </c>
      <c r="I186" t="n">
        <v>0</v>
      </c>
      <c r="J186" t="n">
        <v>0</v>
      </c>
      <c r="K186" t="n">
        <v>0</v>
      </c>
      <c r="L186" s="5" t="inlineStr"/>
      <c r="M186" s="5" t="n"/>
    </row>
    <row r="187">
      <c r="A187" t="inlineStr">
        <is>
          <t>YX-TAX-20</t>
        </is>
      </c>
      <c r="B187" t="inlineStr">
        <is>
          <t>M03</t>
        </is>
      </c>
      <c r="C187" t="inlineStr">
        <is>
          <t>YX-TAX</t>
        </is>
      </c>
      <c r="D187" t="inlineStr">
        <is>
          <t>5</t>
        </is>
      </c>
      <c r="E187" s="5" t="inlineStr">
        <is>
          <t xml:space="preserve">Revised TDS certificates (J21): after a correction return (Form 138 / Form 140; 24Q / 26Q for quarters up to 31 Mar 2026, YX-TAX-19) is accepted and the corrected Part A is available (TRACES in self-file mode, the partner in partner mode), a revised Form 130 / Form 131 (Form 16 / 16A for old periods) is generated automatically for each affected employee or consultant, marked "Revised", DSC-signed and published; the earlier certificate is marked superseded and kept (never deleted; the verify page shows it as superseded). The employee (or alumnus) or consultant gets a notice in the app with the </t>
        </is>
      </c>
      <c r="F187" t="inlineStr">
        <is>
          <t>Not started</t>
        </is>
      </c>
      <c r="H187">
        <f>IF(G187&lt;&gt;"",G187,F187)</f>
        <v/>
      </c>
      <c r="I187" t="n">
        <v>0</v>
      </c>
      <c r="J187" t="n">
        <v>0</v>
      </c>
      <c r="K187" t="n">
        <v>0</v>
      </c>
      <c r="L187" s="5" t="inlineStr"/>
      <c r="M187" s="5" t="n"/>
    </row>
    <row r="188">
      <c r="A188" t="inlineStr">
        <is>
          <t>YX-TAX-21</t>
        </is>
      </c>
      <c r="B188" t="inlineStr">
        <is>
          <t>M03</t>
        </is>
      </c>
      <c r="C188" t="inlineStr">
        <is>
          <t>YX-TAX</t>
        </is>
      </c>
      <c r="D188" t="inlineStr">
        <is>
          <t>5</t>
        </is>
      </c>
      <c r="E188" s="5" t="inlineStr">
        <is>
          <t>VRS tax (J4, P07 YX-STAT-32): VRS compensation is exempt up to the P07 limit once per lifetime (prior claim captured; section per law version, verify); the rest is taxed as salary with relief per P07; the exemption shows in Form 130 / 12BA.</t>
        </is>
      </c>
      <c r="F188" t="inlineStr">
        <is>
          <t>Not started</t>
        </is>
      </c>
      <c r="H188">
        <f>IF(G188&lt;&gt;"",G188,F188)</f>
        <v/>
      </c>
      <c r="I188" t="n">
        <v>0</v>
      </c>
      <c r="J188" t="n">
        <v>0</v>
      </c>
      <c r="K188" t="n">
        <v>0</v>
      </c>
      <c r="L188" s="5" t="inlineStr"/>
      <c r="M188" s="5" t="n"/>
    </row>
    <row r="189">
      <c r="A189" t="inlineStr">
        <is>
          <t>YX-MOB-01</t>
        </is>
      </c>
      <c r="B189" t="inlineStr">
        <is>
          <t>M04</t>
        </is>
      </c>
      <c r="C189" t="inlineStr">
        <is>
          <t>YX-MOB</t>
        </is>
      </c>
      <c r="D189" t="inlineStr">
        <is>
          <t>6+</t>
        </is>
      </c>
      <c r="E189" s="5" t="inlineStr">
        <is>
          <t>Every employee-facing flow in a module ships on mobile in the same wave as the desk version (fixes U95).</t>
        </is>
      </c>
      <c r="F189" t="inlineStr">
        <is>
          <t>Not started</t>
        </is>
      </c>
      <c r="H189">
        <f>IF(G189&lt;&gt;"",G189,F189)</f>
        <v/>
      </c>
      <c r="I189" t="n">
        <v>0</v>
      </c>
      <c r="J189" t="n">
        <v>0</v>
      </c>
      <c r="K189" t="n">
        <v>0</v>
      </c>
      <c r="L189" s="5" t="inlineStr"/>
      <c r="M189" s="5" t="n"/>
    </row>
    <row r="190">
      <c r="A190" t="inlineStr">
        <is>
          <t>YX-MOB-02</t>
        </is>
      </c>
      <c r="B190" t="inlineStr">
        <is>
          <t>M04</t>
        </is>
      </c>
      <c r="C190" t="inlineStr">
        <is>
          <t>YX-MOB</t>
        </is>
      </c>
      <c r="D190" t="inlineStr">
        <is>
          <t>6+</t>
        </is>
      </c>
      <c r="E190" s="5" t="inlineStr">
        <is>
          <t>Approvals on mobile use the approval card: a summary, the impact (e.g. team availability or balance after), approve / reject / send back with a comment. The full form is never shown for editing (fixes U91).</t>
        </is>
      </c>
      <c r="F190" t="inlineStr">
        <is>
          <t>Not started</t>
        </is>
      </c>
      <c r="H190">
        <f>IF(G190&lt;&gt;"",G190,F190)</f>
        <v/>
      </c>
      <c r="I190" t="n">
        <v>0</v>
      </c>
      <c r="J190" t="n">
        <v>0</v>
      </c>
      <c r="K190" t="n">
        <v>0</v>
      </c>
      <c r="L190" s="5" t="inlineStr"/>
      <c r="M190" s="5" t="n"/>
    </row>
    <row r="191">
      <c r="A191" t="inlineStr">
        <is>
          <t>YX-MOB-03</t>
        </is>
      </c>
      <c r="B191" t="inlineStr">
        <is>
          <t>M04</t>
        </is>
      </c>
      <c r="C191" t="inlineStr">
        <is>
          <t>YX-MOB</t>
        </is>
      </c>
      <c r="D191" t="inlineStr">
        <is>
          <t>6+</t>
        </is>
      </c>
      <c r="E191" s="5" t="inlineStr">
        <is>
          <t>The approvals inbox shows only items awaiting the viewer's action, grouped by type, with bulk approve for low-risk types (fixes U92).</t>
        </is>
      </c>
      <c r="F191" t="inlineStr">
        <is>
          <t>UI prototype only</t>
        </is>
      </c>
      <c r="H191">
        <f>IF(G191&lt;&gt;"",G191,F191)</f>
        <v/>
      </c>
      <c r="I191" t="n">
        <v>0</v>
      </c>
      <c r="J191" t="n">
        <v>0</v>
      </c>
      <c r="K191" t="n">
        <v>1</v>
      </c>
      <c r="L191" s="5" t="inlineStr"/>
      <c r="M191" s="5" t="n"/>
    </row>
    <row r="192">
      <c r="A192" t="inlineStr">
        <is>
          <t>YX-MOB-04</t>
        </is>
      </c>
      <c r="B192" t="inlineStr">
        <is>
          <t>M04</t>
        </is>
      </c>
      <c r="C192" t="inlineStr">
        <is>
          <t>YX-MOB</t>
        </is>
      </c>
      <c r="D192" t="inlineStr">
        <is>
          <t>6+</t>
        </is>
      </c>
      <c r="E192" s="5" t="inlineStr">
        <is>
          <t>Notifications are grouped by subject, show names rather than IDs, and deep-link to the record with its action (fixes U93).</t>
        </is>
      </c>
      <c r="F192" t="inlineStr">
        <is>
          <t>Not started</t>
        </is>
      </c>
      <c r="H192">
        <f>IF(G192&lt;&gt;"",G192,F192)</f>
        <v/>
      </c>
      <c r="I192" t="n">
        <v>0</v>
      </c>
      <c r="J192" t="n">
        <v>0</v>
      </c>
      <c r="K192" t="n">
        <v>0</v>
      </c>
      <c r="L192" s="5" t="inlineStr"/>
      <c r="M192" s="5" t="n"/>
    </row>
    <row r="193">
      <c r="A193" t="inlineStr">
        <is>
          <t>YX-MOB-05</t>
        </is>
      </c>
      <c r="B193" t="inlineStr">
        <is>
          <t>M04</t>
        </is>
      </c>
      <c r="C193" t="inlineStr">
        <is>
          <t>YX-MOB</t>
        </is>
      </c>
      <c r="D193" t="inlineStr">
        <is>
          <t>6+</t>
        </is>
      </c>
      <c r="E193" s="5" t="inlineStr">
        <is>
          <t>The check-in sheet shows shift, time to start, location verdict (inside / outside geofence, distance) and the reason if check-in is blocked (fixes U94).</t>
        </is>
      </c>
      <c r="F193" t="inlineStr">
        <is>
          <t>UI prototype only</t>
        </is>
      </c>
      <c r="H193">
        <f>IF(G193&lt;&gt;"",G193,F193)</f>
        <v/>
      </c>
      <c r="I193" t="n">
        <v>0</v>
      </c>
      <c r="J193" t="n">
        <v>0</v>
      </c>
      <c r="K193" t="n">
        <v>2</v>
      </c>
      <c r="L193" s="5" t="inlineStr"/>
      <c r="M193" s="5" t="n"/>
    </row>
    <row r="194">
      <c r="A194" t="inlineStr">
        <is>
          <t>YX-MOB-06</t>
        </is>
      </c>
      <c r="B194" t="inlineStr">
        <is>
          <t>M04</t>
        </is>
      </c>
      <c r="C194" t="inlineStr">
        <is>
          <t>YX-MOB</t>
        </is>
      </c>
      <c r="D194" t="inlineStr">
        <is>
          <t>6+</t>
        </is>
      </c>
      <c r="E194" s="5" t="inlineStr">
        <is>
          <t>The app loads to an interactive state in 3 s or less on a mid-range Android phone over 3G for Home and Time. The JavaScript for these tabs is kept to 200 KB gzipped or less.</t>
        </is>
      </c>
      <c r="F194" t="inlineStr">
        <is>
          <t>Not started</t>
        </is>
      </c>
      <c r="H194">
        <f>IF(G194&lt;&gt;"",G194,F194)</f>
        <v/>
      </c>
      <c r="I194" t="n">
        <v>0</v>
      </c>
      <c r="J194" t="n">
        <v>0</v>
      </c>
      <c r="K194" t="n">
        <v>0</v>
      </c>
      <c r="L194" s="5" t="inlineStr"/>
      <c r="M194" s="5" t="n"/>
    </row>
    <row r="195">
      <c r="A195" t="inlineStr">
        <is>
          <t>YX-MOB-07</t>
        </is>
      </c>
      <c r="B195" t="inlineStr">
        <is>
          <t>M04</t>
        </is>
      </c>
      <c r="C195" t="inlineStr">
        <is>
          <t>YX-MOB</t>
        </is>
      </c>
      <c r="D195" t="inlineStr">
        <is>
          <t>6+</t>
        </is>
      </c>
      <c r="E195" s="5" t="inlineStr">
        <is>
          <t>Sensitive screens (Pay, documents, bank and ID fields) follow the re-authentication rule in Q8. Screenshots are not blocked (a PWA can't), but the payslip PDF carries a watermark with the employee's name and download time.</t>
        </is>
      </c>
      <c r="F195" t="inlineStr">
        <is>
          <t>Not started</t>
        </is>
      </c>
      <c r="H195">
        <f>IF(G195&lt;&gt;"",G195,F195)</f>
        <v/>
      </c>
      <c r="I195" t="n">
        <v>0</v>
      </c>
      <c r="J195" t="n">
        <v>0</v>
      </c>
      <c r="K195" t="n">
        <v>0</v>
      </c>
      <c r="L195" s="5" t="inlineStr"/>
      <c r="M195" s="5" t="n"/>
    </row>
    <row r="196">
      <c r="A196" t="inlineStr">
        <is>
          <t>YX-MOB-08</t>
        </is>
      </c>
      <c r="B196" t="inlineStr">
        <is>
          <t>M04</t>
        </is>
      </c>
      <c r="C196" t="inlineStr">
        <is>
          <t>YX-MOB</t>
        </is>
      </c>
      <c r="D196" t="inlineStr">
        <is>
          <t>6+</t>
        </is>
      </c>
      <c r="E196" s="5" t="inlineStr">
        <is>
          <t>Check-in is accepted only from the employee's bound device when the company enables binding (Q3). Otherwise the device is recorded on every punch.</t>
        </is>
      </c>
      <c r="F196" t="inlineStr">
        <is>
          <t>Not started</t>
        </is>
      </c>
      <c r="H196">
        <f>IF(G196&lt;&gt;"",G196,F196)</f>
        <v/>
      </c>
      <c r="I196" t="n">
        <v>0</v>
      </c>
      <c r="J196" t="n">
        <v>0</v>
      </c>
      <c r="K196" t="n">
        <v>0</v>
      </c>
      <c r="L196" s="5" t="inlineStr"/>
      <c r="M196" s="5" t="n"/>
    </row>
    <row r="197">
      <c r="A197" t="inlineStr">
        <is>
          <t>YX-MOB-09</t>
        </is>
      </c>
      <c r="B197" t="inlineStr">
        <is>
          <t>M04</t>
        </is>
      </c>
      <c r="C197" t="inlineStr">
        <is>
          <t>YX-MOB</t>
        </is>
      </c>
      <c r="D197" t="inlineStr">
        <is>
          <t>6+</t>
        </is>
      </c>
      <c r="E197" s="5" t="inlineStr">
        <is>
          <t>A lost device can be signed out remotely by the employee (Me → Security) or by HR. This revokes its sessions and push tokens immediately.</t>
        </is>
      </c>
      <c r="F197" t="inlineStr">
        <is>
          <t>Not started</t>
        </is>
      </c>
      <c r="H197">
        <f>IF(G197&lt;&gt;"",G197,F197)</f>
        <v/>
      </c>
      <c r="I197" t="n">
        <v>0</v>
      </c>
      <c r="J197" t="n">
        <v>0</v>
      </c>
      <c r="K197" t="n">
        <v>0</v>
      </c>
      <c r="L197" s="5" t="inlineStr"/>
      <c r="M197" s="5" t="n"/>
    </row>
    <row r="198">
      <c r="A198" t="inlineStr">
        <is>
          <t>YX-MOB-10</t>
        </is>
      </c>
      <c r="B198" t="inlineStr">
        <is>
          <t>M04</t>
        </is>
      </c>
      <c r="C198" t="inlineStr">
        <is>
          <t>YX-MOB</t>
        </is>
      </c>
      <c r="D198" t="inlineStr">
        <is>
          <t>6+</t>
        </is>
      </c>
      <c r="E198" s="5" t="inlineStr">
        <is>
          <t>All UI text comes from the translation catalogue. Numbers, dates and currency use the user's locale. Layouts are tested with the longest language (Tamil).</t>
        </is>
      </c>
      <c r="F198" t="inlineStr">
        <is>
          <t>Not started</t>
        </is>
      </c>
      <c r="H198">
        <f>IF(G198&lt;&gt;"",G198,F198)</f>
        <v/>
      </c>
      <c r="I198" t="n">
        <v>0</v>
      </c>
      <c r="J198" t="n">
        <v>0</v>
      </c>
      <c r="K198" t="n">
        <v>0</v>
      </c>
      <c r="L198" s="5" t="inlineStr"/>
      <c r="M198" s="5" t="n"/>
    </row>
    <row r="199">
      <c r="A199" t="inlineStr">
        <is>
          <t>YX-MOB-11</t>
        </is>
      </c>
      <c r="B199" t="inlineStr">
        <is>
          <t>M04</t>
        </is>
      </c>
      <c r="C199" t="inlineStr">
        <is>
          <t>YX-MOB</t>
        </is>
      </c>
      <c r="D199" t="inlineStr">
        <is>
          <t>6+</t>
        </is>
      </c>
      <c r="E199" s="5" t="inlineStr">
        <is>
          <t>The kiosk, after employee code + PIN, lets the employee apply for leave and view the status of their requests, including those raised on their behalf (P03 proxy). Employees without the app are notified of proxy requests and their outcomes on the kiosk and by SMS / WhatsApp; the kiosk session auto-logs out as in Q4.</t>
        </is>
      </c>
      <c r="F199" t="inlineStr">
        <is>
          <t>Not started</t>
        </is>
      </c>
      <c r="H199">
        <f>IF(G199&lt;&gt;"",G199,F199)</f>
        <v/>
      </c>
      <c r="I199" t="n">
        <v>0</v>
      </c>
      <c r="J199" t="n">
        <v>0</v>
      </c>
      <c r="K199" t="n">
        <v>0</v>
      </c>
      <c r="L199" s="5" t="inlineStr"/>
      <c r="M199" s="5" t="n"/>
    </row>
    <row r="200">
      <c r="A200" t="inlineStr">
        <is>
          <t>YX-MOB-12</t>
        </is>
      </c>
      <c r="B200" t="inlineStr">
        <is>
          <t>M04</t>
        </is>
      </c>
      <c r="C200" t="inlineStr">
        <is>
          <t>YX-MOB</t>
        </is>
      </c>
      <c r="D200" t="inlineStr">
        <is>
          <t>6+</t>
        </is>
      </c>
      <c r="E200" s="5" t="inlineStr">
        <is>
          <t>The Time tab calendar marks late / early / missing / OT with the UI brief §6.3 colours (late = warning, never success); punch history is grouped by day under its day card; no request sheet asks the employee to pick an approver — P03 resolves it (YX-WF-03) (fixes U23).</t>
        </is>
      </c>
      <c r="F200" t="inlineStr">
        <is>
          <t>UI prototype only</t>
        </is>
      </c>
      <c r="H200">
        <f>IF(G200&lt;&gt;"",G200,F200)</f>
        <v/>
      </c>
      <c r="I200" t="n">
        <v>0</v>
      </c>
      <c r="J200" t="n">
        <v>0</v>
      </c>
      <c r="K200" t="n">
        <v>1</v>
      </c>
      <c r="L200" s="5" t="inlineStr"/>
      <c r="M200" s="5" t="n"/>
    </row>
    <row r="201">
      <c r="A201" t="inlineStr">
        <is>
          <t>YX-MOB-13</t>
        </is>
      </c>
      <c r="B201" t="inlineStr">
        <is>
          <t>M04</t>
        </is>
      </c>
      <c r="C201" t="inlineStr">
        <is>
          <t>YX-MOB</t>
        </is>
      </c>
      <c r="D201" t="inlineStr">
        <is>
          <t>6+</t>
        </is>
      </c>
      <c r="E201" s="5" t="inlineStr">
        <is>
          <t>Field tracking on the phone (B2): background location runs only in the store app, only after the in-app consent (M02 YX-AT-16) and the OS permission, and only between duty check-in and check-out; while it runs the app shows a persistent OS notification and a "Tracking on" chip on Home and Time; check-out, shift end + grace or consent withdrawal stops it at once; the PWA records points only while open and says so; visit photos are camera-only (no gallery) and stamped with time and location.</t>
        </is>
      </c>
      <c r="F201" t="inlineStr">
        <is>
          <t>Not started</t>
        </is>
      </c>
      <c r="H201">
        <f>IF(G201&lt;&gt;"",G201,F201)</f>
        <v/>
      </c>
      <c r="I201" t="n">
        <v>0</v>
      </c>
      <c r="J201" t="n">
        <v>0</v>
      </c>
      <c r="K201" t="n">
        <v>0</v>
      </c>
      <c r="L201" s="5" t="inlineStr"/>
      <c r="M201" s="5" t="n"/>
    </row>
    <row r="202">
      <c r="A202" t="inlineStr">
        <is>
          <t>YX-MOB-14</t>
        </is>
      </c>
      <c r="B202" t="inlineStr">
        <is>
          <t>M04</t>
        </is>
      </c>
      <c r="C202" t="inlineStr">
        <is>
          <t>YX-MOB</t>
        </is>
      </c>
      <c r="D202" t="inlineStr">
        <is>
          <t>6+</t>
        </is>
      </c>
      <c r="E202" s="5" t="inlineStr">
        <is>
          <t>EWA on the phone (B10): Pay › Get paid early requires re-authentication (Q8), shows the available amount, the fee in rupees, who pays it and the recovery payroll month before the confirm button, and shows each draw's status until recovered; nothing about EWA is sent in push / WhatsApp text beyond "your request was processed" (P04 Q6).</t>
        </is>
      </c>
      <c r="F202" t="inlineStr">
        <is>
          <t>Not started</t>
        </is>
      </c>
      <c r="H202">
        <f>IF(G202&lt;&gt;"",G202,F202)</f>
        <v/>
      </c>
      <c r="I202" t="n">
        <v>0</v>
      </c>
      <c r="J202" t="n">
        <v>0</v>
      </c>
      <c r="K202" t="n">
        <v>0</v>
      </c>
      <c r="L202" s="5" t="inlineStr"/>
      <c r="M202" s="5" t="n"/>
    </row>
    <row r="203">
      <c r="A203" t="inlineStr">
        <is>
          <t>YX-MOB-15</t>
        </is>
      </c>
      <c r="B203" t="inlineStr">
        <is>
          <t>M04</t>
        </is>
      </c>
      <c r="C203" t="inlineStr">
        <is>
          <t>YX-MOB</t>
        </is>
      </c>
      <c r="D203" t="inlineStr">
        <is>
          <t>6+</t>
        </is>
      </c>
      <c r="E203" s="5" t="inlineStr">
        <is>
          <t>Open shifts and bids (B3): the app lists only open shifts the employee is eligible for (server-side checks of skill, pool, conflicts, rest and hour caps, M02 YX-AT-20); a claim or bid shows its status and the final award; a claim never assigns the shift until the company's award rule and approval complete.</t>
        </is>
      </c>
      <c r="F203" t="inlineStr">
        <is>
          <t>Not started</t>
        </is>
      </c>
      <c r="H203">
        <f>IF(G203&lt;&gt;"",G203,F203)</f>
        <v/>
      </c>
      <c r="I203" t="n">
        <v>0</v>
      </c>
      <c r="J203" t="n">
        <v>0</v>
      </c>
      <c r="K203" t="n">
        <v>0</v>
      </c>
      <c r="L203" s="5" t="inlineStr"/>
      <c r="M203" s="5" t="n"/>
    </row>
    <row r="204">
      <c r="A204" t="inlineStr">
        <is>
          <t>YX-MOB-16</t>
        </is>
      </c>
      <c r="B204" t="inlineStr">
        <is>
          <t>M04</t>
        </is>
      </c>
      <c r="C204" t="inlineStr">
        <is>
          <t>YX-MOB</t>
        </is>
      </c>
      <c r="D204" t="inlineStr">
        <is>
          <t>6+</t>
        </is>
      </c>
      <c r="E204" s="5" t="inlineStr">
        <is>
          <t>Visitor approval (C1): a walk-in visitor creates a push to the host with an approval card (visitor photo, name, company, purpose, location); the host decides in one tap; with no decision within the company timeout the request returns to reception; visitor photos are not kept on the host's device after the decision.</t>
        </is>
      </c>
      <c r="F204" t="inlineStr">
        <is>
          <t>Not started</t>
        </is>
      </c>
      <c r="H204">
        <f>IF(G204&lt;&gt;"",G204,F204)</f>
        <v/>
      </c>
      <c r="I204" t="n">
        <v>0</v>
      </c>
      <c r="J204" t="n">
        <v>0</v>
      </c>
      <c r="K204" t="n">
        <v>0</v>
      </c>
      <c r="L204" s="5" t="inlineStr"/>
      <c r="M204" s="5" t="n"/>
    </row>
    <row r="205">
      <c r="A205" t="inlineStr">
        <is>
          <t>YX-MOB-17</t>
        </is>
      </c>
      <c r="B205" t="inlineStr">
        <is>
          <t>M04</t>
        </is>
      </c>
      <c r="C205" t="inlineStr">
        <is>
          <t>YX-MOB</t>
        </is>
      </c>
      <c r="D205" t="inlineStr">
        <is>
          <t>6+</t>
        </is>
      </c>
      <c r="E205" s="5" t="inlineStr">
        <is>
          <t>Candidate and invigilator app modes (gap-register tidy-up). The candidate and invigilator modes are separate role-limited modes of the same app: sign-in only through their P02 external login (YX-SEC-33), never an employee session or employee tabs. The candidate mode runs attempts only in Open or AI-only mode (YX-DLV-17); a test needing the secure client (T08) or Record &amp; review / Live / screen monitoring cannot start on a phone and tells the candidate to use a desktop. The invigilator mode acts only inside the assigned centre session (YX-DLV-19) and clears check-in photos from the device after</t>
        </is>
      </c>
      <c r="F205" t="inlineStr">
        <is>
          <t>Not started</t>
        </is>
      </c>
      <c r="H205">
        <f>IF(G205&lt;&gt;"",G205,F205)</f>
        <v/>
      </c>
      <c r="I205" t="n">
        <v>0</v>
      </c>
      <c r="J205" t="n">
        <v>0</v>
      </c>
      <c r="K205" t="n">
        <v>0</v>
      </c>
      <c r="L205" s="5" t="inlineStr"/>
      <c r="M205" s="5" t="n"/>
    </row>
    <row r="206">
      <c r="A206" t="inlineStr">
        <is>
          <t>YX-MOB-18</t>
        </is>
      </c>
      <c r="B206" t="inlineStr">
        <is>
          <t>M04</t>
        </is>
      </c>
      <c r="C206" t="inlineStr">
        <is>
          <t>YX-MOB</t>
        </is>
      </c>
      <c r="D206" t="inlineStr">
        <is>
          <t>6+</t>
        </is>
      </c>
      <c r="E206" s="5" t="inlineStr">
        <is>
          <t>Check-in sheet transparency (G7, extends YX-MOB-05): before the employee taps check-in the sheet shows a map with their GPS pin, the accuracy radius and the allowed geofence(s), the distance to the nearest one, a retry location action and, when outside or the fix is too coarse, a plain reason; a refused or abandoned attempt is sent to the server as a logged attempt (M02 YX-AT-23) and the sheet offers "ask HR to regularise" in one tap. Works offline via the Q7 / YX-AT-24 queue (the geofence verdict is then computed on sync).</t>
        </is>
      </c>
      <c r="F206" t="inlineStr">
        <is>
          <t>Not started</t>
        </is>
      </c>
      <c r="H206">
        <f>IF(G206&lt;&gt;"",G206,F206)</f>
        <v/>
      </c>
      <c r="I206" t="n">
        <v>0</v>
      </c>
      <c r="J206" t="n">
        <v>0</v>
      </c>
      <c r="K206" t="n">
        <v>0</v>
      </c>
      <c r="L206" s="5" t="inlineStr"/>
      <c r="M206" s="5" t="n"/>
    </row>
    <row r="207">
      <c r="A207" t="inlineStr">
        <is>
          <t>YX-MOB-19</t>
        </is>
      </c>
      <c r="B207" t="inlineStr">
        <is>
          <t>M04</t>
        </is>
      </c>
      <c r="C207" t="inlineStr">
        <is>
          <t>YX-MOB</t>
        </is>
      </c>
      <c r="D207" t="inlineStr">
        <is>
          <t>6+</t>
        </is>
      </c>
      <c r="E207" s="5" t="inlineStr">
        <is>
          <t>Performance budgets. Each release is checked in CI against budgets held as config: download size (Android target under 30 MB), cold start to a usable home screen on a 2 GB RAM reference Android phone (target under 3 s), minimum OS versions (published, reviewed yearly), crash-free users (target at least 99.5 % over 7 days; a staged rollout halts below it). Store rating prompts use the OS in-app review API only after a successful task, at most once per 90 days, never after an error. Numbers are starting targets, confirmed before pilot.</t>
        </is>
      </c>
      <c r="F207" t="inlineStr">
        <is>
          <t>Not started</t>
        </is>
      </c>
      <c r="H207">
        <f>IF(G207&lt;&gt;"",G207,F207)</f>
        <v/>
      </c>
      <c r="I207" t="n">
        <v>0</v>
      </c>
      <c r="J207" t="n">
        <v>0</v>
      </c>
      <c r="K207" t="n">
        <v>0</v>
      </c>
      <c r="L207" s="5" t="inlineStr"/>
      <c r="M207" s="5" t="n"/>
    </row>
    <row r="208">
      <c r="A208" t="inlineStr">
        <is>
          <t>YX-EXP-01</t>
        </is>
      </c>
      <c r="B208" t="inlineStr">
        <is>
          <t>M05</t>
        </is>
      </c>
      <c r="C208" t="inlineStr">
        <is>
          <t>YX-EXP</t>
        </is>
      </c>
      <c r="D208" t="inlineStr">
        <is>
          <t>6+</t>
        </is>
      </c>
      <c r="E208" s="5" t="inlineStr">
        <is>
          <t>Every line is checked against the employee's policy on its expense date: limit, receipt requirement, per-diem / mileage rate, category allowed for the grade. The results are shown on the line before submission and to the approver.</t>
        </is>
      </c>
      <c r="F208" t="inlineStr">
        <is>
          <t>UI prototype only</t>
        </is>
      </c>
      <c r="H208">
        <f>IF(G208&lt;&gt;"",G208,F208)</f>
        <v/>
      </c>
      <c r="I208" t="n">
        <v>0</v>
      </c>
      <c r="J208" t="n">
        <v>0</v>
      </c>
      <c r="K208" t="n">
        <v>1</v>
      </c>
      <c r="L208" s="5" t="inlineStr"/>
      <c r="M208" s="5" t="n"/>
    </row>
    <row r="209">
      <c r="A209" t="inlineStr">
        <is>
          <t>YX-EXP-02</t>
        </is>
      </c>
      <c r="B209" t="inlineStr">
        <is>
          <t>M05</t>
        </is>
      </c>
      <c r="C209" t="inlineStr">
        <is>
          <t>YX-EXP</t>
        </is>
      </c>
      <c r="D209" t="inlineStr">
        <is>
          <t>6+</t>
        </is>
      </c>
      <c r="E209" s="5" t="inlineStr">
        <is>
          <t>Over-limit lines follow Q7 and are never silently cut. When an approver reduces an amount, a reason is required and shown to the employee as "approved ₹X of ₹Y — reason" (fixes U61, U68).</t>
        </is>
      </c>
      <c r="F209" t="inlineStr">
        <is>
          <t>UI prototype only</t>
        </is>
      </c>
      <c r="H209">
        <f>IF(G209&lt;&gt;"",G209,F209)</f>
        <v/>
      </c>
      <c r="I209" t="n">
        <v>0</v>
      </c>
      <c r="J209" t="n">
        <v>0</v>
      </c>
      <c r="K209" t="n">
        <v>1</v>
      </c>
      <c r="L209" s="5" t="inlineStr"/>
      <c r="M209" s="5" t="n"/>
    </row>
    <row r="210">
      <c r="A210" t="inlineStr">
        <is>
          <t>YX-EXP-03</t>
        </is>
      </c>
      <c r="B210" t="inlineStr">
        <is>
          <t>M05</t>
        </is>
      </c>
      <c r="C210" t="inlineStr">
        <is>
          <t>YX-EXP</t>
        </is>
      </c>
      <c r="D210" t="inlineStr">
        <is>
          <t>6+</t>
        </is>
      </c>
      <c r="E210" s="5" t="inlineStr">
        <is>
          <t>A receipt is required above the category's threshold (Q4). Mileage (km × rate) and per-diem (days × rate) lines are computed, not typed.</t>
        </is>
      </c>
      <c r="F210" t="inlineStr">
        <is>
          <t>UI prototype only</t>
        </is>
      </c>
      <c r="H210">
        <f>IF(G210&lt;&gt;"",G210,F210)</f>
        <v/>
      </c>
      <c r="I210" t="n">
        <v>0</v>
      </c>
      <c r="J210" t="n">
        <v>0</v>
      </c>
      <c r="K210" t="n">
        <v>1</v>
      </c>
      <c r="L210" s="5" t="inlineStr"/>
      <c r="M210" s="5" t="n"/>
    </row>
    <row r="211">
      <c r="A211" t="inlineStr">
        <is>
          <t>YX-EXP-04</t>
        </is>
      </c>
      <c r="B211" t="inlineStr">
        <is>
          <t>M05</t>
        </is>
      </c>
      <c r="C211" t="inlineStr">
        <is>
          <t>YX-EXP</t>
        </is>
      </c>
      <c r="D211" t="inlineStr">
        <is>
          <t>6+</t>
        </is>
      </c>
      <c r="E211" s="5" t="inlineStr">
        <is>
          <t>Duplicate check: same employee, amount, date and merchant, or an identical receipt image hash, or the same GST invoice number from the same supplier across the tenant. These are flagged to the approver and finance; exact image duplicates are blocked.</t>
        </is>
      </c>
      <c r="F211" t="inlineStr">
        <is>
          <t>UI prototype only</t>
        </is>
      </c>
      <c r="H211">
        <f>IF(G211&lt;&gt;"",G211,F211)</f>
        <v/>
      </c>
      <c r="I211" t="n">
        <v>0</v>
      </c>
      <c r="J211" t="n">
        <v>0</v>
      </c>
      <c r="K211" t="n">
        <v>1</v>
      </c>
      <c r="L211" s="5" t="inlineStr"/>
      <c r="M211" s="5" t="n"/>
    </row>
    <row r="212">
      <c r="A212" t="inlineStr">
        <is>
          <t>YX-EXP-05</t>
        </is>
      </c>
      <c r="B212" t="inlineStr">
        <is>
          <t>M05</t>
        </is>
      </c>
      <c r="C212" t="inlineStr">
        <is>
          <t>YX-EXP</t>
        </is>
      </c>
      <c r="D212" t="inlineStr">
        <is>
          <t>6+</t>
        </is>
      </c>
      <c r="E212" s="5" t="inlineStr">
        <is>
          <t>Approvers come from the P03 chain on the server; a client-chosen approver is ignored (fixes EX-D3). Amount-based routing uses the claim total.</t>
        </is>
      </c>
      <c r="F212" t="inlineStr">
        <is>
          <t>Not started</t>
        </is>
      </c>
      <c r="H212">
        <f>IF(G212&lt;&gt;"",G212,F212)</f>
        <v/>
      </c>
      <c r="I212" t="n">
        <v>0</v>
      </c>
      <c r="J212" t="n">
        <v>0</v>
      </c>
      <c r="K212" t="n">
        <v>0</v>
      </c>
      <c r="L212" s="5" t="inlineStr"/>
      <c r="M212" s="5" t="n"/>
    </row>
    <row r="213">
      <c r="A213" t="inlineStr">
        <is>
          <t>YX-EXP-06</t>
        </is>
      </c>
      <c r="B213" t="inlineStr">
        <is>
          <t>M05</t>
        </is>
      </c>
      <c r="C213" t="inlineStr">
        <is>
          <t>YX-EXP</t>
        </is>
      </c>
      <c r="D213" t="inlineStr">
        <is>
          <t>6+</t>
        </is>
      </c>
      <c r="E213" s="5" t="inlineStr">
        <is>
          <t>Net payable = approved − advance adjusted. It is the first figure shown on the claim, the list, mobile and reports (fixes U63, U66).</t>
        </is>
      </c>
      <c r="F213" t="inlineStr">
        <is>
          <t>UI prototype only</t>
        </is>
      </c>
      <c r="H213">
        <f>IF(G213&lt;&gt;"",G213,F213)</f>
        <v/>
      </c>
      <c r="I213" t="n">
        <v>0</v>
      </c>
      <c r="J213" t="n">
        <v>0</v>
      </c>
      <c r="K213" t="n">
        <v>2</v>
      </c>
      <c r="L213" s="5" t="inlineStr"/>
      <c r="M213" s="5" t="n"/>
    </row>
    <row r="214">
      <c r="A214" t="inlineStr">
        <is>
          <t>YX-EXP-07</t>
        </is>
      </c>
      <c r="B214" t="inlineStr">
        <is>
          <t>M05</t>
        </is>
      </c>
      <c r="C214" t="inlineStr">
        <is>
          <t>YX-EXP</t>
        </is>
      </c>
      <c r="D214" t="inlineStr">
        <is>
          <t>6+</t>
        </is>
      </c>
      <c r="E214" s="5" t="inlineStr">
        <is>
          <t>Payment status is separate from approval status. A claim is marked paid only when the payroll run is paid or the payout/bank file is confirmed (fixes U62).</t>
        </is>
      </c>
      <c r="F214" t="inlineStr">
        <is>
          <t>Not started</t>
        </is>
      </c>
      <c r="H214">
        <f>IF(G214&lt;&gt;"",G214,F214)</f>
        <v/>
      </c>
      <c r="I214" t="n">
        <v>0</v>
      </c>
      <c r="J214" t="n">
        <v>0</v>
      </c>
      <c r="K214" t="n">
        <v>0</v>
      </c>
      <c r="L214" s="5" t="inlineStr"/>
      <c r="M214" s="5" t="n"/>
    </row>
    <row r="215">
      <c r="A215" t="inlineStr">
        <is>
          <t>YX-EXP-08</t>
        </is>
      </c>
      <c r="B215" t="inlineStr">
        <is>
          <t>M05</t>
        </is>
      </c>
      <c r="C215" t="inlineStr">
        <is>
          <t>YX-EXP</t>
        </is>
      </c>
      <c r="D215" t="inlineStr">
        <is>
          <t>6+</t>
        </is>
      </c>
      <c r="E215" s="5" t="inlineStr">
        <is>
          <t>Travel requests are available to all employees; a trip's approved advance creates the advance record automatically (fixes EX-D1, EX-D6).</t>
        </is>
      </c>
      <c r="F215" t="inlineStr">
        <is>
          <t>Not started</t>
        </is>
      </c>
      <c r="H215">
        <f>IF(G215&lt;&gt;"",G215,F215)</f>
        <v/>
      </c>
      <c r="I215" t="n">
        <v>0</v>
      </c>
      <c r="J215" t="n">
        <v>0</v>
      </c>
      <c r="K215" t="n">
        <v>0</v>
      </c>
      <c r="L215" s="5" t="inlineStr"/>
      <c r="M215" s="5" t="n"/>
    </row>
    <row r="216">
      <c r="A216" t="inlineStr">
        <is>
          <t>YX-EXP-09</t>
        </is>
      </c>
      <c r="B216" t="inlineStr">
        <is>
          <t>M05</t>
        </is>
      </c>
      <c r="C216" t="inlineStr">
        <is>
          <t>YX-EXP</t>
        </is>
      </c>
      <c r="D216" t="inlineStr">
        <is>
          <t>6+</t>
        </is>
      </c>
      <c r="E216" s="5" t="inlineStr">
        <is>
          <t>Unsettled advances older than the settlement window (default 30 days after the trip ends) trigger reminders, then recovery per Q6. At exit, open balances go to F&amp;F (fixes U65, EX-D9).</t>
        </is>
      </c>
      <c r="F216" t="inlineStr">
        <is>
          <t>Not started</t>
        </is>
      </c>
      <c r="H216">
        <f>IF(G216&lt;&gt;"",G216,F216)</f>
        <v/>
      </c>
      <c r="I216" t="n">
        <v>0</v>
      </c>
      <c r="J216" t="n">
        <v>0</v>
      </c>
      <c r="K216" t="n">
        <v>0</v>
      </c>
      <c r="L216" s="5" t="inlineStr"/>
      <c r="M216" s="5" t="n"/>
    </row>
    <row r="217">
      <c r="A217" t="inlineStr">
        <is>
          <t>YX-EXP-10</t>
        </is>
      </c>
      <c r="B217" t="inlineStr">
        <is>
          <t>M05</t>
        </is>
      </c>
      <c r="C217" t="inlineStr">
        <is>
          <t>YX-EXP</t>
        </is>
      </c>
      <c r="D217" t="inlineStr">
        <is>
          <t>6+</t>
        </is>
      </c>
      <c r="E217" s="5" t="inlineStr">
        <is>
          <t>Taxable categories (per P07 and company settings) flow to M03 as taxable reimbursement; exempt ones do not affect TDS.</t>
        </is>
      </c>
      <c r="F217" t="inlineStr">
        <is>
          <t>Not started</t>
        </is>
      </c>
      <c r="H217">
        <f>IF(G217&lt;&gt;"",G217,F217)</f>
        <v/>
      </c>
      <c r="I217" t="n">
        <v>0</v>
      </c>
      <c r="J217" t="n">
        <v>0</v>
      </c>
      <c r="K217" t="n">
        <v>0</v>
      </c>
      <c r="L217" s="5" t="inlineStr"/>
      <c r="M217" s="5" t="n"/>
    </row>
    <row r="218">
      <c r="A218" t="inlineStr">
        <is>
          <t>YX-EXP-11</t>
        </is>
      </c>
      <c r="B218" t="inlineStr">
        <is>
          <t>M05</t>
        </is>
      </c>
      <c r="C218" t="inlineStr">
        <is>
          <t>YX-EXP</t>
        </is>
      </c>
      <c r="D218" t="inlineStr">
        <is>
          <t>6+</t>
        </is>
      </c>
      <c r="E218" s="5" t="inlineStr">
        <is>
          <t>Approved claims post accounting lines (expense head, GST input when captured, cost centre, employee payable) exported via P10.</t>
        </is>
      </c>
      <c r="F218" t="inlineStr">
        <is>
          <t>Not started</t>
        </is>
      </c>
      <c r="H218">
        <f>IF(G218&lt;&gt;"",G218,F218)</f>
        <v/>
      </c>
      <c r="I218" t="n">
        <v>0</v>
      </c>
      <c r="J218" t="n">
        <v>0</v>
      </c>
      <c r="K218" t="n">
        <v>0</v>
      </c>
      <c r="L218" s="5" t="inlineStr"/>
      <c r="M218" s="5" t="n"/>
    </row>
    <row r="219">
      <c r="A219" t="inlineStr">
        <is>
          <t>YX-EXP-12</t>
        </is>
      </c>
      <c r="B219" t="inlineStr">
        <is>
          <t>M05</t>
        </is>
      </c>
      <c r="C219" t="inlineStr">
        <is>
          <t>YX-EXP</t>
        </is>
      </c>
      <c r="D219" t="inlineStr">
        <is>
          <t>6+</t>
        </is>
      </c>
      <c r="E219" s="5" t="inlineStr">
        <is>
          <t>Claims are locked after payment; corrections are made with a new adjustment line (positive or recovery), never by editing a paid line.</t>
        </is>
      </c>
      <c r="F219" t="inlineStr">
        <is>
          <t>Not started</t>
        </is>
      </c>
      <c r="H219">
        <f>IF(G219&lt;&gt;"",G219,F219)</f>
        <v/>
      </c>
      <c r="I219" t="n">
        <v>0</v>
      </c>
      <c r="J219" t="n">
        <v>0</v>
      </c>
      <c r="K219" t="n">
        <v>0</v>
      </c>
      <c r="L219" s="5" t="inlineStr"/>
      <c r="M219" s="5" t="n"/>
    </row>
    <row r="220">
      <c r="A220" t="inlineStr">
        <is>
          <t>YX-EXP-13</t>
        </is>
      </c>
      <c r="B220" t="inlineStr">
        <is>
          <t>M05</t>
        </is>
      </c>
      <c r="C220" t="inlineStr">
        <is>
          <t>YX-EXP</t>
        </is>
      </c>
      <c r="D220" t="inlineStr">
        <is>
          <t>6+</t>
        </is>
      </c>
      <c r="E220" s="5" t="inlineStr">
        <is>
          <t>Payment status follows M03 payroll outcomes: payroll.run.paid marks payroll-routed claims paid (emitting expense.claim.paid) and records the advance instalments recovered; payroll.run.voided returns those claims to approved-unpaid, queued for the next run; payment.failed sets the claim to payment failed and offers re-route (next payroll or direct payout); recovery.deferred shifts the advance's remaining instalments to the deferred period, keeping the open balance (to F&amp;F if still open at exit, YX-EXP-09). Each transition is idempotent on the source event id.</t>
        </is>
      </c>
      <c r="F220" t="inlineStr">
        <is>
          <t>Not started</t>
        </is>
      </c>
      <c r="H220">
        <f>IF(G220&lt;&gt;"",G220,F220)</f>
        <v/>
      </c>
      <c r="I220" t="n">
        <v>0</v>
      </c>
      <c r="J220" t="n">
        <v>0</v>
      </c>
      <c r="K220" t="n">
        <v>0</v>
      </c>
      <c r="L220" s="5" t="inlineStr"/>
      <c r="M220" s="5" t="n"/>
    </row>
    <row r="221">
      <c r="A221" t="inlineStr">
        <is>
          <t>YX-EXP-14</t>
        </is>
      </c>
      <c r="B221" t="inlineStr">
        <is>
          <t>M05</t>
        </is>
      </c>
      <c r="C221" t="inlineStr">
        <is>
          <t>YX-EXP</t>
        </is>
      </c>
      <c r="D221" t="inlineStr">
        <is>
          <t>6+</t>
        </is>
      </c>
      <c r="E221" s="5" t="inlineStr">
        <is>
          <t>Multi-currency lines (B18): a line in a foreign currency is converted to the pay currency using the company's FX source (starter: central-bank reference rate on the expense date), storing rate, source and rate date; an employee-entered actual rate needs proof (card / forex statement) and a difference above the company tolerance (starter 3 %) is flagged to the approver; policy limits are checked in the currency of the policy row (country per-diem rows in their own currency, others in the pay currency); the approver sees both amounts. Rates used on a paid claim never change.</t>
        </is>
      </c>
      <c r="F221" t="inlineStr">
        <is>
          <t>UI prototype only</t>
        </is>
      </c>
      <c r="H221">
        <f>IF(G221&lt;&gt;"",G221,F221)</f>
        <v/>
      </c>
      <c r="I221" t="n">
        <v>0</v>
      </c>
      <c r="J221" t="n">
        <v>0</v>
      </c>
      <c r="K221" t="n">
        <v>1</v>
      </c>
      <c r="L221" s="5" t="inlineStr"/>
      <c r="M221" s="5" t="n"/>
    </row>
    <row r="222">
      <c r="A222" t="inlineStr">
        <is>
          <t>YX-EXP-15</t>
        </is>
      </c>
      <c r="B222" t="inlineStr">
        <is>
          <t>M05</t>
        </is>
      </c>
      <c r="C222" t="inlineStr">
        <is>
          <t>YX-EXP</t>
        </is>
      </c>
      <c r="D222" t="inlineStr">
        <is>
          <t>6+</t>
        </is>
      </c>
      <c r="E222" s="5" t="inlineStr">
        <is>
          <t>Forex advances (B18): an advance issued in a foreign currency (cash or forex card) is settled in that currency against the trip's lines in the same currency; the unspent balance is returned or recovered at the rate of the company's FX source on the return / recovery date, and the exchange difference is shown as its own line on the settlement and posted to the company's exchange-difference account in the journal (P10 Q7).</t>
        </is>
      </c>
      <c r="F222" t="inlineStr">
        <is>
          <t>Not started</t>
        </is>
      </c>
      <c r="H222">
        <f>IF(G222&lt;&gt;"",G222,F222)</f>
        <v/>
      </c>
      <c r="I222" t="n">
        <v>0</v>
      </c>
      <c r="J222" t="n">
        <v>0</v>
      </c>
      <c r="K222" t="n">
        <v>0</v>
      </c>
      <c r="L222" s="5" t="inlineStr"/>
      <c r="M222" s="5" t="n"/>
    </row>
    <row r="223">
      <c r="A223" t="inlineStr">
        <is>
          <t>YX-EXP-16</t>
        </is>
      </c>
      <c r="B223" t="inlineStr">
        <is>
          <t>M05</t>
        </is>
      </c>
      <c r="C223" t="inlineStr">
        <is>
          <t>YX-EXP</t>
        </is>
      </c>
      <c r="D223" t="inlineStr">
        <is>
          <t>6+</t>
        </is>
      </c>
      <c r="E223" s="5" t="inlineStr">
        <is>
          <t>Field-force mileage (B2): a draft mileage line created from M02 field-force distance is not submitted until the employee confirms or edits it (edits keep the system distance for the approver to compare); rates, limits and approvals are those of an ordinary mileage line; one draft per employee per duty day.</t>
        </is>
      </c>
      <c r="F223" t="inlineStr">
        <is>
          <t>Not started</t>
        </is>
      </c>
      <c r="H223">
        <f>IF(G223&lt;&gt;"",G223,F223)</f>
        <v/>
      </c>
      <c r="I223" t="n">
        <v>0</v>
      </c>
      <c r="J223" t="n">
        <v>0</v>
      </c>
      <c r="K223" t="n">
        <v>0</v>
      </c>
      <c r="L223" s="5" t="inlineStr"/>
      <c r="M223" s="5" t="n"/>
    </row>
    <row r="224">
      <c r="A224" t="inlineStr">
        <is>
          <t>YX-PERF-01</t>
        </is>
      </c>
      <c r="B224" t="inlineStr">
        <is>
          <t>M06</t>
        </is>
      </c>
      <c r="C224" t="inlineStr">
        <is>
          <t>YX-PERF</t>
        </is>
      </c>
      <c r="D224" t="inlineStr">
        <is>
          <t>6+</t>
        </is>
      </c>
      <c r="E224" s="5" t="inlineStr">
        <is>
          <t>Goal progress is calculated from its key results, or from its children's weighted progress. It is never typed when key results exist. A goal's parent may be owned by anyone (fixes U70, U71).</t>
        </is>
      </c>
      <c r="F224" t="inlineStr">
        <is>
          <t>Tested, code not linked</t>
        </is>
      </c>
      <c r="H224">
        <f>IF(G224&lt;&gt;"",G224,F224)</f>
        <v/>
      </c>
      <c r="I224" t="n">
        <v>0</v>
      </c>
      <c r="J224" t="n">
        <v>1</v>
      </c>
      <c r="K224" t="n">
        <v>2</v>
      </c>
      <c r="L224" s="5" t="inlineStr">
        <is>
          <t>exam-app-org:packages/yx-ui/src/screens/growth/growth.test.tsx</t>
        </is>
      </c>
      <c r="M224" s="5" t="n"/>
    </row>
    <row r="225">
      <c r="A225" t="inlineStr">
        <is>
          <t>YX-PERF-02</t>
        </is>
      </c>
      <c r="B225" t="inlineStr">
        <is>
          <t>M06</t>
        </is>
      </c>
      <c r="C225" t="inlineStr">
        <is>
          <t>YX-PERF</t>
        </is>
      </c>
      <c r="D225" t="inlineStr">
        <is>
          <t>6+</t>
        </is>
      </c>
      <c r="E225" s="5" t="inlineStr">
        <is>
          <t>Scores include only completed sections. Missing inputs show "pending" and never count as 0. A section without goals is excluded, with a warning (fixes U69, PF-D3).</t>
        </is>
      </c>
      <c r="F225" t="inlineStr">
        <is>
          <t>Tested, code not linked</t>
        </is>
      </c>
      <c r="H225">
        <f>IF(G225&lt;&gt;"",G225,F225)</f>
        <v/>
      </c>
      <c r="I225" t="n">
        <v>0</v>
      </c>
      <c r="J225" t="n">
        <v>1</v>
      </c>
      <c r="K225" t="n">
        <v>2</v>
      </c>
      <c r="L225" s="5" t="inlineStr">
        <is>
          <t>exam-app-org:packages/yx-ui/src/screens/growth/growth.test.tsx</t>
        </is>
      </c>
      <c r="M225" s="5" t="n"/>
    </row>
    <row r="226">
      <c r="A226" t="inlineStr">
        <is>
          <t>YX-PERF-03</t>
        </is>
      </c>
      <c r="B226" t="inlineStr">
        <is>
          <t>M06</t>
        </is>
      </c>
      <c r="C226" t="inlineStr">
        <is>
          <t>YX-PERF</t>
        </is>
      </c>
      <c r="D226" t="inlineStr">
        <is>
          <t>6+</t>
        </is>
      </c>
      <c r="E226" s="5" t="inlineStr">
        <is>
          <t>The manager rating is a separate stage from peer feedback. Peer input is advisory and never averaged into the manager rating unless the template says so (fixes U72).</t>
        </is>
      </c>
      <c r="F226" t="inlineStr">
        <is>
          <t>Not started</t>
        </is>
      </c>
      <c r="H226">
        <f>IF(G226&lt;&gt;"",G226,F226)</f>
        <v/>
      </c>
      <c r="I226" t="n">
        <v>0</v>
      </c>
      <c r="J226" t="n">
        <v>0</v>
      </c>
      <c r="K226" t="n">
        <v>0</v>
      </c>
      <c r="L226" s="5" t="inlineStr"/>
      <c r="M226" s="5" t="n"/>
    </row>
    <row r="227">
      <c r="A227" t="inlineStr">
        <is>
          <t>YX-PERF-04</t>
        </is>
      </c>
      <c r="B227" t="inlineStr">
        <is>
          <t>M06</t>
        </is>
      </c>
      <c r="C227" t="inlineStr">
        <is>
          <t>YX-PERF</t>
        </is>
      </c>
      <c r="D227" t="inlineStr">
        <is>
          <t>6+</t>
        </is>
      </c>
      <c r="E227" s="5" t="inlineStr">
        <is>
          <t>Only nominated and approved reviewers can give 360° feedback on a review. Quick feedback outside a review goes to any colleague, but follows the visibility rule (fixes PF-D1).</t>
        </is>
      </c>
      <c r="F227" t="inlineStr">
        <is>
          <t>UI prototype only</t>
        </is>
      </c>
      <c r="H227">
        <f>IF(G227&lt;&gt;"",G227,F227)</f>
        <v/>
      </c>
      <c r="I227" t="n">
        <v>0</v>
      </c>
      <c r="J227" t="n">
        <v>0</v>
      </c>
      <c r="K227" t="n">
        <v>1</v>
      </c>
      <c r="L227" s="5" t="inlineStr"/>
      <c r="M227" s="5" t="n"/>
    </row>
    <row r="228">
      <c r="A228" t="inlineStr">
        <is>
          <t>YX-PERF-05</t>
        </is>
      </c>
      <c r="B228" t="inlineStr">
        <is>
          <t>M06</t>
        </is>
      </c>
      <c r="C228" t="inlineStr">
        <is>
          <t>YX-PERF</t>
        </is>
      </c>
      <c r="D228" t="inlineStr">
        <is>
          <t>6+</t>
        </is>
      </c>
      <c r="E228" s="5" t="inlineStr">
        <is>
          <t>Anonymity per Q4. Anonymous feedback is shown only when at least 3 responses exist for that relationship group. Otherwise it is merged into "others" or held back.</t>
        </is>
      </c>
      <c r="F228" t="inlineStr">
        <is>
          <t>Tested, code not linked</t>
        </is>
      </c>
      <c r="H228">
        <f>IF(G228&lt;&gt;"",G228,F228)</f>
        <v/>
      </c>
      <c r="I228" t="n">
        <v>0</v>
      </c>
      <c r="J228" t="n">
        <v>1</v>
      </c>
      <c r="K228" t="n">
        <v>1</v>
      </c>
      <c r="L228" s="5" t="inlineStr">
        <is>
          <t>exam-app-org:packages/yx-ui/src/screens/growth/growth.test.tsx</t>
        </is>
      </c>
      <c r="M228" s="5" t="n"/>
    </row>
    <row r="229">
      <c r="A229" t="inlineStr">
        <is>
          <t>YX-PERF-06</t>
        </is>
      </c>
      <c r="B229" t="inlineStr">
        <is>
          <t>M06</t>
        </is>
      </c>
      <c r="C229" t="inlineStr">
        <is>
          <t>YX-PERF</t>
        </is>
      </c>
      <c r="D229" t="inlineStr">
        <is>
          <t>6+</t>
        </is>
      </c>
      <c r="E229" s="5" t="inlineStr">
        <is>
          <t>Each stage has an owner and a deadline, with reminders and escalation via P03. The employee always sees the current stage and the next step (fixes U73).</t>
        </is>
      </c>
      <c r="F229" t="inlineStr">
        <is>
          <t>UI prototype only</t>
        </is>
      </c>
      <c r="H229">
        <f>IF(G229&lt;&gt;"",G229,F229)</f>
        <v/>
      </c>
      <c r="I229" t="n">
        <v>0</v>
      </c>
      <c r="J229" t="n">
        <v>0</v>
      </c>
      <c r="K229" t="n">
        <v>1</v>
      </c>
      <c r="L229" s="5" t="inlineStr"/>
      <c r="M229" s="5" t="n"/>
    </row>
    <row r="230">
      <c r="A230" t="inlineStr">
        <is>
          <t>YX-PERF-07</t>
        </is>
      </c>
      <c r="B230" t="inlineStr">
        <is>
          <t>M06</t>
        </is>
      </c>
      <c r="C230" t="inlineStr">
        <is>
          <t>YX-PERF</t>
        </is>
      </c>
      <c r="D230" t="inlineStr">
        <is>
          <t>6+</t>
        </is>
      </c>
      <c r="E230" s="5" t="inlineStr">
        <is>
          <t>The final score maps to a band label (e.g. "Exceeds expectations"). Bands and scale come from the cycle (Q3).</t>
        </is>
      </c>
      <c r="F230" t="inlineStr">
        <is>
          <t>UI prototype only</t>
        </is>
      </c>
      <c r="H230">
        <f>IF(G230&lt;&gt;"",G230,F230)</f>
        <v/>
      </c>
      <c r="I230" t="n">
        <v>0</v>
      </c>
      <c r="J230" t="n">
        <v>0</v>
      </c>
      <c r="K230" t="n">
        <v>2</v>
      </c>
      <c r="L230" s="5" t="inlineStr"/>
      <c r="M230" s="5" t="n"/>
    </row>
    <row r="231">
      <c r="A231" t="inlineStr">
        <is>
          <t>YX-PERF-08</t>
        </is>
      </c>
      <c r="B231" t="inlineStr">
        <is>
          <t>M06</t>
        </is>
      </c>
      <c r="C231" t="inlineStr">
        <is>
          <t>YX-PERF</t>
        </is>
      </c>
      <c r="D231" t="inlineStr">
        <is>
          <t>6+</t>
        </is>
      </c>
      <c r="E231" s="5" t="inlineStr">
        <is>
          <t>Any calibration change records the before value, after value, reason and who made it. The employee sees only the released final rating.</t>
        </is>
      </c>
      <c r="F231" t="inlineStr">
        <is>
          <t>UI prototype only</t>
        </is>
      </c>
      <c r="H231">
        <f>IF(G231&lt;&gt;"",G231,F231)</f>
        <v/>
      </c>
      <c r="I231" t="n">
        <v>0</v>
      </c>
      <c r="J231" t="n">
        <v>0</v>
      </c>
      <c r="K231" t="n">
        <v>2</v>
      </c>
      <c r="L231" s="5" t="inlineStr"/>
      <c r="M231" s="5" t="n"/>
    </row>
    <row r="232">
      <c r="A232" t="inlineStr">
        <is>
          <t>YX-PERF-09</t>
        </is>
      </c>
      <c r="B232" t="inlineStr">
        <is>
          <t>M06</t>
        </is>
      </c>
      <c r="C232" t="inlineStr">
        <is>
          <t>YX-PERF</t>
        </is>
      </c>
      <c r="D232" t="inlineStr">
        <is>
          <t>6+</t>
        </is>
      </c>
      <c r="E232" s="5" t="inlineStr">
        <is>
          <t>Ratings are released to employees only at the cycle's release step. A released review can only be reopened by HR with a reason, and this is audited.</t>
        </is>
      </c>
      <c r="F232" t="inlineStr">
        <is>
          <t>Not started</t>
        </is>
      </c>
      <c r="H232">
        <f>IF(G232&lt;&gt;"",G232,F232)</f>
        <v/>
      </c>
      <c r="I232" t="n">
        <v>0</v>
      </c>
      <c r="J232" t="n">
        <v>0</v>
      </c>
      <c r="K232" t="n">
        <v>0</v>
      </c>
      <c r="L232" s="5" t="inlineStr"/>
      <c r="M232" s="5" t="n"/>
    </row>
    <row r="233">
      <c r="A233" t="inlineStr">
        <is>
          <t>YX-PERF-10</t>
        </is>
      </c>
      <c r="B233" t="inlineStr">
        <is>
          <t>M06</t>
        </is>
      </c>
      <c r="C233" t="inlineStr">
        <is>
          <t>YX-PERF</t>
        </is>
      </c>
      <c r="D233" t="inlineStr">
        <is>
          <t>6+</t>
        </is>
      </c>
      <c r="E233" s="5" t="inlineStr">
        <is>
          <t>Comp proposals come from the matrix (Q6). Changes outside the matrix range need a justification and an extra approval. Approved proposals create dated compensation or promotion changes (P06) and letters (P05).</t>
        </is>
      </c>
      <c r="F233" t="inlineStr">
        <is>
          <t>Tested, code not linked</t>
        </is>
      </c>
      <c r="H233">
        <f>IF(G233&lt;&gt;"",G233,F233)</f>
        <v/>
      </c>
      <c r="I233" t="n">
        <v>0</v>
      </c>
      <c r="J233" t="n">
        <v>1</v>
      </c>
      <c r="K233" t="n">
        <v>2</v>
      </c>
      <c r="L233" s="5" t="inlineStr">
        <is>
          <t>exam-app-org:packages/yx-ui/src/screens/growth/growth.test.tsx</t>
        </is>
      </c>
      <c r="M233" s="5" t="n"/>
    </row>
    <row r="234">
      <c r="A234" t="inlineStr">
        <is>
          <t>YX-PERF-11</t>
        </is>
      </c>
      <c r="B234" t="inlineStr">
        <is>
          <t>M06</t>
        </is>
      </c>
      <c r="C234" t="inlineStr">
        <is>
          <t>YX-PERF</t>
        </is>
      </c>
      <c r="D234" t="inlineStr">
        <is>
          <t>6+</t>
        </is>
      </c>
      <c r="E234" s="5" t="inlineStr">
        <is>
          <t>A PIP needs HR approval to start, has fixed check-ins and ends with a recorded outcome. "Not met" can start an M01 exit case, but never automatically.</t>
        </is>
      </c>
      <c r="F234" t="inlineStr">
        <is>
          <t>UI prototype only</t>
        </is>
      </c>
      <c r="H234">
        <f>IF(G234&lt;&gt;"",G234,F234)</f>
        <v/>
      </c>
      <c r="I234" t="n">
        <v>0</v>
      </c>
      <c r="J234" t="n">
        <v>0</v>
      </c>
      <c r="K234" t="n">
        <v>1</v>
      </c>
      <c r="L234" s="5" t="inlineStr"/>
      <c r="M234" s="5" t="n"/>
    </row>
    <row r="235">
      <c r="A235" t="inlineStr">
        <is>
          <t>YX-PERF-12</t>
        </is>
      </c>
      <c r="B235" t="inlineStr">
        <is>
          <t>M06</t>
        </is>
      </c>
      <c r="C235" t="inlineStr">
        <is>
          <t>YX-PERF</t>
        </is>
      </c>
      <c r="D235" t="inlineStr">
        <is>
          <t>6+</t>
        </is>
      </c>
      <c r="E235" s="5" t="inlineStr">
        <is>
          <t>Cycle funnel counts are clickable and lead to the list of names (fixes U74).</t>
        </is>
      </c>
      <c r="F235" t="inlineStr">
        <is>
          <t>UI prototype only</t>
        </is>
      </c>
      <c r="H235">
        <f>IF(G235&lt;&gt;"",G235,F235)</f>
        <v/>
      </c>
      <c r="I235" t="n">
        <v>0</v>
      </c>
      <c r="J235" t="n">
        <v>0</v>
      </c>
      <c r="K235" t="n">
        <v>1</v>
      </c>
      <c r="L235" s="5" t="inlineStr"/>
      <c r="M235" s="5" t="n"/>
    </row>
    <row r="236">
      <c r="A236" t="inlineStr">
        <is>
          <t>YX-PERF-13</t>
        </is>
      </c>
      <c r="B236" t="inlineStr">
        <is>
          <t>M06</t>
        </is>
      </c>
      <c r="C236" t="inlineStr">
        <is>
          <t>YX-PERF</t>
        </is>
      </c>
      <c r="D236" t="inlineStr">
        <is>
          <t>6+</t>
        </is>
      </c>
      <c r="E236" s="5" t="inlineStr">
        <is>
          <t>When a manager leaves or changes mid-cycle, in-flight artefacts transfer on the effective date and each transfer is logged: a pending manager-review stage → new manager (the old manager may be added as a named reviewer for input if still employed); 360° nominations awaiting approval → new manager; calibration sessions the old manager facilitated → HR reassigns; comp proposals they authored → new manager or HR; PIP ownership and check-ins → new manager, HR notified; 1-on-1 threads: shared notes and open action items move, private notes stay with their author; goals whose parent is the old manag</t>
        </is>
      </c>
      <c r="F236" t="inlineStr">
        <is>
          <t>UI prototype only</t>
        </is>
      </c>
      <c r="H236">
        <f>IF(G236&lt;&gt;"",G236,F236)</f>
        <v/>
      </c>
      <c r="I236" t="n">
        <v>0</v>
      </c>
      <c r="J236" t="n">
        <v>0</v>
      </c>
      <c r="K236" t="n">
        <v>1</v>
      </c>
      <c r="L236" s="5" t="inlineStr"/>
      <c r="M236" s="5" t="n"/>
    </row>
    <row r="237">
      <c r="A237" t="inlineStr">
        <is>
          <t>YX-PERF-14</t>
        </is>
      </c>
      <c r="B237" t="inlineStr">
        <is>
          <t>M06</t>
        </is>
      </c>
      <c r="C237" t="inlineStr">
        <is>
          <t>YX-PERF</t>
        </is>
      </c>
      <c r="D237" t="inlineStr">
        <is>
          <t>6+</t>
        </is>
      </c>
      <c r="E237" s="5" t="inlineStr">
        <is>
          <t>IDP (B16). An employee has at most one active IDP per period; the employee drafts it, the manager approves it (P03). A course item creates an M07 enrolment request that follows M07 approval and budget rules (YX-LRN-07); learning.enrolment.completed marks the item done and YX-LRN-03 updates the competency. A competency item is done when the competency rating reaches the target level (review or skills test evidence). A mentor item is active only after the mentor accepts; the mentor sees only the items they are named on, never ratings. IDP check-ins reuse 1-on-1s. On a manager change the IDP foll</t>
        </is>
      </c>
      <c r="F237" t="inlineStr">
        <is>
          <t>Not started</t>
        </is>
      </c>
      <c r="H237">
        <f>IF(G237&lt;&gt;"",G237,F237)</f>
        <v/>
      </c>
      <c r="I237" t="n">
        <v>0</v>
      </c>
      <c r="J237" t="n">
        <v>0</v>
      </c>
      <c r="K237" t="n">
        <v>0</v>
      </c>
      <c r="L237" s="5" t="inlineStr"/>
      <c r="M237" s="5" t="n"/>
    </row>
    <row r="238">
      <c r="A238" t="inlineStr">
        <is>
          <t>YX-PERF-15</t>
        </is>
      </c>
      <c r="B238" t="inlineStr">
        <is>
          <t>M06</t>
        </is>
      </c>
      <c r="C238" t="inlineStr">
        <is>
          <t>YX-PERF</t>
        </is>
      </c>
      <c r="D238" t="inlineStr">
        <is>
          <t>6+</t>
        </is>
      </c>
      <c r="E238" s="5" t="inlineStr">
        <is>
          <t>Career paths (B16). Paths, steps and required competency levels are company data (D17; starter template labelled as such). An employee's gap for a next role = required level − current rated level per competency; missing ratings show "not assessed", never 0 (as YX-PERF-02). Gaps can be added to the IDP in one click. A path never promotes anyone: promotions still come only from comp review / P06 changes (YX-PERF-10).</t>
        </is>
      </c>
      <c r="F238" t="inlineStr">
        <is>
          <t>UI prototype only</t>
        </is>
      </c>
      <c r="H238">
        <f>IF(G238&lt;&gt;"",G238,F238)</f>
        <v/>
      </c>
      <c r="I238" t="n">
        <v>0</v>
      </c>
      <c r="J238" t="n">
        <v>0</v>
      </c>
      <c r="K238" t="n">
        <v>1</v>
      </c>
      <c r="L238" s="5" t="inlineStr"/>
      <c r="M238" s="5" t="n"/>
    </row>
    <row r="239">
      <c r="A239" t="inlineStr">
        <is>
          <t>YX-PERF-16</t>
        </is>
      </c>
      <c r="B239" t="inlineStr">
        <is>
          <t>M06</t>
        </is>
      </c>
      <c r="C239" t="inlineStr">
        <is>
          <t>YX-PERF</t>
        </is>
      </c>
      <c r="D239" t="inlineStr">
        <is>
          <t>6+</t>
        </is>
      </c>
      <c r="E239" s="5" t="inlineStr">
        <is>
          <t>Talent pools and succession (B16). Pool membership comes from the 9-box / calibration outcome or an HR nomination, always with a reason and audited. Membership is Confidential, HR and leadership only; it is shown to the employee only if the company turns on "tell pool members" (D17, off in the starter template). HR can propose a pool member as a successor on an M01 critical position (M01 Q8); readiness is kept in one place (M01 succession_candidates) and shown here read-only. A successor's IDP is linked from the succession view.</t>
        </is>
      </c>
      <c r="F239" t="inlineStr">
        <is>
          <t>Not started</t>
        </is>
      </c>
      <c r="H239">
        <f>IF(G239&lt;&gt;"",G239,F239)</f>
        <v/>
      </c>
      <c r="I239" t="n">
        <v>0</v>
      </c>
      <c r="J239" t="n">
        <v>0</v>
      </c>
      <c r="K239" t="n">
        <v>0</v>
      </c>
      <c r="L239" s="5" t="inlineStr"/>
      <c r="M239" s="5" t="n"/>
    </row>
    <row r="240">
      <c r="A240" t="inlineStr">
        <is>
          <t>YX-PERF-17</t>
        </is>
      </c>
      <c r="B240" t="inlineStr">
        <is>
          <t>M06</t>
        </is>
      </c>
      <c r="C240" t="inlineStr">
        <is>
          <t>YX-PERF</t>
        </is>
      </c>
      <c r="D240" t="inlineStr">
        <is>
          <t>6+</t>
        </is>
      </c>
      <c r="E240" s="5" t="inlineStr">
        <is>
          <t>Attrition-risk signal (B16; P10). Opt-in per company. Scored in-region by YukthiX (no external LLM for the score) from permitted inputs only: tenure, time since last promotion / increment, compa-ratio, rating trend, manager changes, internal-mobility applications, engagement survey aggregates (M09, respecting its anonymity). Never used as inputs: Special data (health, disability, POSH, disciplinary, biometrics), protected attributes (gender, age, religion, caste, marital status, maternity / paternity leave) or individual survey answers. Output is a band with top factors, shown to HR only; ever</t>
        </is>
      </c>
      <c r="F240" t="inlineStr">
        <is>
          <t>Not started</t>
        </is>
      </c>
      <c r="H240">
        <f>IF(G240&lt;&gt;"",G240,F240)</f>
        <v/>
      </c>
      <c r="I240" t="n">
        <v>0</v>
      </c>
      <c r="J240" t="n">
        <v>0</v>
      </c>
      <c r="K240" t="n">
        <v>0</v>
      </c>
      <c r="L240" s="5" t="inlineStr"/>
      <c r="M240" s="5" t="n"/>
    </row>
    <row r="241">
      <c r="A241" t="inlineStr">
        <is>
          <t>YX-PERF-18</t>
        </is>
      </c>
      <c r="B241" t="inlineStr">
        <is>
          <t>M06</t>
        </is>
      </c>
      <c r="C241" t="inlineStr">
        <is>
          <t>YX-PERF</t>
        </is>
      </c>
      <c r="D241" t="inlineStr">
        <is>
          <t>6+</t>
        </is>
      </c>
      <c r="E241" s="5" t="inlineStr">
        <is>
          <t>Pay equity (C3). Inside a comp review (and in HR analytics), HR and finance approvers see pay gaps by gender, grade, role and location: mean and median, raw and adjusted (same grade and role), both before and after the current proposals. Results are Confidential; groups below the P09 threshold show "suppressed" (YX-MET-04), including in exports. Employees whose pay sits below their grade-and-role peer median by more than a company-set threshold (starter template 10 %) are flagged as advisory for the reviewer; nothing is adjusted automatically. Managers proposing inside their own comp review se</t>
        </is>
      </c>
      <c r="F241" t="inlineStr">
        <is>
          <t>Not started</t>
        </is>
      </c>
      <c r="H241">
        <f>IF(G241&lt;&gt;"",G241,F241)</f>
        <v/>
      </c>
      <c r="I241" t="n">
        <v>0</v>
      </c>
      <c r="J241" t="n">
        <v>0</v>
      </c>
      <c r="K241" t="n">
        <v>0</v>
      </c>
      <c r="L241" s="5" t="inlineStr"/>
      <c r="M241" s="5" t="n"/>
    </row>
    <row r="242">
      <c r="A242" t="inlineStr">
        <is>
          <t>YX-PERF-19</t>
        </is>
      </c>
      <c r="B242" t="inlineStr">
        <is>
          <t>M06</t>
        </is>
      </c>
      <c r="C242" t="inlineStr">
        <is>
          <t>YX-PERF</t>
        </is>
      </c>
      <c r="D242" t="inlineStr">
        <is>
          <t>6+</t>
        </is>
      </c>
      <c r="E242" s="5" t="inlineStr">
        <is>
          <t>Market benchmarks (C3; D18). The partner benchmarking feed is a paid add-on (third-party data, D18 (3)); a company may instead upload its own survey data at no charge. HR maps designation / grade / location to the source's job codes. The comp review sheet shows the market P25–P75 range and the market ratio (pay ÷ P50) beside the compa-ratio; the company chooses whether the comp matrix uses internal grade ranges or market position (D17). YukthiX sends no employee-level data to the benchmark partner; only the job-code query goes out. Each figure shows its source and effective date; stale data (o</t>
        </is>
      </c>
      <c r="F242" t="inlineStr">
        <is>
          <t>Not started</t>
        </is>
      </c>
      <c r="H242">
        <f>IF(G242&lt;&gt;"",G242,F242)</f>
        <v/>
      </c>
      <c r="I242" t="n">
        <v>0</v>
      </c>
      <c r="J242" t="n">
        <v>0</v>
      </c>
      <c r="K242" t="n">
        <v>0</v>
      </c>
      <c r="L242" s="5" t="inlineStr"/>
      <c r="M242" s="5" t="n"/>
    </row>
    <row r="243">
      <c r="A243" t="inlineStr">
        <is>
          <t>YX-PERF-20</t>
        </is>
      </c>
      <c r="B243" t="inlineStr">
        <is>
          <t>M06</t>
        </is>
      </c>
      <c r="C243" t="inlineStr">
        <is>
          <t>YX-PERF</t>
        </is>
      </c>
      <c r="D243" t="inlineStr">
        <is>
          <t>6+</t>
        </is>
      </c>
      <c r="E243" s="5" t="inlineStr">
        <is>
          <t>Skills library and mapped views (T2). Competencies, T01 question tags and M10 scorecard skills each reference a company_skills row through skill_mappings; a skill in use can't be deleted, only retired or merged, and every view follows. AI skill suggestions (P10 AI credits and data tiers, YX-AI-02) stay pending until the employee or their manager confirms; a rejected suggestion isn't re-offered from the same evidence. Only confirmed skills feed career-path gaps, IDPs, talent pools, M07 recommendations and staffing search, and each skill shows its source (self, manager, test, course, project, AI</t>
        </is>
      </c>
      <c r="F243" t="inlineStr">
        <is>
          <t>UI prototype only</t>
        </is>
      </c>
      <c r="H243">
        <f>IF(G243&lt;&gt;"",G243,F243)</f>
        <v/>
      </c>
      <c r="I243" t="n">
        <v>0</v>
      </c>
      <c r="J243" t="n">
        <v>0</v>
      </c>
      <c r="K243" t="n">
        <v>1</v>
      </c>
      <c r="L243" s="5" t="inlineStr"/>
      <c r="M243" s="5" t="n"/>
    </row>
    <row r="244">
      <c r="A244" t="inlineStr">
        <is>
          <t>YX-PERF-21</t>
        </is>
      </c>
      <c r="B244" t="inlineStr">
        <is>
          <t>M06</t>
        </is>
      </c>
      <c r="C244" t="inlineStr">
        <is>
          <t>YX-PERF</t>
        </is>
      </c>
      <c r="D244" t="inlineStr">
        <is>
          <t>6+</t>
        </is>
      </c>
      <c r="E244" s="5" t="inlineStr">
        <is>
          <t>Cycle eligibility and proration (J11). When a cycle starts, each employee gets a review_eligibility record from the company rules (starter template, D17: joined after the 3-month cut-off → excluded or probation review instead; mid-cycle joiner → goals for months served; leaver → closed without a rating unless the company opts in; transfer → both managers' inputs weighted by months; maternity or long leave of 3+ months → protected: no rating lowered for the leave period, not counted in forced distribution). Increments are prorated by eligible months ÷ cycle months unless the rule says full; lea</t>
        </is>
      </c>
      <c r="F244" t="inlineStr">
        <is>
          <t>Tested, code not linked</t>
        </is>
      </c>
      <c r="H244">
        <f>IF(G244&lt;&gt;"",G244,F244)</f>
        <v/>
      </c>
      <c r="I244" t="n">
        <v>0</v>
      </c>
      <c r="J244" t="n">
        <v>1</v>
      </c>
      <c r="K244" t="n">
        <v>4</v>
      </c>
      <c r="L244" s="5" t="inlineStr">
        <is>
          <t>exam-app-org:packages/yx-ui/src/screens/growth/growth.test.tsx</t>
        </is>
      </c>
      <c r="M244" s="5" t="n"/>
    </row>
    <row r="245">
      <c r="A245" t="inlineStr">
        <is>
          <t>YX-PERF-22</t>
        </is>
      </c>
      <c r="B245" t="inlineStr">
        <is>
          <t>M06</t>
        </is>
      </c>
      <c r="C245" t="inlineStr">
        <is>
          <t>YX-PERF</t>
        </is>
      </c>
      <c r="D245" t="inlineStr">
        <is>
          <t>6+</t>
        </is>
      </c>
      <c r="E245" s="5" t="inlineStr">
        <is>
          <t>Own pay band and pay-gap hooks (T4). With the setting on, an employee sees their own grade's min / mid / max from P01 grade_pay_ranges for their entity and currency on the effective date, and their position (below / within / above, quartile), never anyone else's pay; a grade without a range shows "no range set". The YX-PERF-18 engine exposes gender pay-gap figures as P09 metrics for the legal pay-gap reports (EU Directive, US state formats) and the right-to-information answer (average pay by gender for the same grade / work), with P09 suppression.</t>
        </is>
      </c>
      <c r="F245" t="inlineStr">
        <is>
          <t>Not started</t>
        </is>
      </c>
      <c r="H245">
        <f>IF(G245&lt;&gt;"",G245,F245)</f>
        <v/>
      </c>
      <c r="I245" t="n">
        <v>0</v>
      </c>
      <c r="J245" t="n">
        <v>0</v>
      </c>
      <c r="K245" t="n">
        <v>0</v>
      </c>
      <c r="L245" s="5" t="inlineStr"/>
      <c r="M245" s="5" t="n"/>
    </row>
    <row r="246">
      <c r="A246" t="inlineStr">
        <is>
          <t>YX-LRN-01</t>
        </is>
      </c>
      <c r="B246" t="inlineStr">
        <is>
          <t>M07</t>
        </is>
      </c>
      <c r="C246" t="inlineStr">
        <is>
          <t>YX-LRN</t>
        </is>
      </c>
      <c r="D246" t="inlineStr">
        <is>
          <t>6+</t>
        </is>
      </c>
      <c r="E246" s="5" t="inlineStr">
        <is>
          <t>Completion requires meeting the course's completion criteria: attendance ≥ the threshold for sessions, all required items for self-paced courses, and a pass score when an assessment is attached (taken from the enrolment's T03 employee invitation result). An absent attendee is never marked completed (fixes MS-D1).</t>
        </is>
      </c>
      <c r="F246" t="inlineStr">
        <is>
          <t>Tested, code not linked</t>
        </is>
      </c>
      <c r="H246">
        <f>IF(G246&lt;&gt;"",G246,F246)</f>
        <v/>
      </c>
      <c r="I246" t="n">
        <v>0</v>
      </c>
      <c r="J246" t="n">
        <v>1</v>
      </c>
      <c r="K246" t="n">
        <v>1</v>
      </c>
      <c r="L246" s="5" t="inlineStr">
        <is>
          <t>exam-app-org:packages/yx-ui/src/screens/growth/growth.test.tsx</t>
        </is>
      </c>
      <c r="M246" s="5" t="n"/>
    </row>
    <row r="247">
      <c r="A247" t="inlineStr">
        <is>
          <t>YX-LRN-02</t>
        </is>
      </c>
      <c r="B247" t="inlineStr">
        <is>
          <t>M07</t>
        </is>
      </c>
      <c r="C247" t="inlineStr">
        <is>
          <t>YX-LRN</t>
        </is>
      </c>
      <c r="D247" t="inlineStr">
        <is>
          <t>6+</t>
        </is>
      </c>
      <c r="E247" s="5" t="inlineStr">
        <is>
          <t>Completing a course with a certificate template issues the certificate automatically as a P05 document with QR verification (fixes MS-D2, U86).</t>
        </is>
      </c>
      <c r="F247" t="inlineStr">
        <is>
          <t>Not started</t>
        </is>
      </c>
      <c r="H247">
        <f>IF(G247&lt;&gt;"",G247,F247)</f>
        <v/>
      </c>
      <c r="I247" t="n">
        <v>0</v>
      </c>
      <c r="J247" t="n">
        <v>0</v>
      </c>
      <c r="K247" t="n">
        <v>0</v>
      </c>
      <c r="L247" s="5" t="inlineStr"/>
      <c r="M247" s="5" t="n"/>
    </row>
    <row r="248">
      <c r="A248" t="inlineStr">
        <is>
          <t>YX-LRN-03</t>
        </is>
      </c>
      <c r="B248" t="inlineStr">
        <is>
          <t>M07</t>
        </is>
      </c>
      <c r="C248" t="inlineStr">
        <is>
          <t>YX-LRN</t>
        </is>
      </c>
      <c r="D248" t="inlineStr">
        <is>
          <t>6+</t>
        </is>
      </c>
      <c r="E248" s="5" t="inlineStr">
        <is>
          <t>Completion updates the employee's competency profile at the course's mapped level. Evidence is linked (fixes U87).</t>
        </is>
      </c>
      <c r="F248" t="inlineStr">
        <is>
          <t>Not started</t>
        </is>
      </c>
      <c r="H248">
        <f>IF(G248&lt;&gt;"",G248,F248)</f>
        <v/>
      </c>
      <c r="I248" t="n">
        <v>0</v>
      </c>
      <c r="J248" t="n">
        <v>0</v>
      </c>
      <c r="K248" t="n">
        <v>0</v>
      </c>
      <c r="L248" s="5" t="inlineStr"/>
      <c r="M248" s="5" t="n"/>
    </row>
    <row r="249">
      <c r="A249" t="inlineStr">
        <is>
          <t>YX-LRN-04</t>
        </is>
      </c>
      <c r="B249" t="inlineStr">
        <is>
          <t>M07</t>
        </is>
      </c>
      <c r="C249" t="inlineStr">
        <is>
          <t>YX-LRN</t>
        </is>
      </c>
      <c r="D249" t="inlineStr">
        <is>
          <t>6+</t>
        </is>
      </c>
      <c r="E249" s="5" t="inlineStr">
        <is>
          <t>Assignment rules are evaluated daily and on events (join, transfer, role change). Enrolments carry due dates, with P04 reminders before and escalation to the manager after.</t>
        </is>
      </c>
      <c r="F249" t="inlineStr">
        <is>
          <t>Not started</t>
        </is>
      </c>
      <c r="H249">
        <f>IF(G249&lt;&gt;"",G249,F249)</f>
        <v/>
      </c>
      <c r="I249" t="n">
        <v>0</v>
      </c>
      <c r="J249" t="n">
        <v>0</v>
      </c>
      <c r="K249" t="n">
        <v>0</v>
      </c>
      <c r="L249" s="5" t="inlineStr"/>
      <c r="M249" s="5" t="n"/>
    </row>
    <row r="250">
      <c r="A250" t="inlineStr">
        <is>
          <t>YX-LRN-05</t>
        </is>
      </c>
      <c r="B250" t="inlineStr">
        <is>
          <t>M07</t>
        </is>
      </c>
      <c r="C250" t="inlineStr">
        <is>
          <t>YX-LRN</t>
        </is>
      </c>
      <c r="D250" t="inlineStr">
        <is>
          <t>6+</t>
        </is>
      </c>
      <c r="E250" s="5" t="inlineStr">
        <is>
          <t>A certification's expiry creates a renewal enrolment N days before (default 30). Expired mandatory certifications show as non-compliant on the compliance dashboard.</t>
        </is>
      </c>
      <c r="F250" t="inlineStr">
        <is>
          <t>UI prototype only</t>
        </is>
      </c>
      <c r="H250">
        <f>IF(G250&lt;&gt;"",G250,F250)</f>
        <v/>
      </c>
      <c r="I250" t="n">
        <v>0</v>
      </c>
      <c r="J250" t="n">
        <v>0</v>
      </c>
      <c r="K250" t="n">
        <v>1</v>
      </c>
      <c r="L250" s="5" t="inlineStr"/>
      <c r="M250" s="5" t="n"/>
    </row>
    <row r="251">
      <c r="A251" t="inlineStr">
        <is>
          <t>YX-LRN-06</t>
        </is>
      </c>
      <c r="B251" t="inlineStr">
        <is>
          <t>M07</t>
        </is>
      </c>
      <c r="C251" t="inlineStr">
        <is>
          <t>YX-LRN</t>
        </is>
      </c>
      <c r="D251" t="inlineStr">
        <is>
          <t>6+</t>
        </is>
      </c>
      <c r="E251" s="5" t="inlineStr">
        <is>
          <t>Session seat limits are enforced, with a first-come waitlist; a withdrawal promotes the next person and notifies them.</t>
        </is>
      </c>
      <c r="F251" t="inlineStr">
        <is>
          <t>Tested, code not linked</t>
        </is>
      </c>
      <c r="H251">
        <f>IF(G251&lt;&gt;"",G251,F251)</f>
        <v/>
      </c>
      <c r="I251" t="n">
        <v>0</v>
      </c>
      <c r="J251" t="n">
        <v>1</v>
      </c>
      <c r="K251" t="n">
        <v>1</v>
      </c>
      <c r="L251" s="5" t="inlineStr">
        <is>
          <t>exam-app-org:packages/yx-ui/src/screens/growth/growth.test.tsx</t>
        </is>
      </c>
      <c r="M251" s="5" t="n"/>
    </row>
    <row r="252">
      <c r="A252" t="inlineStr">
        <is>
          <t>YX-LRN-07</t>
        </is>
      </c>
      <c r="B252" t="inlineStr">
        <is>
          <t>M07</t>
        </is>
      </c>
      <c r="C252" t="inlineStr">
        <is>
          <t>YX-LRN</t>
        </is>
      </c>
      <c r="D252" t="inlineStr">
        <is>
          <t>6+</t>
        </is>
      </c>
      <c r="E252" s="5" t="inlineStr">
        <is>
          <t>Nominations and self-enrolments that need approval (per course / cost setting) go through P03. Cost is checked against the department budget, with a warning or block per company setting.</t>
        </is>
      </c>
      <c r="F252" t="inlineStr">
        <is>
          <t>Tested, code not linked</t>
        </is>
      </c>
      <c r="H252">
        <f>IF(G252&lt;&gt;"",G252,F252)</f>
        <v/>
      </c>
      <c r="I252" t="n">
        <v>0</v>
      </c>
      <c r="J252" t="n">
        <v>1</v>
      </c>
      <c r="K252" t="n">
        <v>1</v>
      </c>
      <c r="L252" s="5" t="inlineStr">
        <is>
          <t>exam-app-org:packages/yx-ui/src/screens/growth/growth.test.tsx</t>
        </is>
      </c>
      <c r="M252" s="5" t="n"/>
    </row>
    <row r="253">
      <c r="A253" t="inlineStr">
        <is>
          <t>YX-LRN-08</t>
        </is>
      </c>
      <c r="B253" t="inlineStr">
        <is>
          <t>M07</t>
        </is>
      </c>
      <c r="C253" t="inlineStr">
        <is>
          <t>YX-LRN</t>
        </is>
      </c>
      <c r="D253" t="inlineStr">
        <is>
          <t>6+</t>
        </is>
      </c>
      <c r="E253" s="5" t="inlineStr">
        <is>
          <t>One session record holds schedule, attendance, results, cost and feedback. There are no separate result or feedback documents (fixes U86).</t>
        </is>
      </c>
      <c r="F253" t="inlineStr">
        <is>
          <t>UI prototype only</t>
        </is>
      </c>
      <c r="H253">
        <f>IF(G253&lt;&gt;"",G253,F253)</f>
        <v/>
      </c>
      <c r="I253" t="n">
        <v>0</v>
      </c>
      <c r="J253" t="n">
        <v>0</v>
      </c>
      <c r="K253" t="n">
        <v>1</v>
      </c>
      <c r="L253" s="5" t="inlineStr"/>
      <c r="M253" s="5" t="n"/>
    </row>
    <row r="254">
      <c r="A254" t="inlineStr">
        <is>
          <t>YX-LRN-09</t>
        </is>
      </c>
      <c r="B254" t="inlineStr">
        <is>
          <t>M07</t>
        </is>
      </c>
      <c r="C254" t="inlineStr">
        <is>
          <t>YX-LRN</t>
        </is>
      </c>
      <c r="D254" t="inlineStr">
        <is>
          <t>6+</t>
        </is>
      </c>
      <c r="E254" s="5" t="inlineStr">
        <is>
          <t>SCORM 1.2 / 2004 packages run in a sandboxed player. Completion and score come from the package's reported status.</t>
        </is>
      </c>
      <c r="F254" t="inlineStr">
        <is>
          <t>UI prototype only</t>
        </is>
      </c>
      <c r="H254">
        <f>IF(G254&lt;&gt;"",G254,F254)</f>
        <v/>
      </c>
      <c r="I254" t="n">
        <v>0</v>
      </c>
      <c r="J254" t="n">
        <v>0</v>
      </c>
      <c r="K254" t="n">
        <v>1</v>
      </c>
      <c r="L254" s="5" t="inlineStr"/>
      <c r="M254" s="5" t="n"/>
    </row>
    <row r="255">
      <c r="A255" t="inlineStr">
        <is>
          <t>YX-LRN-10</t>
        </is>
      </c>
      <c r="B255" t="inlineStr">
        <is>
          <t>M07</t>
        </is>
      </c>
      <c r="C255" t="inlineStr">
        <is>
          <t>YX-LRN</t>
        </is>
      </c>
      <c r="D255" t="inlineStr">
        <is>
          <t>6+</t>
        </is>
      </c>
      <c r="E255" s="5" t="inlineStr">
        <is>
          <t>Content provider connectors (C2; D18). LinkedIn Learning, Coursera and Udemy Business connect with the customer's own licence and credentials (P10 secrets); the connector is included in the price, the content licence is the customer's contract with the provider, and licensed partner content packs sold through YukthiX are an add-on (D18 (3)); a connector to another provider built for one customer is a custom-connection add-on (D18 (4)). Catalogue sync creates external courses that behave like any course (assignment rules, paths, IDPs, competency mapping). Learners are matched by work email; unm</t>
        </is>
      </c>
      <c r="F255" t="inlineStr">
        <is>
          <t>Not started</t>
        </is>
      </c>
      <c r="H255">
        <f>IF(G255&lt;&gt;"",G255,F255)</f>
        <v/>
      </c>
      <c r="I255" t="n">
        <v>0</v>
      </c>
      <c r="J255" t="n">
        <v>0</v>
      </c>
      <c r="K255" t="n">
        <v>0</v>
      </c>
      <c r="L255" s="5" t="inlineStr"/>
      <c r="M255" s="5" t="n"/>
    </row>
    <row r="256">
      <c r="A256" t="inlineStr">
        <is>
          <t>YX-LRN-11</t>
        </is>
      </c>
      <c r="B256" t="inlineStr">
        <is>
          <t>M07</t>
        </is>
      </c>
      <c r="C256" t="inlineStr">
        <is>
          <t>YX-LRN</t>
        </is>
      </c>
      <c r="D256" t="inlineStr">
        <is>
          <t>6+</t>
        </is>
      </c>
      <c r="E256" s="5" t="inlineStr">
        <is>
          <t>Live-class auto-creation (C2). Per course (starter template: on), scheduling a virtual session creates the Zoom / Teams / Meet meeting through the P10 connector on the organiser's connected account (trainer, or L&amp;D when an external trainer has none) and sends calendar invites to enrolled attendees; enrolment changes, reschedules and cancellation update the same meeting. Attendance (Q7) uses the provider's participant report where the connector supports it (join / leave times → slot attendance), otherwise the join-link log, and the trainer confirms before completion. Meeting-platform licences a</t>
        </is>
      </c>
      <c r="F256" t="inlineStr">
        <is>
          <t>Not started</t>
        </is>
      </c>
      <c r="H256">
        <f>IF(G256&lt;&gt;"",G256,F256)</f>
        <v/>
      </c>
      <c r="I256" t="n">
        <v>0</v>
      </c>
      <c r="J256" t="n">
        <v>0</v>
      </c>
      <c r="K256" t="n">
        <v>0</v>
      </c>
      <c r="L256" s="5" t="inlineStr"/>
      <c r="M256" s="5" t="n"/>
    </row>
    <row r="257">
      <c r="A257" t="inlineStr">
        <is>
          <t>YX-LRN-12</t>
        </is>
      </c>
      <c r="B257" t="inlineStr">
        <is>
          <t>M07</t>
        </is>
      </c>
      <c r="C257" t="inlineStr">
        <is>
          <t>YX-LRN</t>
        </is>
      </c>
      <c r="D257" t="inlineStr">
        <is>
          <t>6+</t>
        </is>
      </c>
      <c r="E257" s="5" t="inlineStr">
        <is>
          <t>Gamification (C2; D17). Off until the company switches it on; point and badge rules come from a labelled starter template the company edits. Points are append-only in a ledger (reversals as negative entries, e.g. a completion undone). Leaderboards are scoped (team / department / company, per period) and show points only. Any employee can opt out of leaderboards at any time (they still see their own points and badges privately). Points and badges never feed ratings, pay or any M06 decision. Mandatory compliance courses may earn points but never rank people on compliance status.</t>
        </is>
      </c>
      <c r="F257" t="inlineStr">
        <is>
          <t>Not started</t>
        </is>
      </c>
      <c r="H257">
        <f>IF(G257&lt;&gt;"",G257,F257)</f>
        <v/>
      </c>
      <c r="I257" t="n">
        <v>0</v>
      </c>
      <c r="J257" t="n">
        <v>0</v>
      </c>
      <c r="K257" t="n">
        <v>0</v>
      </c>
      <c r="L257" s="5" t="inlineStr"/>
      <c r="M257" s="5" t="n"/>
    </row>
    <row r="258">
      <c r="A258" t="inlineStr">
        <is>
          <t>YX-LRN-13</t>
        </is>
      </c>
      <c r="B258" t="inlineStr">
        <is>
          <t>M07</t>
        </is>
      </c>
      <c r="C258" t="inlineStr">
        <is>
          <t>YX-LRN</t>
        </is>
      </c>
      <c r="D258" t="inlineStr">
        <is>
          <t>6+</t>
        </is>
      </c>
      <c r="E258" s="5" t="inlineStr">
        <is>
          <t>Open Badges 3.0 / Credly (B15). Per certificate template, a certification can also be issued as a signed Open Badges 3.0 credential (W3C Verifiable Credential; issuer key per tenant, verify URL on the public verify page) and / or pushed to the company's Credly organisation (customer's Credly account and fees). The badge carries the expiry of the certification; renewal issues a new badge; revocation or expiry of the certification revokes / expires the badge. The employee can share the badge (LinkedIn, wallet) and keeps it after exit.</t>
        </is>
      </c>
      <c r="F258" t="inlineStr">
        <is>
          <t>Not started</t>
        </is>
      </c>
      <c r="H258">
        <f>IF(G258&lt;&gt;"",G258,F258)</f>
        <v/>
      </c>
      <c r="I258" t="n">
        <v>0</v>
      </c>
      <c r="J258" t="n">
        <v>0</v>
      </c>
      <c r="K258" t="n">
        <v>0</v>
      </c>
      <c r="L258" s="5" t="inlineStr"/>
      <c r="M258" s="5" t="n"/>
    </row>
    <row r="259">
      <c r="A259" t="inlineStr">
        <is>
          <t>YX-LRN-14</t>
        </is>
      </c>
      <c r="B259" t="inlineStr">
        <is>
          <t>M07</t>
        </is>
      </c>
      <c r="C259" t="inlineStr">
        <is>
          <t>YX-LRN</t>
        </is>
      </c>
      <c r="D259" t="inlineStr">
        <is>
          <t>6+</t>
        </is>
      </c>
      <c r="E259" s="5" t="inlineStr">
        <is>
          <t>LTI 1.3 tool (B15). YukthiX is an LTI 1.3 / LTI Advantage tool (Deep Linking to pick a course or assessment, Assignment and Grade Services for grade passback, Names and Role Provisioning optional). An admin registers each external LMS (issuer, client id, JWKS, deployment ids). A launch signs in the user by the platform's verified claims: matched to an employee by email / employee code, otherwise a guest learner limited to the launched item (P02 §4.7 style scope). Proctored assessments keep their proctoring (T04). Launches are metered like the product used: employee learning is covered by the H</t>
        </is>
      </c>
      <c r="F259" t="inlineStr">
        <is>
          <t>Not started</t>
        </is>
      </c>
      <c r="H259">
        <f>IF(G259&lt;&gt;"",G259,F259)</f>
        <v/>
      </c>
      <c r="I259" t="n">
        <v>0</v>
      </c>
      <c r="J259" t="n">
        <v>0</v>
      </c>
      <c r="K259" t="n">
        <v>0</v>
      </c>
      <c r="L259" s="5" t="inlineStr"/>
      <c r="M259" s="5" t="n"/>
    </row>
    <row r="260">
      <c r="A260" t="inlineStr">
        <is>
          <t>YX-LRN-15</t>
        </is>
      </c>
      <c r="B260" t="inlineStr">
        <is>
          <t>M07</t>
        </is>
      </c>
      <c r="C260" t="inlineStr">
        <is>
          <t>YX-LRN</t>
        </is>
      </c>
      <c r="D260" t="inlineStr">
        <is>
          <t>6+</t>
        </is>
      </c>
      <c r="E260" s="5" t="inlineStr">
        <is>
          <t>AI authoring and recommendations (T14). AI-drafted courses and quizzes are drafts labelled "AI-generated", built only from the selected company documents (treated as untrusted input, P10 YX-AI-05), with a source citation per lesson and question; publishing needs a named reviewer, and the source document version is kept so an updated policy flags the course for review. Recommendations use confirmed skills only, show the reason (e.g. "gap in *Negotiation* for your next role"), never enrol anyone automatically (mandatory learning stays under the assignment rules) and never use Special data or rat</t>
        </is>
      </c>
      <c r="F260" t="inlineStr">
        <is>
          <t>UI prototype only</t>
        </is>
      </c>
      <c r="H260">
        <f>IF(G260&lt;&gt;"",G260,F260)</f>
        <v/>
      </c>
      <c r="I260" t="n">
        <v>0</v>
      </c>
      <c r="J260" t="n">
        <v>0</v>
      </c>
      <c r="K260" t="n">
        <v>1</v>
      </c>
      <c r="L260" s="5" t="inlineStr"/>
      <c r="M260" s="5" t="n"/>
    </row>
    <row r="261">
      <c r="A261" t="inlineStr">
        <is>
          <t>YX-CASE-01</t>
        </is>
      </c>
      <c r="B261" t="inlineStr">
        <is>
          <t>M08</t>
        </is>
      </c>
      <c r="C261" t="inlineStr">
        <is>
          <t>YX-CASE</t>
        </is>
      </c>
      <c r="D261" t="inlineStr">
        <is>
          <t>3b</t>
        </is>
      </c>
      <c r="E261" s="5" t="inlineStr">
        <is>
          <t>"Raised by" is always the logged-in user, or empty when the complaint is anonymous (fixes MS-D3).</t>
        </is>
      </c>
      <c r="F261" t="inlineStr">
        <is>
          <t>Not started</t>
        </is>
      </c>
      <c r="H261">
        <f>IF(G261&lt;&gt;"",G261,F261)</f>
        <v/>
      </c>
      <c r="I261" t="n">
        <v>0</v>
      </c>
      <c r="J261" t="n">
        <v>0</v>
      </c>
      <c r="K261" t="n">
        <v>0</v>
      </c>
      <c r="L261" s="5" t="inlineStr"/>
      <c r="M261" s="5" t="n"/>
    </row>
    <row r="262">
      <c r="A262" t="inlineStr">
        <is>
          <t>YX-CASE-02</t>
        </is>
      </c>
      <c r="B262" t="inlineStr">
        <is>
          <t>M08</t>
        </is>
      </c>
      <c r="C262" t="inlineStr">
        <is>
          <t>YX-CASE</t>
        </is>
      </c>
      <c r="D262" t="inlineStr">
        <is>
          <t>3b</t>
        </is>
      </c>
      <c r="E262" s="5" t="inlineStr">
        <is>
          <t>Only case members can see a case. The respondent is not told of a complaint until the process formally notifies them (fixes MS-D4, U85).</t>
        </is>
      </c>
      <c r="F262" t="inlineStr">
        <is>
          <t>UI prototype only</t>
        </is>
      </c>
      <c r="H262">
        <f>IF(G262&lt;&gt;"",G262,F262)</f>
        <v/>
      </c>
      <c r="I262" t="n">
        <v>0</v>
      </c>
      <c r="J262" t="n">
        <v>0</v>
      </c>
      <c r="K262" t="n">
        <v>2</v>
      </c>
      <c r="L262" s="5" t="inlineStr"/>
      <c r="M262" s="5" t="n"/>
    </row>
    <row r="263">
      <c r="A263" t="inlineStr">
        <is>
          <t>YX-CASE-03</t>
        </is>
      </c>
      <c r="B263" t="inlineStr">
        <is>
          <t>M08</t>
        </is>
      </c>
      <c r="C263" t="inlineStr">
        <is>
          <t>YX-CASE</t>
        </is>
      </c>
      <c r="D263" t="inlineStr">
        <is>
          <t>3b</t>
        </is>
      </c>
      <c r="E263" s="5" t="inlineStr">
        <is>
          <t>Anonymous complaints hide the complainant from everyone, including the case team. Communication happens only through the anonymous message channel. Identity is not stored unless the complainant later chooses to reveal it.</t>
        </is>
      </c>
      <c r="F263" t="inlineStr">
        <is>
          <t>Not started</t>
        </is>
      </c>
      <c r="H263">
        <f>IF(G263&lt;&gt;"",G263,F263)</f>
        <v/>
      </c>
      <c r="I263" t="n">
        <v>0</v>
      </c>
      <c r="J263" t="n">
        <v>0</v>
      </c>
      <c r="K263" t="n">
        <v>0</v>
      </c>
      <c r="L263" s="5" t="inlineStr"/>
      <c r="M263" s="5" t="n"/>
    </row>
    <row r="264">
      <c r="A264" t="inlineStr">
        <is>
          <t>YX-CASE-04</t>
        </is>
      </c>
      <c r="B264" t="inlineStr">
        <is>
          <t>M08</t>
        </is>
      </c>
      <c r="C264" t="inlineStr">
        <is>
          <t>YX-CASE</t>
        </is>
      </c>
      <c r="D264" t="inlineStr">
        <is>
          <t>3b</t>
        </is>
      </c>
      <c r="E264" s="5" t="inlineStr">
        <is>
          <t>A case member with a conflict of interest (the respondent, their manager chain, or anyone who self-declares) is blocked from the case. Adding them needs a documented override.</t>
        </is>
      </c>
      <c r="F264" t="inlineStr">
        <is>
          <t>UI prototype only</t>
        </is>
      </c>
      <c r="H264">
        <f>IF(G264&lt;&gt;"",G264,F264)</f>
        <v/>
      </c>
      <c r="I264" t="n">
        <v>0</v>
      </c>
      <c r="J264" t="n">
        <v>0</v>
      </c>
      <c r="K264" t="n">
        <v>1</v>
      </c>
      <c r="L264" s="5" t="inlineStr"/>
      <c r="M264" s="5" t="n"/>
    </row>
    <row r="265">
      <c r="A265" t="inlineStr">
        <is>
          <t>YX-CASE-05</t>
        </is>
      </c>
      <c r="B265" t="inlineStr">
        <is>
          <t>M08</t>
        </is>
      </c>
      <c r="C265" t="inlineStr">
        <is>
          <t>YX-CASE</t>
        </is>
      </c>
      <c r="D265" t="inlineStr">
        <is>
          <t>3b</t>
        </is>
      </c>
      <c r="E265" s="5" t="inlineStr">
        <is>
          <t>Every stage has a due date and reminders (P03). The case timeline records every step. Cases can't be deleted, only closed with an outcome.</t>
        </is>
      </c>
      <c r="F265" t="inlineStr">
        <is>
          <t>Not started</t>
        </is>
      </c>
      <c r="H265">
        <f>IF(G265&lt;&gt;"",G265,F265)</f>
        <v/>
      </c>
      <c r="I265" t="n">
        <v>0</v>
      </c>
      <c r="J265" t="n">
        <v>0</v>
      </c>
      <c r="K265" t="n">
        <v>0</v>
      </c>
      <c r="L265" s="5" t="inlineStr"/>
      <c r="M265" s="5" t="n"/>
    </row>
    <row r="266">
      <c r="A266" t="inlineStr">
        <is>
          <t>YX-CASE-06</t>
        </is>
      </c>
      <c r="B266" t="inlineStr">
        <is>
          <t>M08</t>
        </is>
      </c>
      <c r="C266" t="inlineStr">
        <is>
          <t>YX-CASE</t>
        </is>
      </c>
      <c r="D266" t="inlineStr">
        <is>
          <t>3b</t>
        </is>
      </c>
      <c r="E266" s="5" t="inlineStr">
        <is>
          <t>Case notifications outside the app say only "You have an update on a confidential matter", with an in-app link (P04 Q6).</t>
        </is>
      </c>
      <c r="F266" t="inlineStr">
        <is>
          <t>Not started</t>
        </is>
      </c>
      <c r="H266">
        <f>IF(G266&lt;&gt;"",G266,F266)</f>
        <v/>
      </c>
      <c r="I266" t="n">
        <v>0</v>
      </c>
      <c r="J266" t="n">
        <v>0</v>
      </c>
      <c r="K266" t="n">
        <v>0</v>
      </c>
      <c r="L266" s="5" t="inlineStr"/>
      <c r="M266" s="5" t="n"/>
    </row>
    <row r="267">
      <c r="A267" t="inlineStr">
        <is>
          <t>YX-CASE-07</t>
        </is>
      </c>
      <c r="B267" t="inlineStr">
        <is>
          <t>M08</t>
        </is>
      </c>
      <c r="C267" t="inlineStr">
        <is>
          <t>YX-CASE</t>
        </is>
      </c>
      <c r="D267" t="inlineStr">
        <is>
          <t>3b</t>
        </is>
      </c>
      <c r="E267" s="5" t="inlineStr">
        <is>
          <t>Disciplinary actions follow the company's misconduct matrix. A show-cause notice and a chance to reply (default 7 days) are required before any penalty. Warnings expire after their period (Q5). Subsistence allowance during suspension pending inquiry is paid through M03 (YX-PAY-23, rate from P07).</t>
        </is>
      </c>
      <c r="F267" t="inlineStr">
        <is>
          <t>UI prototype only</t>
        </is>
      </c>
      <c r="H267">
        <f>IF(G267&lt;&gt;"",G267,F267)</f>
        <v/>
      </c>
      <c r="I267" t="n">
        <v>0</v>
      </c>
      <c r="J267" t="n">
        <v>0</v>
      </c>
      <c r="K267" t="n">
        <v>1</v>
      </c>
      <c r="L267" s="5" t="inlineStr"/>
      <c r="M267" s="5" t="n"/>
    </row>
    <row r="268">
      <c r="A268" t="inlineStr">
        <is>
          <t>YX-CASE-08</t>
        </is>
      </c>
      <c r="B268" t="inlineStr">
        <is>
          <t>M08</t>
        </is>
      </c>
      <c r="C268" t="inlineStr">
        <is>
          <t>YX-CASE</t>
        </is>
      </c>
      <c r="D268" t="inlineStr">
        <is>
          <t>3b</t>
        </is>
      </c>
      <c r="E268" s="5" t="inlineStr">
        <is>
          <t>A retaliation flag can be raised by the complainant at any time. It creates a linked case and alerts the case owner.</t>
        </is>
      </c>
      <c r="F268" t="inlineStr">
        <is>
          <t>Not started</t>
        </is>
      </c>
      <c r="H268">
        <f>IF(G268&lt;&gt;"",G268,F268)</f>
        <v/>
      </c>
      <c r="I268" t="n">
        <v>0</v>
      </c>
      <c r="J268" t="n">
        <v>0</v>
      </c>
      <c r="K268" t="n">
        <v>0</v>
      </c>
      <c r="L268" s="5" t="inlineStr"/>
      <c r="M268" s="5" t="n"/>
    </row>
    <row r="269">
      <c r="A269" t="inlineStr">
        <is>
          <t>YX-CASE-09</t>
        </is>
      </c>
      <c r="B269" t="inlineStr">
        <is>
          <t>M08</t>
        </is>
      </c>
      <c r="C269" t="inlineStr">
        <is>
          <t>YX-CASE</t>
        </is>
      </c>
      <c r="D269" t="inlineStr">
        <is>
          <t>3b</t>
        </is>
      </c>
      <c r="E269" s="5" t="inlineStr">
        <is>
          <t>Non-employee parties (E16). A complainant or respondent can be an external party (contractor, vendor staff, client staff, visitor) recorded with name, employer and contact. Notices to an external respondent are delivered to them and coordinated with their employer (named contact, delivery logged on the timeline). An external complainant files and follows the case without an employee login, through the OTP external login (P02 §4.7, YX-SEC-21), scoped to that case only.</t>
        </is>
      </c>
      <c r="F269" t="inlineStr">
        <is>
          <t>Not started</t>
        </is>
      </c>
      <c r="H269">
        <f>IF(G269&lt;&gt;"",G269,F269)</f>
        <v/>
      </c>
      <c r="I269" t="n">
        <v>0</v>
      </c>
      <c r="J269" t="n">
        <v>0</v>
      </c>
      <c r="K269" t="n">
        <v>0</v>
      </c>
      <c r="L269" s="5" t="inlineStr"/>
      <c r="M269" s="5" t="n"/>
    </row>
    <row r="270">
      <c r="A270" t="inlineStr">
        <is>
          <t>YX-CASE-10</t>
        </is>
      </c>
      <c r="B270" t="inlineStr">
        <is>
          <t>M08</t>
        </is>
      </c>
      <c r="C270" t="inlineStr">
        <is>
          <t>YX-CASE</t>
        </is>
      </c>
      <c r="D270" t="inlineStr">
        <is>
          <t>3b</t>
        </is>
      </c>
      <c r="E270" s="5" t="inlineStr">
        <is>
          <t>A party exits during a case (E16). The case continues after a complainant or respondent leaves; the ex-employee keeps case-scoped access through the alumni login. An ex-employee can still file a POSH complaint within the legal window (YX-POSH-02: 3 months, extendable by 3) via alumni-scoped access. The M01 exit pre-check flags any open case where the leaver is a party (the flag names no case details outside the case team).</t>
        </is>
      </c>
      <c r="F270" t="inlineStr">
        <is>
          <t>Not started</t>
        </is>
      </c>
      <c r="H270">
        <f>IF(G270&lt;&gt;"",G270,F270)</f>
        <v/>
      </c>
      <c r="I270" t="n">
        <v>0</v>
      </c>
      <c r="J270" t="n">
        <v>0</v>
      </c>
      <c r="K270" t="n">
        <v>0</v>
      </c>
      <c r="L270" s="5" t="inlineStr"/>
      <c r="M270" s="5" t="n"/>
    </row>
    <row r="271">
      <c r="A271" t="inlineStr">
        <is>
          <t>YX-CASE-11</t>
        </is>
      </c>
      <c r="B271" t="inlineStr">
        <is>
          <t>M08</t>
        </is>
      </c>
      <c r="C271" t="inlineStr">
        <is>
          <t>YX-CASE</t>
        </is>
      </c>
      <c r="D271" t="inlineStr">
        <is>
          <t>3b</t>
        </is>
      </c>
      <c r="E271" s="5" t="inlineStr">
        <is>
          <t xml:space="preserve">Anonymous reporter return path (E20). On filing an anonymous grievance or whistleblower report, the reporter is shown a case access code once (random, high-entropy, stored only as a hash; they can save or download it). With the code they check status and reply on a no-login page; no identity, IP or device is stored against the case. If the reporter chooses to give a contact (email / phone) for "you have an update" alerts, it is stored encrypted, visible to nobody (case team, HR, System Admin, support), and used only for that content-free alert (YX-CASE-06). A lost code can't be recovered; the </t>
        </is>
      </c>
      <c r="F271" t="inlineStr">
        <is>
          <t>UI prototype only</t>
        </is>
      </c>
      <c r="H271">
        <f>IF(G271&lt;&gt;"",G271,F271)</f>
        <v/>
      </c>
      <c r="I271" t="n">
        <v>0</v>
      </c>
      <c r="J271" t="n">
        <v>0</v>
      </c>
      <c r="K271" t="n">
        <v>5</v>
      </c>
      <c r="L271" s="5" t="inlineStr"/>
      <c r="M271" s="5" t="n"/>
    </row>
    <row r="272">
      <c r="A272" t="inlineStr">
        <is>
          <t>YX-CASE-12</t>
        </is>
      </c>
      <c r="B272" t="inlineStr">
        <is>
          <t>M08</t>
        </is>
      </c>
      <c r="C272" t="inlineStr">
        <is>
          <t>YX-CASE</t>
        </is>
      </c>
      <c r="D272" t="inlineStr">
        <is>
          <t>3b</t>
        </is>
      </c>
      <c r="E272" s="5" t="inlineStr">
        <is>
          <t>Grievance Redressal Committee (IR Code, C1). An establishment at or above the P07 IN.IR threshold (dated; currently 20 or more workers) must have a valid GRC: no more members than IN.IR allows, equal employer and worker representation, a chairperson alternating between the employer and worker sides per IN.IR, and women members at least in proportion to women workers in the establishment. The composition is validated like the IC (YX-POSH-01), with a banner and a compliance-calendar flag when it isn't valid. A worker's individual grievance in such an establishment is routed to the GRC: its membe</t>
        </is>
      </c>
      <c r="F272" t="inlineStr">
        <is>
          <t>Not started</t>
        </is>
      </c>
      <c r="H272">
        <f>IF(G272&lt;&gt;"",G272,F272)</f>
        <v/>
      </c>
      <c r="I272" t="n">
        <v>0</v>
      </c>
      <c r="J272" t="n">
        <v>0</v>
      </c>
      <c r="K272" t="n">
        <v>0</v>
      </c>
      <c r="L272" s="5" t="inlineStr"/>
      <c r="M272" s="5" t="n"/>
    </row>
    <row r="273">
      <c r="A273" t="inlineStr">
        <is>
          <t>YX-CASE-13</t>
        </is>
      </c>
      <c r="B273" t="inlineStr">
        <is>
          <t>M08</t>
        </is>
      </c>
      <c r="C273" t="inlineStr">
        <is>
          <t>YX-CASE</t>
        </is>
      </c>
      <c r="D273" t="inlineStr">
        <is>
          <t>3b</t>
        </is>
      </c>
      <c r="E273" s="5" t="inlineStr">
        <is>
          <t>Standing orders (IR Code, C1). For an establishment at or above the IN.IR standing-orders threshold (currently 300 workers), the misconduct matrix is linked to the establishment's standing-orders version (certified or model): every misconduct type cites its clause, and a disciplinary case can cite only misconduct in the version valid on the incident date. Below the threshold the matrix is company policy (D17). An establishment above the threshold with no standing orders on record raises a compliance alert (P07 calendar).</t>
        </is>
      </c>
      <c r="F273" t="inlineStr">
        <is>
          <t>Not started</t>
        </is>
      </c>
      <c r="H273">
        <f>IF(G273&lt;&gt;"",G273,F273)</f>
        <v/>
      </c>
      <c r="I273" t="n">
        <v>0</v>
      </c>
      <c r="J273" t="n">
        <v>0</v>
      </c>
      <c r="K273" t="n">
        <v>0</v>
      </c>
      <c r="L273" s="5" t="inlineStr"/>
      <c r="M273" s="5" t="n"/>
    </row>
    <row r="274">
      <c r="A274" t="inlineStr">
        <is>
          <t>YX-CASE-14</t>
        </is>
      </c>
      <c r="B274" t="inlineStr">
        <is>
          <t>M08</t>
        </is>
      </c>
      <c r="C274" t="inlineStr">
        <is>
          <t>YX-CASE</t>
        </is>
      </c>
      <c r="D274" t="inlineStr">
        <is>
          <t>3b</t>
        </is>
      </c>
      <c r="E274" s="5" t="inlineStr">
        <is>
          <t>Workplace accident / injury record (J6). Any employee, supervisor, security staff or contractor supervisor can report an accident; the case is created for the location's safety officer and HR (company-set case team, D17), and the reporter is a member. It records the person (employee, or contract worker linked to the M13 worker and contractor), date and time, place, description, witnesses, photos, injury type, body part, first aid, hospital, and whether the person could not work and for how many days. Near-misses are not recorded as this case type. Medical details (diagnosis, certificates, disa</t>
        </is>
      </c>
      <c r="F274" t="inlineStr">
        <is>
          <t>Not started</t>
        </is>
      </c>
      <c r="H274">
        <f>IF(G274&lt;&gt;"",G274,F274)</f>
        <v/>
      </c>
      <c r="I274" t="n">
        <v>0</v>
      </c>
      <c r="J274" t="n">
        <v>0</v>
      </c>
      <c r="K274" t="n">
        <v>0</v>
      </c>
      <c r="L274" s="5" t="inlineStr"/>
      <c r="M274" s="5" t="n"/>
    </row>
    <row r="275">
      <c r="A275" t="inlineStr">
        <is>
          <t>YX-CASE-15</t>
        </is>
      </c>
      <c r="B275" t="inlineStr">
        <is>
          <t>M08</t>
        </is>
      </c>
      <c r="C275" t="inlineStr">
        <is>
          <t>YX-CASE</t>
        </is>
      </c>
      <c r="D275" t="inlineStr">
        <is>
          <t>3b</t>
        </is>
      </c>
      <c r="E275" s="5" t="inlineStr">
        <is>
          <t>Statutory accident reports (J6). For an ESI-covered person the case generates the ESIC accident report (employer's report, APX-F #109; P07 IN.ESI) due within the prescribed time per ESI regs, verify from the time of the accident. For a reportable accident — death, or disablement beyond the prescribed days per the P07 IN.OSH / IN.FACTORIES rule set valid on the accident date — it generates the statutory accident notice (Factories Act / OSH Code, APX-F #110) to the authority in the prescribed form and time. Both are pre-filled from the case, reviewed and marked submitted with the acknowledgement</t>
        </is>
      </c>
      <c r="F275" t="inlineStr">
        <is>
          <t>Not started</t>
        </is>
      </c>
      <c r="H275">
        <f>IF(G275&lt;&gt;"",G275,F275)</f>
        <v/>
      </c>
      <c r="I275" t="n">
        <v>0</v>
      </c>
      <c r="J275" t="n">
        <v>0</v>
      </c>
      <c r="K275" t="n">
        <v>0</v>
      </c>
      <c r="L275" s="5" t="inlineStr"/>
      <c r="M275" s="5" t="n"/>
    </row>
    <row r="276">
      <c r="A276" t="inlineStr">
        <is>
          <t>YX-CASE-16</t>
        </is>
      </c>
      <c r="B276" t="inlineStr">
        <is>
          <t>M08</t>
        </is>
      </c>
      <c r="C276" t="inlineStr">
        <is>
          <t>YX-CASE</t>
        </is>
      </c>
      <c r="D276" t="inlineStr">
        <is>
          <t>3b</t>
        </is>
      </c>
      <c r="E276" s="5" t="inlineStr">
        <is>
          <t>Employees' Compensation claim (J6). For a person not covered by ESI for the injury, the case opens an EC claim: compensation is computed by the P07 IN.EC formula valid on the accident date (kind of injury, wage with the P07 ceiling, age factor, minimums, waiting period for temporary disablement); temporary-disablement payments go through payroll (M03 YX-PAY-50); a lump sum is paid to the employee, or deposited with the commissioner where P07 requires it (death, and other cases the rule lists), with the deposit reference recorded. The due date (P07) is on the compliance calendar; a late payment</t>
        </is>
      </c>
      <c r="F276" t="inlineStr">
        <is>
          <t>UI prototype only</t>
        </is>
      </c>
      <c r="H276">
        <f>IF(G276&lt;&gt;"",G276,F276)</f>
        <v/>
      </c>
      <c r="I276" t="n">
        <v>0</v>
      </c>
      <c r="J276" t="n">
        <v>0</v>
      </c>
      <c r="K276" t="n">
        <v>2</v>
      </c>
      <c r="L276" s="5" t="inlineStr"/>
      <c r="M276" s="5" t="n"/>
    </row>
    <row r="277">
      <c r="A277" t="inlineStr">
        <is>
          <t>YX-CASE-17</t>
        </is>
      </c>
      <c r="B277" t="inlineStr">
        <is>
          <t>M08</t>
        </is>
      </c>
      <c r="C277" t="inlineStr">
        <is>
          <t>YX-CASE</t>
        </is>
      </c>
      <c r="D277" t="inlineStr">
        <is>
          <t>3b</t>
        </is>
      </c>
      <c r="E277" s="5" t="inlineStr">
        <is>
          <t>Whistleblower clocks by jurisdiction (R18). A whistleblower case at an entity whose country has a P07 whistleblowing parameter set (e.g. EU member states, entities with 50+ workers) gets the dated clocks from it: acknowledgement due within 7 days of receipt and feedback within 3 months of acknowledgement (or of receipt + 7 days when none was sent), per national transposition (verify); reminders and escalation to the ethics officer; records kept for the parameter's retention period. Entities without such a set keep the Q8 flow.</t>
        </is>
      </c>
      <c r="F277" t="inlineStr">
        <is>
          <t>UI prototype only</t>
        </is>
      </c>
      <c r="H277">
        <f>IF(G277&lt;&gt;"",G277,F277)</f>
        <v/>
      </c>
      <c r="I277" t="n">
        <v>0</v>
      </c>
      <c r="J277" t="n">
        <v>0</v>
      </c>
      <c r="K277" t="n">
        <v>1</v>
      </c>
      <c r="L277" s="5" t="inlineStr"/>
      <c r="M277" s="5" t="n"/>
    </row>
    <row r="278">
      <c r="A278" t="inlineStr">
        <is>
          <t>YX-CASE-18</t>
        </is>
      </c>
      <c r="B278" t="inlineStr">
        <is>
          <t>M08</t>
        </is>
      </c>
      <c r="C278" t="inlineStr">
        <is>
          <t>YX-CASE</t>
        </is>
      </c>
      <c r="D278" t="inlineStr">
        <is>
          <t>3b</t>
        </is>
      </c>
      <c r="E278" s="5" t="inlineStr">
        <is>
          <t>Collective dispute and settlement (J4). A dispute case raised by a union or worker group records demands, conciliation events and outcome; a settlement is a signed P05 document with effective dates and covered categories, sent to the authority where the IR Code requires (per IR Code rules, verify); on signing, its pay terms are handed to M03 for settlement arrears and it is linked from the union's register entry (M01 YX-EMP-15). Case team: HR-IR and legal (D17).</t>
        </is>
      </c>
      <c r="F278" t="inlineStr">
        <is>
          <t>Not started</t>
        </is>
      </c>
      <c r="H278">
        <f>IF(G278&lt;&gt;"",G278,F278)</f>
        <v/>
      </c>
      <c r="I278" t="n">
        <v>0</v>
      </c>
      <c r="J278" t="n">
        <v>0</v>
      </c>
      <c r="K278" t="n">
        <v>0</v>
      </c>
      <c r="L278" s="5" t="inlineStr"/>
      <c r="M278" s="5" t="n"/>
    </row>
    <row r="279">
      <c r="A279" t="inlineStr">
        <is>
          <t>YX-HD-01</t>
        </is>
      </c>
      <c r="B279" t="inlineStr">
        <is>
          <t>M08</t>
        </is>
      </c>
      <c r="C279" t="inlineStr">
        <is>
          <t>YX-HD</t>
        </is>
      </c>
      <c r="D279" t="inlineStr">
        <is>
          <t>3b</t>
        </is>
      </c>
      <c r="E279" s="5" t="inlineStr">
        <is>
          <t>A ticket is routed by category to a queue, then assigned round-robin or manually. SLA timers use the queue's business hours and pause while "waiting on employee".</t>
        </is>
      </c>
      <c r="F279" t="inlineStr">
        <is>
          <t>UI prototype only</t>
        </is>
      </c>
      <c r="H279">
        <f>IF(G279&lt;&gt;"",G279,F279)</f>
        <v/>
      </c>
      <c r="I279" t="n">
        <v>0</v>
      </c>
      <c r="J279" t="n">
        <v>0</v>
      </c>
      <c r="K279" t="n">
        <v>1</v>
      </c>
      <c r="L279" s="5" t="inlineStr"/>
      <c r="M279" s="5" t="n"/>
    </row>
    <row r="280">
      <c r="A280" t="inlineStr">
        <is>
          <t>YX-HD-02</t>
        </is>
      </c>
      <c r="B280" t="inlineStr">
        <is>
          <t>M08</t>
        </is>
      </c>
      <c r="C280" t="inlineStr">
        <is>
          <t>YX-HD</t>
        </is>
      </c>
      <c r="D280" t="inlineStr">
        <is>
          <t>3b</t>
        </is>
      </c>
      <c r="E280" s="5" t="inlineStr">
        <is>
          <t>SLA breach warnings go to the agent at 80 % of the target, and to the queue lead at breach.</t>
        </is>
      </c>
      <c r="F280" t="inlineStr">
        <is>
          <t>UI prototype only</t>
        </is>
      </c>
      <c r="H280">
        <f>IF(G280&lt;&gt;"",G280,F280)</f>
        <v/>
      </c>
      <c r="I280" t="n">
        <v>0</v>
      </c>
      <c r="J280" t="n">
        <v>0</v>
      </c>
      <c r="K280" t="n">
        <v>2</v>
      </c>
      <c r="L280" s="5" t="inlineStr"/>
      <c r="M280" s="5" t="n"/>
    </row>
    <row r="281">
      <c r="A281" t="inlineStr">
        <is>
          <t>YX-HD-03</t>
        </is>
      </c>
      <c r="B281" t="inlineStr">
        <is>
          <t>M08</t>
        </is>
      </c>
      <c r="C281" t="inlineStr">
        <is>
          <t>YX-HD</t>
        </is>
      </c>
      <c r="D281" t="inlineStr">
        <is>
          <t>3b</t>
        </is>
      </c>
      <c r="E281" s="5" t="inlineStr">
        <is>
          <t>Tickets in sensitive categories (payroll, medical, personal) are visible only to that queue's agents. The requester can also mark a ticket "private" (Q2).</t>
        </is>
      </c>
      <c r="F281" t="inlineStr">
        <is>
          <t>UI prototype only</t>
        </is>
      </c>
      <c r="H281">
        <f>IF(G281&lt;&gt;"",G281,F281)</f>
        <v/>
      </c>
      <c r="I281" t="n">
        <v>0</v>
      </c>
      <c r="J281" t="n">
        <v>0</v>
      </c>
      <c r="K281" t="n">
        <v>1</v>
      </c>
      <c r="L281" s="5" t="inlineStr"/>
      <c r="M281" s="5" t="n"/>
    </row>
    <row r="282">
      <c r="A282" t="inlineStr">
        <is>
          <t>YX-HD-04</t>
        </is>
      </c>
      <c r="B282" t="inlineStr">
        <is>
          <t>M08</t>
        </is>
      </c>
      <c r="C282" t="inlineStr">
        <is>
          <t>YX-HD</t>
        </is>
      </c>
      <c r="D282" t="inlineStr">
        <is>
          <t>3b</t>
        </is>
      </c>
      <c r="E282" s="5" t="inlineStr">
        <is>
          <t>Knowledge articles are suggested while the employee types. A ticket closed by an article ("this solved it") is counted as deflected.</t>
        </is>
      </c>
      <c r="F282" t="inlineStr">
        <is>
          <t>UI prototype only</t>
        </is>
      </c>
      <c r="H282">
        <f>IF(G282&lt;&gt;"",G282,F282)</f>
        <v/>
      </c>
      <c r="I282" t="n">
        <v>0</v>
      </c>
      <c r="J282" t="n">
        <v>0</v>
      </c>
      <c r="K282" t="n">
        <v>1</v>
      </c>
      <c r="L282" s="5" t="inlineStr"/>
      <c r="M282" s="5" t="n"/>
    </row>
    <row r="283">
      <c r="A283" t="inlineStr">
        <is>
          <t>YX-HD-05</t>
        </is>
      </c>
      <c r="B283" t="inlineStr">
        <is>
          <t>M08</t>
        </is>
      </c>
      <c r="C283" t="inlineStr">
        <is>
          <t>YX-HD</t>
        </is>
      </c>
      <c r="D283" t="inlineStr">
        <is>
          <t>3b</t>
        </is>
      </c>
      <c r="E283" s="5" t="inlineStr">
        <is>
          <t>A resolved ticket closes after 3 days without a reply. The employee can reopen it within 7 days. A satisfaction rating is requested on close.</t>
        </is>
      </c>
      <c r="F283" t="inlineStr">
        <is>
          <t>UI prototype only</t>
        </is>
      </c>
      <c r="H283">
        <f>IF(G283&lt;&gt;"",G283,F283)</f>
        <v/>
      </c>
      <c r="I283" t="n">
        <v>0</v>
      </c>
      <c r="J283" t="n">
        <v>0</v>
      </c>
      <c r="K283" t="n">
        <v>2</v>
      </c>
      <c r="L283" s="5" t="inlineStr"/>
      <c r="M283" s="5" t="n"/>
    </row>
    <row r="284">
      <c r="A284" t="inlineStr">
        <is>
          <t>YX-POL-01</t>
        </is>
      </c>
      <c r="B284" t="inlineStr">
        <is>
          <t>M08</t>
        </is>
      </c>
      <c r="C284" t="inlineStr">
        <is>
          <t>YX-POL</t>
        </is>
      </c>
      <c r="D284" t="inlineStr">
        <is>
          <t>3b</t>
        </is>
      </c>
      <c r="E284" s="5" t="inlineStr">
        <is>
          <t>Policies are versioned. Publishing a new version with "re-acknowledge" asks the audience to acknowledge again. Older acknowledgements remain on record.</t>
        </is>
      </c>
      <c r="F284" t="inlineStr">
        <is>
          <t>Not started</t>
        </is>
      </c>
      <c r="H284">
        <f>IF(G284&lt;&gt;"",G284,F284)</f>
        <v/>
      </c>
      <c r="I284" t="n">
        <v>0</v>
      </c>
      <c r="J284" t="n">
        <v>0</v>
      </c>
      <c r="K284" t="n">
        <v>0</v>
      </c>
      <c r="L284" s="5" t="inlineStr"/>
      <c r="M284" s="5" t="n"/>
    </row>
    <row r="285">
      <c r="A285" t="inlineStr">
        <is>
          <t>YX-POL-02</t>
        </is>
      </c>
      <c r="B285" t="inlineStr">
        <is>
          <t>M08</t>
        </is>
      </c>
      <c r="C285" t="inlineStr">
        <is>
          <t>YX-POL</t>
        </is>
      </c>
      <c r="D285" t="inlineStr">
        <is>
          <t>3b</t>
        </is>
      </c>
      <c r="E285" s="5" t="inlineStr">
        <is>
          <t>Acknowledgement records the version, time and method (in-app click, OTP per P05 for critical policies, quiz pass per M07). Reminders are sent; overdue items escalate to the manager.</t>
        </is>
      </c>
      <c r="F285" t="inlineStr">
        <is>
          <t>UI prototype only</t>
        </is>
      </c>
      <c r="H285">
        <f>IF(G285&lt;&gt;"",G285,F285)</f>
        <v/>
      </c>
      <c r="I285" t="n">
        <v>0</v>
      </c>
      <c r="J285" t="n">
        <v>0</v>
      </c>
      <c r="K285" t="n">
        <v>1</v>
      </c>
      <c r="L285" s="5" t="inlineStr"/>
      <c r="M285" s="5" t="n"/>
    </row>
    <row r="286">
      <c r="A286" t="inlineStr">
        <is>
          <t>YX-POL-03</t>
        </is>
      </c>
      <c r="B286" t="inlineStr">
        <is>
          <t>M08</t>
        </is>
      </c>
      <c r="C286" t="inlineStr">
        <is>
          <t>YX-POL</t>
        </is>
      </c>
      <c r="D286" t="inlineStr">
        <is>
          <t>3b</t>
        </is>
      </c>
      <c r="E286" s="5" t="inlineStr">
        <is>
          <t>New joiners get the policies for their audience as a pre-boarding / onboarding task (M01).</t>
        </is>
      </c>
      <c r="F286" t="inlineStr">
        <is>
          <t>Not started</t>
        </is>
      </c>
      <c r="H286">
        <f>IF(G286&lt;&gt;"",G286,F286)</f>
        <v/>
      </c>
      <c r="I286" t="n">
        <v>0</v>
      </c>
      <c r="J286" t="n">
        <v>0</v>
      </c>
      <c r="K286" t="n">
        <v>0</v>
      </c>
      <c r="L286" s="5" t="inlineStr"/>
      <c r="M286" s="5" t="n"/>
    </row>
    <row r="287">
      <c r="A287" t="inlineStr">
        <is>
          <t>YX-POSH-01</t>
        </is>
      </c>
      <c r="B287" t="inlineStr">
        <is>
          <t>M08</t>
        </is>
      </c>
      <c r="C287" t="inlineStr">
        <is>
          <t>YX-POSH</t>
        </is>
      </c>
      <c r="D287" t="inlineStr">
        <is>
          <t>3b</t>
        </is>
      </c>
      <c r="E287" s="5" t="inlineStr">
        <is>
          <t>An entity at or above the employee threshold in the P07 POSH parameters (dated data; currently 10 or more employees at a workplace) must have a valid Internal Committee, with the composition set by the P07 POSH parameters (currently a senior woman as presiding officer, at least half the members women, one external member, and tenure of 3 years or less). The composition is validated, and a banner shows if it isn't.</t>
        </is>
      </c>
      <c r="F287" t="inlineStr">
        <is>
          <t>UI prototype only</t>
        </is>
      </c>
      <c r="H287">
        <f>IF(G287&lt;&gt;"",G287,F287)</f>
        <v/>
      </c>
      <c r="I287" t="n">
        <v>0</v>
      </c>
      <c r="J287" t="n">
        <v>0</v>
      </c>
      <c r="K287" t="n">
        <v>1</v>
      </c>
      <c r="L287" s="5" t="inlineStr"/>
      <c r="M287" s="5" t="n"/>
    </row>
    <row r="288">
      <c r="A288" t="inlineStr">
        <is>
          <t>YX-POSH-02</t>
        </is>
      </c>
      <c r="B288" t="inlineStr">
        <is>
          <t>M08</t>
        </is>
      </c>
      <c r="C288" t="inlineStr">
        <is>
          <t>YX-POSH</t>
        </is>
      </c>
      <c r="D288" t="inlineStr">
        <is>
          <t>3b</t>
        </is>
      </c>
      <c r="E288" s="5" t="inlineStr">
        <is>
          <t>Complaints can be filed by the aggrieved woman or on her behalf. The filing window is 3 months from the incident (the IC can extend it by 3 more with reasons).</t>
        </is>
      </c>
      <c r="F288" t="inlineStr">
        <is>
          <t>UI prototype only</t>
        </is>
      </c>
      <c r="H288">
        <f>IF(G288&lt;&gt;"",G288,F288)</f>
        <v/>
      </c>
      <c r="I288" t="n">
        <v>0</v>
      </c>
      <c r="J288" t="n">
        <v>0</v>
      </c>
      <c r="K288" t="n">
        <v>1</v>
      </c>
      <c r="L288" s="5" t="inlineStr"/>
      <c r="M288" s="5" t="n"/>
    </row>
    <row r="289">
      <c r="A289" t="inlineStr">
        <is>
          <t>YX-POSH-03</t>
        </is>
      </c>
      <c r="B289" t="inlineStr">
        <is>
          <t>M08</t>
        </is>
      </c>
      <c r="C289" t="inlineStr">
        <is>
          <t>YX-POSH</t>
        </is>
      </c>
      <c r="D289" t="inlineStr">
        <is>
          <t>3b</t>
        </is>
      </c>
      <c r="E289" s="5" t="inlineStr">
        <is>
          <t>Statutory timeline tracking per the P07 POSH parameters (dated data; currently: notice to the respondent within 7 days; inquiry completed within 90 days; report within 10 days after the inquiry; the employer acts within 60 days of the report). Due dates are calculated and escalated.</t>
        </is>
      </c>
      <c r="F289" t="inlineStr">
        <is>
          <t>UI prototype only</t>
        </is>
      </c>
      <c r="H289">
        <f>IF(G289&lt;&gt;"",G289,F289)</f>
        <v/>
      </c>
      <c r="I289" t="n">
        <v>0</v>
      </c>
      <c r="J289" t="n">
        <v>0</v>
      </c>
      <c r="K289" t="n">
        <v>1</v>
      </c>
      <c r="L289" s="5" t="inlineStr"/>
      <c r="M289" s="5" t="n"/>
    </row>
    <row r="290">
      <c r="A290" t="inlineStr">
        <is>
          <t>YX-POSH-04</t>
        </is>
      </c>
      <c r="B290" t="inlineStr">
        <is>
          <t>M08</t>
        </is>
      </c>
      <c r="C290" t="inlineStr">
        <is>
          <t>YX-POSH</t>
        </is>
      </c>
      <c r="D290" t="inlineStr">
        <is>
          <t>3b</t>
        </is>
      </c>
      <c r="E290" s="5" t="inlineStr">
        <is>
          <t>Conciliation is offered only at the complainant's request, with no monetary settlement as a basis.</t>
        </is>
      </c>
      <c r="F290" t="inlineStr">
        <is>
          <t>Not started</t>
        </is>
      </c>
      <c r="H290">
        <f>IF(G290&lt;&gt;"",G290,F290)</f>
        <v/>
      </c>
      <c r="I290" t="n">
        <v>0</v>
      </c>
      <c r="J290" t="n">
        <v>0</v>
      </c>
      <c r="K290" t="n">
        <v>0</v>
      </c>
      <c r="L290" s="5" t="inlineStr"/>
      <c r="M290" s="5" t="n"/>
    </row>
    <row r="291">
      <c r="A291" t="inlineStr">
        <is>
          <t>YX-POSH-05</t>
        </is>
      </c>
      <c r="B291" t="inlineStr">
        <is>
          <t>M08</t>
        </is>
      </c>
      <c r="C291" t="inlineStr">
        <is>
          <t>YX-POSH</t>
        </is>
      </c>
      <c r="D291" t="inlineStr">
        <is>
          <t>3b</t>
        </is>
      </c>
      <c r="E291" s="5" t="inlineStr">
        <is>
          <t>Only the IC members on the case (and the external member) see POSH cases. HR sees only anonymised counts and the actions it must carry out. Case details are never used in performance or other modules.</t>
        </is>
      </c>
      <c r="F291" t="inlineStr">
        <is>
          <t>UI prototype only</t>
        </is>
      </c>
      <c r="H291">
        <f>IF(G291&lt;&gt;"",G291,F291)</f>
        <v/>
      </c>
      <c r="I291" t="n">
        <v>0</v>
      </c>
      <c r="J291" t="n">
        <v>0</v>
      </c>
      <c r="K291" t="n">
        <v>1</v>
      </c>
      <c r="L291" s="5" t="inlineStr"/>
      <c r="M291" s="5" t="n"/>
    </row>
    <row r="292">
      <c r="A292" t="inlineStr">
        <is>
          <t>YX-POSH-06</t>
        </is>
      </c>
      <c r="B292" t="inlineStr">
        <is>
          <t>M08</t>
        </is>
      </c>
      <c r="C292" t="inlineStr">
        <is>
          <t>YX-POSH</t>
        </is>
      </c>
      <c r="D292" t="inlineStr">
        <is>
          <t>3b</t>
        </is>
      </c>
      <c r="E292" s="5" t="inlineStr">
        <is>
          <t>The annual report is compiled, in the format and with the due date set by the P07 POSH parameters, from cases and awareness sessions, then submitted to the employer and the District Officer. A missing report is flagged in the compliance calendar (P07). In wave 4, awareness sessions are recorded as a manual session log in M08 (date, audience, attendance count); from wave 5 they come from M07 courses / templates.</t>
        </is>
      </c>
      <c r="F292" t="inlineStr">
        <is>
          <t>Not started</t>
        </is>
      </c>
      <c r="H292">
        <f>IF(G292&lt;&gt;"",G292,F292)</f>
        <v/>
      </c>
      <c r="I292" t="n">
        <v>0</v>
      </c>
      <c r="J292" t="n">
        <v>0</v>
      </c>
      <c r="K292" t="n">
        <v>0</v>
      </c>
      <c r="L292" s="5" t="inlineStr"/>
      <c r="M292" s="5" t="n"/>
    </row>
    <row r="293">
      <c r="A293" t="inlineStr">
        <is>
          <t>YX-ENG-01</t>
        </is>
      </c>
      <c r="B293" t="inlineStr">
        <is>
          <t>M09</t>
        </is>
      </c>
      <c r="C293" t="inlineStr">
        <is>
          <t>YX-ENG</t>
        </is>
      </c>
      <c r="D293" t="inlineStr">
        <is>
          <t>6+</t>
        </is>
      </c>
      <c r="E293" s="5" t="inlineStr">
        <is>
          <t>Organisation spaces keep their membership in sync with P01 assignments. Leaving a team removes access to that team's space from the next day.</t>
        </is>
      </c>
      <c r="F293" t="inlineStr">
        <is>
          <t>Not started</t>
        </is>
      </c>
      <c r="H293">
        <f>IF(G293&lt;&gt;"",G293,F293)</f>
        <v/>
      </c>
      <c r="I293" t="n">
        <v>0</v>
      </c>
      <c r="J293" t="n">
        <v>0</v>
      </c>
      <c r="K293" t="n">
        <v>0</v>
      </c>
      <c r="L293" s="5" t="inlineStr"/>
      <c r="M293" s="5" t="n"/>
    </row>
    <row r="294">
      <c r="A294" t="inlineStr">
        <is>
          <t>YX-ENG-02</t>
        </is>
      </c>
      <c r="B294" t="inlineStr">
        <is>
          <t>M09</t>
        </is>
      </c>
      <c r="C294" t="inlineStr">
        <is>
          <t>YX-ENG</t>
        </is>
      </c>
      <c r="D294" t="inlineStr">
        <is>
          <t>6+</t>
        </is>
      </c>
      <c r="E294" s="5" t="inlineStr">
        <is>
          <t>Who can post in each space follows the space's posting policy (Q1). Announcements can be posted only by users with the announcer permission (P02).</t>
        </is>
      </c>
      <c r="F294" t="inlineStr">
        <is>
          <t>UI prototype only</t>
        </is>
      </c>
      <c r="H294">
        <f>IF(G294&lt;&gt;"",G294,F294)</f>
        <v/>
      </c>
      <c r="I294" t="n">
        <v>0</v>
      </c>
      <c r="J294" t="n">
        <v>0</v>
      </c>
      <c r="K294" t="n">
        <v>1</v>
      </c>
      <c r="L294" s="5" t="inlineStr"/>
      <c r="M294" s="5" t="n"/>
    </row>
    <row r="295">
      <c r="A295" t="inlineStr">
        <is>
          <t>YX-ENG-03</t>
        </is>
      </c>
      <c r="B295" t="inlineStr">
        <is>
          <t>M09</t>
        </is>
      </c>
      <c r="C295" t="inlineStr">
        <is>
          <t>YX-ENG</t>
        </is>
      </c>
      <c r="D295" t="inlineStr">
        <is>
          <t>6+</t>
        </is>
      </c>
      <c r="E295" s="5" t="inlineStr">
        <is>
          <t>Every post and comment goes through the moderation filter (Q2). Blocked content is held with a reason. Reported content that passes the report threshold is hidden until reviewed. All moderation actions are audited.</t>
        </is>
      </c>
      <c r="F295" t="inlineStr">
        <is>
          <t>Tested, code not linked</t>
        </is>
      </c>
      <c r="H295">
        <f>IF(G295&lt;&gt;"",G295,F295)</f>
        <v/>
      </c>
      <c r="I295" t="n">
        <v>0</v>
      </c>
      <c r="J295" t="n">
        <v>1</v>
      </c>
      <c r="K295" t="n">
        <v>1</v>
      </c>
      <c r="L295" s="5" t="inlineStr">
        <is>
          <t>exam-app-org:packages/yx-ui/src/screens/growth/growth.test.tsx</t>
        </is>
      </c>
      <c r="M295" s="5" t="n"/>
    </row>
    <row r="296">
      <c r="A296" t="inlineStr">
        <is>
          <t>YX-ENG-04</t>
        </is>
      </c>
      <c r="B296" t="inlineStr">
        <is>
          <t>M09</t>
        </is>
      </c>
      <c r="C296" t="inlineStr">
        <is>
          <t>YX-ENG</t>
        </is>
      </c>
      <c r="D296" t="inlineStr">
        <is>
          <t>6+</t>
        </is>
      </c>
      <c r="E296" s="5" t="inlineStr">
        <is>
          <t>Anonymous survey results are shown only for groups of at least the minimum size (P09, default 5). Filters that would narrow a group below the minimum are disabled. Free-text comments are shown without metadata. The minimum applies to every viewer, including HR admins: nobody has individual-level access to anonymous responses.</t>
        </is>
      </c>
      <c r="F296" t="inlineStr">
        <is>
          <t>Tested, code not linked</t>
        </is>
      </c>
      <c r="H296">
        <f>IF(G296&lt;&gt;"",G296,F296)</f>
        <v/>
      </c>
      <c r="I296" t="n">
        <v>0</v>
      </c>
      <c r="J296" t="n">
        <v>1</v>
      </c>
      <c r="K296" t="n">
        <v>2</v>
      </c>
      <c r="L296" s="5" t="inlineStr">
        <is>
          <t>exam-app-org:packages/yx-ui/src/screens/growth/growth.test.tsx</t>
        </is>
      </c>
      <c r="M296" s="5" t="n"/>
    </row>
    <row r="297">
      <c r="A297" t="inlineStr">
        <is>
          <t>YX-ENG-05</t>
        </is>
      </c>
      <c r="B297" t="inlineStr">
        <is>
          <t>M09</t>
        </is>
      </c>
      <c r="C297" t="inlineStr">
        <is>
          <t>YX-ENG</t>
        </is>
      </c>
      <c r="D297" t="inlineStr">
        <is>
          <t>6+</t>
        </is>
      </c>
      <c r="E297" s="5" t="inlineStr">
        <is>
          <t>eNPS = % promoters (9–10) − % detractors (0–6). It is shown only when the minimum group size is met.</t>
        </is>
      </c>
      <c r="F297" t="inlineStr">
        <is>
          <t>Tested, code not linked</t>
        </is>
      </c>
      <c r="H297">
        <f>IF(G297&lt;&gt;"",G297,F297)</f>
        <v/>
      </c>
      <c r="I297" t="n">
        <v>0</v>
      </c>
      <c r="J297" t="n">
        <v>1</v>
      </c>
      <c r="K297" t="n">
        <v>2</v>
      </c>
      <c r="L297" s="5" t="inlineStr">
        <is>
          <t>exam-app-org:packages/yx-ui/src/screens/growth/growth.test.tsx</t>
        </is>
      </c>
      <c r="M297" s="5" t="n"/>
    </row>
    <row r="298">
      <c r="A298" t="inlineStr">
        <is>
          <t>YX-ENG-06</t>
        </is>
      </c>
      <c r="B298" t="inlineStr">
        <is>
          <t>M09</t>
        </is>
      </c>
      <c r="C298" t="inlineStr">
        <is>
          <t>YX-ENG</t>
        </is>
      </c>
      <c r="D298" t="inlineStr">
        <is>
          <t>6+</t>
        </is>
      </c>
      <c r="E298" s="5" t="inlineStr">
        <is>
          <t>Kudos must name a company value. Nobody can give points to themselves or reward their own manager chain above the company limit. Points above the approval threshold need manager / HR approval (Q4).</t>
        </is>
      </c>
      <c r="F298" t="inlineStr">
        <is>
          <t>Tested, code not linked</t>
        </is>
      </c>
      <c r="H298">
        <f>IF(G298&lt;&gt;"",G298,F298)</f>
        <v/>
      </c>
      <c r="I298" t="n">
        <v>0</v>
      </c>
      <c r="J298" t="n">
        <v>1</v>
      </c>
      <c r="K298" t="n">
        <v>2</v>
      </c>
      <c r="L298" s="5" t="inlineStr">
        <is>
          <t>exam-app-org:packages/yx-ui/src/screens/growth/growth.test.tsx</t>
        </is>
      </c>
      <c r="M298" s="5" t="n"/>
    </row>
    <row r="299">
      <c r="A299" t="inlineStr">
        <is>
          <t>YX-ENG-07</t>
        </is>
      </c>
      <c r="B299" t="inlineStr">
        <is>
          <t>M09</t>
        </is>
      </c>
      <c r="C299" t="inlineStr">
        <is>
          <t>YX-ENG</t>
        </is>
      </c>
      <c r="D299" t="inlineStr">
        <is>
          <t>6+</t>
        </is>
      </c>
      <c r="E299" s="5" t="inlineStr">
        <is>
          <t>Reward redemptions paid as cash or vouchers are sent to M03 as a taxable perquisite / one-time pay according to P07 rules (e.g. the gift threshold).</t>
        </is>
      </c>
      <c r="F299" t="inlineStr">
        <is>
          <t>Tested, code not linked</t>
        </is>
      </c>
      <c r="H299">
        <f>IF(G299&lt;&gt;"",G299,F299)</f>
        <v/>
      </c>
      <c r="I299" t="n">
        <v>0</v>
      </c>
      <c r="J299" t="n">
        <v>1</v>
      </c>
      <c r="K299" t="n">
        <v>2</v>
      </c>
      <c r="L299" s="5" t="inlineStr">
        <is>
          <t>exam-app-org:packages/yx-ui/src/screens/growth/growth.test.tsx</t>
        </is>
      </c>
      <c r="M299" s="5" t="n"/>
    </row>
    <row r="300">
      <c r="A300" t="inlineStr">
        <is>
          <t>YX-ENG-08</t>
        </is>
      </c>
      <c r="B300" t="inlineStr">
        <is>
          <t>M09</t>
        </is>
      </c>
      <c r="C300" t="inlineStr">
        <is>
          <t>YX-ENG</t>
        </is>
      </c>
      <c r="D300" t="inlineStr">
        <is>
          <t>6+</t>
        </is>
      </c>
      <c r="E300" s="5" t="inlineStr">
        <is>
          <t>Celebrations respect each employee's opt-out and the P02 directory settings. Birthdays never show the year (Q5).</t>
        </is>
      </c>
      <c r="F300" t="inlineStr">
        <is>
          <t>Not started</t>
        </is>
      </c>
      <c r="H300">
        <f>IF(G300&lt;&gt;"",G300,F300)</f>
        <v/>
      </c>
      <c r="I300" t="n">
        <v>0</v>
      </c>
      <c r="J300" t="n">
        <v>0</v>
      </c>
      <c r="K300" t="n">
        <v>0</v>
      </c>
      <c r="L300" s="5" t="inlineStr"/>
      <c r="M300" s="5" t="n"/>
    </row>
    <row r="301">
      <c r="A301" t="inlineStr">
        <is>
          <t>YX-ENG-09</t>
        </is>
      </c>
      <c r="B301" t="inlineStr">
        <is>
          <t>M09</t>
        </is>
      </c>
      <c r="C301" t="inlineStr">
        <is>
          <t>YX-ENG</t>
        </is>
      </c>
      <c r="D301" t="inlineStr">
        <is>
          <t>6+</t>
        </is>
      </c>
      <c r="E301" s="5" t="inlineStr">
        <is>
          <t>Posts from employees who have left stay visible, attributed to "Former employee", unless removed by moderation.</t>
        </is>
      </c>
      <c r="F301" t="inlineStr">
        <is>
          <t>UI prototype only</t>
        </is>
      </c>
      <c r="H301">
        <f>IF(G301&lt;&gt;"",G301,F301)</f>
        <v/>
      </c>
      <c r="I301" t="n">
        <v>0</v>
      </c>
      <c r="J301" t="n">
        <v>0</v>
      </c>
      <c r="K301" t="n">
        <v>1</v>
      </c>
      <c r="L301" s="5" t="inlineStr"/>
      <c r="M301" s="5" t="n"/>
    </row>
    <row r="302">
      <c r="A302" t="inlineStr">
        <is>
          <t>YX-ENG-10</t>
        </is>
      </c>
      <c r="B302" t="inlineStr">
        <is>
          <t>M09</t>
        </is>
      </c>
      <c r="C302" t="inlineStr">
        <is>
          <t>YX-ENG</t>
        </is>
      </c>
      <c r="D302" t="inlineStr">
        <is>
          <t>6+</t>
        </is>
      </c>
      <c r="E302" s="5" t="inlineStr">
        <is>
          <t>Engagement analytics (active users, participation, recognition by value and team, eNPS trend) go through P09 metrics with small-group suppression.</t>
        </is>
      </c>
      <c r="F302" t="inlineStr">
        <is>
          <t>Not started</t>
        </is>
      </c>
      <c r="H302">
        <f>IF(G302&lt;&gt;"",G302,F302)</f>
        <v/>
      </c>
      <c r="I302" t="n">
        <v>0</v>
      </c>
      <c r="J302" t="n">
        <v>0</v>
      </c>
      <c r="K302" t="n">
        <v>0</v>
      </c>
      <c r="L302" s="5" t="inlineStr"/>
      <c r="M302" s="5" t="n"/>
    </row>
    <row r="303">
      <c r="A303" t="inlineStr">
        <is>
          <t>YX-ENG-11</t>
        </is>
      </c>
      <c r="B303" t="inlineStr">
        <is>
          <t>M09</t>
        </is>
      </c>
      <c r="C303" t="inlineStr">
        <is>
          <t>YX-ENG</t>
        </is>
      </c>
      <c r="D303" t="inlineStr">
        <is>
          <t>6+</t>
        </is>
      </c>
      <c r="E303" s="5" t="inlineStr">
        <is>
          <t>Candidate experience survey (gap-register tidy-up). Sent only for triggers the company enabled (starter: all off), once per candidate per trigger per application / drive, by email or the candidate portal / app (WhatsApp only with the candidate's channel opt-in, P04), after the step is complete, and never before a result or decision is released to the candidate. It is skippable, never affects scoring, stage, decision or ranking, and is never visible to interviewers, evaluators or reviewers. Anonymous mode (starter) stores responses as in YX-ENG-04 with coarse slice keys only (job family, stage,</t>
        </is>
      </c>
      <c r="F303" t="inlineStr">
        <is>
          <t>Not started</t>
        </is>
      </c>
      <c r="H303">
        <f>IF(G303&lt;&gt;"",G303,F303)</f>
        <v/>
      </c>
      <c r="I303" t="n">
        <v>0</v>
      </c>
      <c r="J303" t="n">
        <v>0</v>
      </c>
      <c r="K303" t="n">
        <v>0</v>
      </c>
      <c r="L303" s="5" t="inlineStr"/>
      <c r="M303" s="5" t="n"/>
    </row>
    <row r="304">
      <c r="A304" t="inlineStr">
        <is>
          <t>YX-ATS-01</t>
        </is>
      </c>
      <c r="B304" t="inlineStr">
        <is>
          <t>M10</t>
        </is>
      </c>
      <c r="C304" t="inlineStr">
        <is>
          <t>YX-ATS</t>
        </is>
      </c>
      <c r="D304" t="inlineStr">
        <is>
          <t>6+</t>
        </is>
      </c>
      <c r="E304" s="5" t="inlineStr">
        <is>
          <t>A requisition inside an approved headcount-plan line follows the short chain. "Outside plan", or pay above the plan budget, adds the extra approval step (Q1) (fixes U79).</t>
        </is>
      </c>
      <c r="F304" t="inlineStr">
        <is>
          <t>Tested, code not linked</t>
        </is>
      </c>
      <c r="H304">
        <f>IF(G304&lt;&gt;"",G304,F304)</f>
        <v/>
      </c>
      <c r="I304" t="n">
        <v>0</v>
      </c>
      <c r="J304" t="n">
        <v>1</v>
      </c>
      <c r="K304" t="n">
        <v>2</v>
      </c>
      <c r="L304" s="5" t="inlineStr">
        <is>
          <t>exam-app-org:packages/yx-ui/src/screens/hiring/hiring.test.tsx</t>
        </is>
      </c>
      <c r="M304" s="5" t="n"/>
    </row>
    <row r="305">
      <c r="A305" t="inlineStr">
        <is>
          <t>YX-ATS-02</t>
        </is>
      </c>
      <c r="B305" t="inlineStr">
        <is>
          <t>M10</t>
        </is>
      </c>
      <c r="C305" t="inlineStr">
        <is>
          <t>YX-ATS</t>
        </is>
      </c>
      <c r="D305" t="inlineStr">
        <is>
          <t>6+</t>
        </is>
      </c>
      <c r="E305" s="5" t="inlineStr">
        <is>
          <t>A job references P01 masters, not free text. Public career pages show only public fields, with ASCII slugs and tenant branding (fixes U77, U78).</t>
        </is>
      </c>
      <c r="F305" t="inlineStr">
        <is>
          <t>UI prototype only</t>
        </is>
      </c>
      <c r="H305">
        <f>IF(G305&lt;&gt;"",G305,F305)</f>
        <v/>
      </c>
      <c r="I305" t="n">
        <v>0</v>
      </c>
      <c r="J305" t="n">
        <v>0</v>
      </c>
      <c r="K305" t="n">
        <v>1</v>
      </c>
      <c r="L305" s="5" t="inlineStr"/>
      <c r="M305" s="5" t="n"/>
    </row>
    <row r="306">
      <c r="A306" t="inlineStr">
        <is>
          <t>YX-ATS-03</t>
        </is>
      </c>
      <c r="B306" t="inlineStr">
        <is>
          <t>M10</t>
        </is>
      </c>
      <c r="C306" t="inlineStr">
        <is>
          <t>YX-ATS</t>
        </is>
      </c>
      <c r="D306" t="inlineStr">
        <is>
          <t>6+</t>
        </is>
      </c>
      <c r="E306" s="5" t="inlineStr">
        <is>
          <t>One candidate record per person. A merge keeps both histories, chooses field values explicitly, and is audited.</t>
        </is>
      </c>
      <c r="F306" t="inlineStr">
        <is>
          <t>UI prototype only</t>
        </is>
      </c>
      <c r="H306">
        <f>IF(G306&lt;&gt;"",G306,F306)</f>
        <v/>
      </c>
      <c r="I306" t="n">
        <v>0</v>
      </c>
      <c r="J306" t="n">
        <v>0</v>
      </c>
      <c r="K306" t="n">
        <v>1</v>
      </c>
      <c r="L306" s="5" t="inlineStr"/>
      <c r="M306" s="5" t="n"/>
    </row>
    <row r="307">
      <c r="A307" t="inlineStr">
        <is>
          <t>YX-ATS-04</t>
        </is>
      </c>
      <c r="B307" t="inlineStr">
        <is>
          <t>M10</t>
        </is>
      </c>
      <c r="C307" t="inlineStr">
        <is>
          <t>YX-ATS</t>
        </is>
      </c>
      <c r="D307" t="inlineStr">
        <is>
          <t>6+</t>
        </is>
      </c>
      <c r="E307" s="5" t="inlineStr">
        <is>
          <t>Scorecards hold per-skill ratings against a pass bar. The panel's recommendation and the next-step prompt appear on submit (fixes U82).</t>
        </is>
      </c>
      <c r="F307" t="inlineStr">
        <is>
          <t>Tested, code not linked</t>
        </is>
      </c>
      <c r="H307">
        <f>IF(G307&lt;&gt;"",G307,F307)</f>
        <v/>
      </c>
      <c r="I307" t="n">
        <v>0</v>
      </c>
      <c r="J307" t="n">
        <v>1</v>
      </c>
      <c r="K307" t="n">
        <v>1</v>
      </c>
      <c r="L307" s="5" t="inlineStr">
        <is>
          <t>exam-app-org:packages/yx-ui/src/screens/hiring/hiring.test.tsx</t>
        </is>
      </c>
      <c r="M307" s="5" t="n"/>
    </row>
    <row r="308">
      <c r="A308" t="inlineStr">
        <is>
          <t>YX-ATS-05</t>
        </is>
      </c>
      <c r="B308" t="inlineStr">
        <is>
          <t>M10</t>
        </is>
      </c>
      <c r="C308" t="inlineStr">
        <is>
          <t>YX-ATS</t>
        </is>
      </c>
      <c r="D308" t="inlineStr">
        <is>
          <t>6+</t>
        </is>
      </c>
      <c r="E308" s="5" t="inlineStr">
        <is>
          <t>AI interview scores are advisory. Every AI-scored candidate is reviewed by a human before rejection or progression. There is never an automatic reject (Q4). The video / voice recording and face match stay in-region on the proctoring engine; only the text transcript (no face or voice data) is sent to external AI for scoring (R1; P10 YX-AI-01 exception).</t>
        </is>
      </c>
      <c r="F308" t="inlineStr">
        <is>
          <t>UI prototype only</t>
        </is>
      </c>
      <c r="H308">
        <f>IF(G308&lt;&gt;"",G308,F308)</f>
        <v/>
      </c>
      <c r="I308" t="n">
        <v>0</v>
      </c>
      <c r="J308" t="n">
        <v>0</v>
      </c>
      <c r="K308" t="n">
        <v>1</v>
      </c>
      <c r="L308" s="5" t="inlineStr"/>
      <c r="M308" s="5" t="n"/>
    </row>
    <row r="309">
      <c r="A309" t="inlineStr">
        <is>
          <t>YX-ATS-06</t>
        </is>
      </c>
      <c r="B309" t="inlineStr">
        <is>
          <t>M10</t>
        </is>
      </c>
      <c r="C309" t="inlineStr">
        <is>
          <t>YX-ATS</t>
        </is>
      </c>
      <c r="D309" t="inlineStr">
        <is>
          <t>6+</t>
        </is>
      </c>
      <c r="E309" s="5" t="inlineStr">
        <is>
          <t>An offer's compensation comes from an M03 template. A CTC outside the grade's pay range needs extra approval (Q3) (fixes U83).</t>
        </is>
      </c>
      <c r="F309" t="inlineStr">
        <is>
          <t>Tested, code not linked</t>
        </is>
      </c>
      <c r="H309">
        <f>IF(G309&lt;&gt;"",G309,F309)</f>
        <v/>
      </c>
      <c r="I309" t="n">
        <v>0</v>
      </c>
      <c r="J309" t="n">
        <v>1</v>
      </c>
      <c r="K309" t="n">
        <v>2</v>
      </c>
      <c r="L309" s="5" t="inlineStr">
        <is>
          <t>exam-app-org:packages/yx-ui/src/screens/hiring/hiring.test.tsx</t>
        </is>
      </c>
      <c r="M309" s="5" t="n"/>
    </row>
    <row r="310">
      <c r="A310" t="inlineStr">
        <is>
          <t>YX-ATS-07</t>
        </is>
      </c>
      <c r="B310" t="inlineStr">
        <is>
          <t>M10</t>
        </is>
      </c>
      <c r="C310" t="inlineStr">
        <is>
          <t>YX-ATS</t>
        </is>
      </c>
      <c r="D310" t="inlineStr">
        <is>
          <t>6+</t>
        </is>
      </c>
      <c r="E310" s="5" t="inlineStr">
        <is>
          <t>On acceptance (automatic mode) or when HR clicks Create employee in the "Ready to onboard" queue (manual mode), per entity (Q2), one transaction first matches the candidate against employees on PAN, email and mobile, then branches by person type (§3 hand-off matrix, D3): a new person gets the employee (status: pre-boarding), the employment and assignment (P01), a draft compensation (dated on joining, P06) and pre-boarding tasks (M01); an alumni rehire gets a new employment on the existing employee (rehire_of, P01 YX-ORG-19); an internal candidate gets a P06 transfer / promotion; a contractor g</t>
        </is>
      </c>
      <c r="F310" t="inlineStr">
        <is>
          <t>Not started</t>
        </is>
      </c>
      <c r="H310">
        <f>IF(G310&lt;&gt;"",G310,F310)</f>
        <v/>
      </c>
      <c r="I310" t="n">
        <v>0</v>
      </c>
      <c r="J310" t="n">
        <v>0</v>
      </c>
      <c r="K310" t="n">
        <v>0</v>
      </c>
      <c r="L310" s="5" t="inlineStr"/>
      <c r="M310" s="5" t="n"/>
    </row>
    <row r="311">
      <c r="A311" t="inlineStr">
        <is>
          <t>YX-ATS-08</t>
        </is>
      </c>
      <c r="B311" t="inlineStr">
        <is>
          <t>M10</t>
        </is>
      </c>
      <c r="C311" t="inlineStr">
        <is>
          <t>YX-ATS</t>
        </is>
      </c>
      <c r="D311" t="inlineStr">
        <is>
          <t>6+</t>
        </is>
      </c>
      <c r="E311" s="5" t="inlineStr">
        <is>
          <t>BGV is triggered only after the candidate gives explicit consent. Results are visible only to HR and recruiters in scope (Q5).</t>
        </is>
      </c>
      <c r="F311" t="inlineStr">
        <is>
          <t>Not started</t>
        </is>
      </c>
      <c r="H311">
        <f>IF(G311&lt;&gt;"",G311,F311)</f>
        <v/>
      </c>
      <c r="I311" t="n">
        <v>0</v>
      </c>
      <c r="J311" t="n">
        <v>0</v>
      </c>
      <c r="K311" t="n">
        <v>0</v>
      </c>
      <c r="L311" s="5" t="inlineStr"/>
      <c r="M311" s="5" t="n"/>
    </row>
    <row r="312">
      <c r="A312" t="inlineStr">
        <is>
          <t>YX-ATS-09</t>
        </is>
      </c>
      <c r="B312" t="inlineStr">
        <is>
          <t>M10</t>
        </is>
      </c>
      <c r="C312" t="inlineStr">
        <is>
          <t>YX-ATS</t>
        </is>
      </c>
      <c r="D312" t="inlineStr">
        <is>
          <t>6+</t>
        </is>
      </c>
      <c r="E312" s="5" t="inlineStr">
        <is>
          <t>Candidates not hired are anonymised when their retention period ends, unless they renew consent (Q6). Erase requests are handled within the legal time limit.</t>
        </is>
      </c>
      <c r="F312" t="inlineStr">
        <is>
          <t>Not started</t>
        </is>
      </c>
      <c r="H312">
        <f>IF(G312&lt;&gt;"",G312,F312)</f>
        <v/>
      </c>
      <c r="I312" t="n">
        <v>0</v>
      </c>
      <c r="J312" t="n">
        <v>0</v>
      </c>
      <c r="K312" t="n">
        <v>0</v>
      </c>
      <c r="L312" s="5" t="inlineStr"/>
      <c r="M312" s="5" t="n"/>
    </row>
    <row r="313">
      <c r="A313" t="inlineStr">
        <is>
          <t>YX-ATS-10</t>
        </is>
      </c>
      <c r="B313" t="inlineStr">
        <is>
          <t>M10</t>
        </is>
      </c>
      <c r="C313" t="inlineStr">
        <is>
          <t>YX-ATS</t>
        </is>
      </c>
      <c r="D313" t="inlineStr">
        <is>
          <t>6+</t>
        </is>
      </c>
      <c r="E313" s="5" t="inlineStr">
        <is>
          <t>A placement creates a deployed-contractor employment. Client-approved timesheets become invoice lines at the bill rate, and payroll pays the contractor through M03 rate-based compensation (hourly / day rate from the placement, OT / holiday multipliers from the rate card) using the same client-approved timesheets as the input. Payslip lines carry the placement_id, so margin = bill − pay − statutory cost is computed per placement (Q7, D4).</t>
        </is>
      </c>
      <c r="F313" t="inlineStr">
        <is>
          <t>UI prototype only</t>
        </is>
      </c>
      <c r="H313">
        <f>IF(G313&lt;&gt;"",G313,F313)</f>
        <v/>
      </c>
      <c r="I313" t="n">
        <v>0</v>
      </c>
      <c r="J313" t="n">
        <v>0</v>
      </c>
      <c r="K313" t="n">
        <v>1</v>
      </c>
      <c r="L313" s="5" t="inlineStr"/>
      <c r="M313" s="5" t="n"/>
    </row>
    <row r="314">
      <c r="A314" t="inlineStr">
        <is>
          <t>YX-ATS-11</t>
        </is>
      </c>
      <c r="B314" t="inlineStr">
        <is>
          <t>M10</t>
        </is>
      </c>
      <c r="C314" t="inlineStr">
        <is>
          <t>YX-ATS</t>
        </is>
      </c>
      <c r="D314" t="inlineStr">
        <is>
          <t>6+</t>
        </is>
      </c>
      <c r="E314" s="5" t="inlineStr">
        <is>
          <t>Client contacts see only their own client's jobs, submissions, placements, invoices and tickets (Q8).</t>
        </is>
      </c>
      <c r="F314" t="inlineStr">
        <is>
          <t>Not started</t>
        </is>
      </c>
      <c r="H314">
        <f>IF(G314&lt;&gt;"",G314,F314)</f>
        <v/>
      </c>
      <c r="I314" t="n">
        <v>0</v>
      </c>
      <c r="J314" t="n">
        <v>0</v>
      </c>
      <c r="K314" t="n">
        <v>0</v>
      </c>
      <c r="L314" s="5" t="inlineStr"/>
      <c r="M314" s="5" t="n"/>
    </row>
    <row r="315">
      <c r="A315" t="inlineStr">
        <is>
          <t>YX-ATS-12</t>
        </is>
      </c>
      <c r="B315" t="inlineStr">
        <is>
          <t>M10</t>
        </is>
      </c>
      <c r="C315" t="inlineStr">
        <is>
          <t>YX-ATS</t>
        </is>
      </c>
      <c r="D315" t="inlineStr">
        <is>
          <t>6+</t>
        </is>
      </c>
      <c r="E315" s="5" t="inlineStr">
        <is>
          <t>Referral bonus eligibility (e.g. the referred person completes 90 days) triggers a one-time pay in M03 automatically.</t>
        </is>
      </c>
      <c r="F315" t="inlineStr">
        <is>
          <t>Tested, code not linked</t>
        </is>
      </c>
      <c r="H315">
        <f>IF(G315&lt;&gt;"",G315,F315)</f>
        <v/>
      </c>
      <c r="I315" t="n">
        <v>0</v>
      </c>
      <c r="J315" t="n">
        <v>1</v>
      </c>
      <c r="K315" t="n">
        <v>1</v>
      </c>
      <c r="L315" s="5" t="inlineStr">
        <is>
          <t>exam-app-org:packages/yx-ui/src/screens/hiring/hiring.test.tsx</t>
        </is>
      </c>
      <c r="M315" s="5" t="n"/>
    </row>
    <row r="316">
      <c r="A316" t="inlineStr">
        <is>
          <t>YX-ATS-13</t>
        </is>
      </c>
      <c r="B316" t="inlineStr">
        <is>
          <t>M10</t>
        </is>
      </c>
      <c r="C316" t="inlineStr">
        <is>
          <t>YX-ATS</t>
        </is>
      </c>
      <c r="D316" t="inlineStr">
        <is>
          <t>6+</t>
        </is>
      </c>
      <c r="E316" s="5" t="inlineStr">
        <is>
          <t>An internal hire marks the requisition filled (and draws the plan line) on acceptance without creating an employee or employment; the move is a P06 change on the existing record, effective on the release date agreed with the current manager.</t>
        </is>
      </c>
      <c r="F316" t="inlineStr">
        <is>
          <t>Not started</t>
        </is>
      </c>
      <c r="H316">
        <f>IF(G316&lt;&gt;"",G316,F316)</f>
        <v/>
      </c>
      <c r="I316" t="n">
        <v>0</v>
      </c>
      <c r="J316" t="n">
        <v>0</v>
      </c>
      <c r="K316" t="n">
        <v>0</v>
      </c>
      <c r="L316" s="5" t="inlineStr"/>
      <c r="M316" s="5" t="n"/>
    </row>
    <row r="317">
      <c r="A317" t="inlineStr">
        <is>
          <t>YX-ATS-14</t>
        </is>
      </c>
      <c r="B317" t="inlineStr">
        <is>
          <t>M10</t>
        </is>
      </c>
      <c r="C317" t="inlineStr">
        <is>
          <t>YX-ATS</t>
        </is>
      </c>
      <c r="D317" t="inlineStr">
        <is>
          <t>6+</t>
        </is>
      </c>
      <c r="E317" s="5" t="inlineStr">
        <is>
          <t>An offer that is reneged, not joined or withdrawn after acceptance (withdrawal is manual, with a mandatory reason and a P05 letter) triggers the M01 pre-boarding unwind (YX-LC-12): the headcount-plan line is released and the requisition reopens with its pipeline intact. Every decline, renege or withdrawal records a reason from the fixed decline-reason list.</t>
        </is>
      </c>
      <c r="F317" t="inlineStr">
        <is>
          <t>Not started</t>
        </is>
      </c>
      <c r="H317">
        <f>IF(G317&lt;&gt;"",G317,F317)</f>
        <v/>
      </c>
      <c r="I317" t="n">
        <v>0</v>
      </c>
      <c r="J317" t="n">
        <v>0</v>
      </c>
      <c r="K317" t="n">
        <v>0</v>
      </c>
      <c r="L317" s="5" t="inlineStr"/>
      <c r="M317" s="5" t="n"/>
    </row>
    <row r="318">
      <c r="A318" t="inlineStr">
        <is>
          <t>YX-ATS-15</t>
        </is>
      </c>
      <c r="B318" t="inlineStr">
        <is>
          <t>M10</t>
        </is>
      </c>
      <c r="C318" t="inlineStr">
        <is>
          <t>YX-ATS</t>
        </is>
      </c>
      <c r="D318" t="inlineStr">
        <is>
          <t>6+</t>
        </is>
      </c>
      <c r="E318" s="5" t="inlineStr">
        <is>
          <t>Placement lifecycle (E17). Placement extension and early end are dated changes (P06) with a reason; the client's contract-end notice (date received, notice days) is recorded and the placement end alerts the account team N days ahead. On end, ats.placement.ended fires and the contractor moves to bench status. Bench follows the company's bench policy (D17; YukthiX ships a labelled starter template only): bench pay % (fed to M03), max bench days, then redeploy or an exit review (never an automatic exit). Redeploy from bench starts a new placement on the same employment.</t>
        </is>
      </c>
      <c r="F318" t="inlineStr">
        <is>
          <t>UI prototype only</t>
        </is>
      </c>
      <c r="H318">
        <f>IF(G318&lt;&gt;"",G318,F318)</f>
        <v/>
      </c>
      <c r="I318" t="n">
        <v>0</v>
      </c>
      <c r="J318" t="n">
        <v>0</v>
      </c>
      <c r="K318" t="n">
        <v>1</v>
      </c>
      <c r="L318" s="5" t="inlineStr"/>
      <c r="M318" s="5" t="n"/>
    </row>
    <row r="319">
      <c r="A319" t="inlineStr">
        <is>
          <t>YX-ATS-16</t>
        </is>
      </c>
      <c r="B319" t="inlineStr">
        <is>
          <t>M10</t>
        </is>
      </c>
      <c r="C319" t="inlineStr">
        <is>
          <t>YX-ATS</t>
        </is>
      </c>
      <c r="D319" t="inlineStr">
        <is>
          <t>6+</t>
        </is>
      </c>
      <c r="E319" s="5" t="inlineStr">
        <is>
          <t>Collections (E17). Each client has a receivables ledger with ageing buckets (company-defined; starter template 0–30 / 31–60 / 61–90 / 90+). Dunning reminders go to the client's billing contacts on the company's schedule. Receipts can be part payments allocated across invoices. Client-side TDS (194C / 194J, rate from P07) deducted by the client is recorded as TDS receivable and reconciled against 26AS; unmatched amounts are flagged. Disputes and short payments are logged per invoice line with a reason; credit notes are matched to the invoice they correct. The client can add a PO number to an in</t>
        </is>
      </c>
      <c r="F319" t="inlineStr">
        <is>
          <t>Not started</t>
        </is>
      </c>
      <c r="H319">
        <f>IF(G319&lt;&gt;"",G319,F319)</f>
        <v/>
      </c>
      <c r="I319" t="n">
        <v>0</v>
      </c>
      <c r="J319" t="n">
        <v>0</v>
      </c>
      <c r="K319" t="n">
        <v>0</v>
      </c>
      <c r="L319" s="5" t="inlineStr"/>
      <c r="M319" s="5" t="n"/>
    </row>
    <row r="320">
      <c r="A320" t="inlineStr">
        <is>
          <t>YX-ATS-17</t>
        </is>
      </c>
      <c r="B320" t="inlineStr">
        <is>
          <t>M10</t>
        </is>
      </c>
      <c r="C320" t="inlineStr">
        <is>
          <t>YX-ATS</t>
        </is>
      </c>
      <c r="D320" t="inlineStr">
        <is>
          <t>6+</t>
        </is>
      </c>
      <c r="E320" s="5" t="inlineStr">
        <is>
          <t>Offer versions (E18). A revised offer is a new version that supersedes the previous one; if the CTC or grade changed, it goes through approval again (YX-ATS-06). The superseded letter is withdrawn in P05 and can't be accepted. Declines use the decline-reason list (§3, D3).</t>
        </is>
      </c>
      <c r="F320" t="inlineStr">
        <is>
          <t>UI prototype only</t>
        </is>
      </c>
      <c r="H320">
        <f>IF(G320&lt;&gt;"",G320,F320)</f>
        <v/>
      </c>
      <c r="I320" t="n">
        <v>0</v>
      </c>
      <c r="J320" t="n">
        <v>0</v>
      </c>
      <c r="K320" t="n">
        <v>2</v>
      </c>
      <c r="L320" s="5" t="inlineStr"/>
      <c r="M320" s="5" t="n"/>
    </row>
    <row r="321">
      <c r="A321" t="inlineStr">
        <is>
          <t>YX-ATS-18</t>
        </is>
      </c>
      <c r="B321" t="inlineStr">
        <is>
          <t>M10</t>
        </is>
      </c>
      <c r="C321" t="inlineStr">
        <is>
          <t>YX-ATS</t>
        </is>
      </c>
      <c r="D321" t="inlineStr">
        <is>
          <t>6+</t>
        </is>
      </c>
      <c r="E321" s="5" t="inlineStr">
        <is>
          <t>Campus offers (E18). A campus hire can get an LOI (letter of intent) first and the offer later, or the offer months ahead. Long pre-boarding is a candidate state (not an employee, not billed) with scheduled touchpoints; campus hires are grouped into a joining batch with one joining date that can be moved for the whole batch.</t>
        </is>
      </c>
      <c r="F321" t="inlineStr">
        <is>
          <t>Not started</t>
        </is>
      </c>
      <c r="H321">
        <f>IF(G321&lt;&gt;"",G321,F321)</f>
        <v/>
      </c>
      <c r="I321" t="n">
        <v>0</v>
      </c>
      <c r="J321" t="n">
        <v>0</v>
      </c>
      <c r="K321" t="n">
        <v>0</v>
      </c>
      <c r="L321" s="5" t="inlineStr"/>
      <c r="M321" s="5" t="n"/>
    </row>
    <row r="322">
      <c r="A322" t="inlineStr">
        <is>
          <t>YX-ATS-19</t>
        </is>
      </c>
      <c r="B322" t="inlineStr">
        <is>
          <t>M10</t>
        </is>
      </c>
      <c r="C322" t="inlineStr">
        <is>
          <t>YX-ATS</t>
        </is>
      </c>
      <c r="D322" t="inlineStr">
        <is>
          <t>6+</t>
        </is>
      </c>
      <c r="E322" s="5" t="inlineStr">
        <is>
          <t>Minors (law; DPDP s.9; E16). Every candidate gives a date of birth. An under-18 candidate needs verifiable parental / guardian consent before processing continues; there is no AI interview (YX-ATS-05) and no profiling (AI fit score, semantic ranking, behavioural signals) for them. The same gate applies to assessments in T05 (YX-EVAL-13). This is a legal rule and can't be switched off.</t>
        </is>
      </c>
      <c r="F322" t="inlineStr">
        <is>
          <t>Not started</t>
        </is>
      </c>
      <c r="H322">
        <f>IF(G322&lt;&gt;"",G322,F322)</f>
        <v/>
      </c>
      <c r="I322" t="n">
        <v>0</v>
      </c>
      <c r="J322" t="n">
        <v>0</v>
      </c>
      <c r="K322" t="n">
        <v>0</v>
      </c>
      <c r="L322" s="5" t="inlineStr"/>
      <c r="M322" s="5" t="n"/>
    </row>
    <row r="323">
      <c r="A323" t="inlineStr">
        <is>
          <t>YX-ATS-20</t>
        </is>
      </c>
      <c r="B323" t="inlineStr">
        <is>
          <t>M10</t>
        </is>
      </c>
      <c r="C323" t="inlineStr">
        <is>
          <t>YX-ATS</t>
        </is>
      </c>
      <c r="D323" t="inlineStr">
        <is>
          <t>6+</t>
        </is>
      </c>
      <c r="E323" s="5" t="inlineStr">
        <is>
          <t>Campaigns and nurture sequences (B8). A message goes to a candidate only if they hold a current nurture consent for that channel (email or WhatsApp opt-in, recorded with source, time and text version; WhatsApp uses approved templates on the company's own number, P04). Opt-out (unsubscribe link, "STOP") takes effect at once for that channel and is honoured by every campaign. A sequence stops for a candidate on reply, application, hire, opt-out or retention end. Under-18 candidates are never enrolled (YX-ATS-19). Sending limits and quiet hours follow P04. WhatsApp / SMS message charges are pass-</t>
        </is>
      </c>
      <c r="F323" t="inlineStr">
        <is>
          <t>Tested, code not linked</t>
        </is>
      </c>
      <c r="H323">
        <f>IF(G323&lt;&gt;"",G323,F323)</f>
        <v/>
      </c>
      <c r="I323" t="n">
        <v>0</v>
      </c>
      <c r="J323" t="n">
        <v>1</v>
      </c>
      <c r="K323" t="n">
        <v>2</v>
      </c>
      <c r="L323" s="5" t="inlineStr">
        <is>
          <t>exam-app-org:packages/yx-ui/src/screens/hiring/hiring.test.tsx</t>
        </is>
      </c>
      <c r="M323" s="5" t="n"/>
    </row>
    <row r="324">
      <c r="A324" t="inlineStr">
        <is>
          <t>YX-ATS-21</t>
        </is>
      </c>
      <c r="B324" t="inlineStr">
        <is>
          <t>M10</t>
        </is>
      </c>
      <c r="C324" t="inlineStr">
        <is>
          <t>YX-ATS</t>
        </is>
      </c>
      <c r="D324" t="inlineStr">
        <is>
          <t>6+</t>
        </is>
      </c>
      <c r="E324" s="5" t="inlineStr">
        <is>
          <t>Pools and hotlists (B8). Dynamic pools re-evaluate their saved search nightly; membership never extends a candidate's retention. Before retention ends the consent-renewal email (Q6) is sent; renewal keeps the candidate in their pools, otherwise they are anonymised and leave every pool and sequence (YX-ATS-09).</t>
        </is>
      </c>
      <c r="F324" t="inlineStr">
        <is>
          <t>Not started</t>
        </is>
      </c>
      <c r="H324">
        <f>IF(G324&lt;&gt;"",G324,F324)</f>
        <v/>
      </c>
      <c r="I324" t="n">
        <v>0</v>
      </c>
      <c r="J324" t="n">
        <v>0</v>
      </c>
      <c r="K324" t="n">
        <v>0</v>
      </c>
      <c r="L324" s="5" t="inlineStr"/>
      <c r="M324" s="5" t="n"/>
    </row>
    <row r="325">
      <c r="A325" t="inlineStr">
        <is>
          <t>YX-ATS-22</t>
        </is>
      </c>
      <c r="B325" t="inlineStr">
        <is>
          <t>M10</t>
        </is>
      </c>
      <c r="C325" t="inlineStr">
        <is>
          <t>YX-ATS</t>
        </is>
      </c>
      <c r="D325" t="inlineStr">
        <is>
          <t>6+</t>
        </is>
      </c>
      <c r="E325" s="5" t="inlineStr">
        <is>
          <t xml:space="preserve">Sourcing browser extension (B8). A Chrome / Edge extension captures one profile per explicit recruiter click from the page the recruiter is viewing in their own logged-in LinkedIn or Naukri session; no bulk crawling or background scraping, and the company is responsible for its use under the site's terms. The capture is dedup-checked (YX-ATS-03) and saved as sourced – pending consent: only a first recruiter outreach carrying the privacy notice is allowed; no AI scoring, semantic ranking, campaigns or submission until the candidate consents. With no consent within the company's window (starter </t>
        </is>
      </c>
      <c r="F325" t="inlineStr">
        <is>
          <t>Not started</t>
        </is>
      </c>
      <c r="H325">
        <f>IF(G325&lt;&gt;"",G325,F325)</f>
        <v/>
      </c>
      <c r="I325" t="n">
        <v>0</v>
      </c>
      <c r="J325" t="n">
        <v>0</v>
      </c>
      <c r="K325" t="n">
        <v>0</v>
      </c>
      <c r="L325" s="5" t="inlineStr"/>
      <c r="M325" s="5" t="n"/>
    </row>
    <row r="326">
      <c r="A326" t="inlineStr">
        <is>
          <t>YX-ATS-23</t>
        </is>
      </c>
      <c r="B326" t="inlineStr">
        <is>
          <t>M10</t>
        </is>
      </c>
      <c r="C326" t="inlineStr">
        <is>
          <t>YX-ATS</t>
        </is>
      </c>
      <c r="D326" t="inlineStr">
        <is>
          <t>6+</t>
        </is>
      </c>
      <c r="E326" s="5" t="inlineStr">
        <is>
          <t xml:space="preserve">Job-board connectors (B8; D18). Naukri, Shine, Foundit, LinkedIn and Indeed connect with the company's own board accounts; posting fees, job slots and credits are the company's contract with the board (the connector is included). A job can be posted, refreshed and closed from YukthiX; closing or filling the requisition closes every live posting. Applicants are pulled into the pipeline with the board as source, dedup-checked, and shown the standard privacy notice and consent on first contact. Board costs are entered (or imported where the board provides them) into recruiting_costs for cost per </t>
        </is>
      </c>
      <c r="F326" t="inlineStr">
        <is>
          <t>UI prototype only</t>
        </is>
      </c>
      <c r="H326">
        <f>IF(G326&lt;&gt;"",G326,F326)</f>
        <v/>
      </c>
      <c r="I326" t="n">
        <v>0</v>
      </c>
      <c r="J326" t="n">
        <v>0</v>
      </c>
      <c r="K326" t="n">
        <v>1</v>
      </c>
      <c r="L326" s="5" t="inlineStr"/>
      <c r="M326" s="5" t="n"/>
    </row>
    <row r="327">
      <c r="A327" t="inlineStr">
        <is>
          <t>YX-ATS-24</t>
        </is>
      </c>
      <c r="B327" t="inlineStr">
        <is>
          <t>M10</t>
        </is>
      </c>
      <c r="C327" t="inlineStr">
        <is>
          <t>YX-ATS</t>
        </is>
      </c>
      <c r="D327" t="inlineStr">
        <is>
          <t>6+</t>
        </is>
      </c>
      <c r="E327" s="5" t="inlineStr">
        <is>
          <t>Panel auto-slotting (B8). For a round, YukthiX reads free / busy for every panel member (P10 calendar connector) and finds common slots within the company's rules: working hours and time zone of each person, buffer between interviews, maximum interviews per interviewer per day / week, required vs optional panelists, and the candidate's stated availability. It proposes the best N slots; the recruiter confirms one or offers them to the candidate for self-booking. Availability is re-checked at booking; the meeting and invites are created through the connector. A panelist who declines triggers a r</t>
        </is>
      </c>
      <c r="F327" t="inlineStr">
        <is>
          <t>Tested, code not linked</t>
        </is>
      </c>
      <c r="H327">
        <f>IF(G327&lt;&gt;"",G327,F327)</f>
        <v/>
      </c>
      <c r="I327" t="n">
        <v>0</v>
      </c>
      <c r="J327" t="n">
        <v>1</v>
      </c>
      <c r="K327" t="n">
        <v>1</v>
      </c>
      <c r="L327" s="5" t="inlineStr">
        <is>
          <t>exam-app-org:packages/yx-ui/src/screens/hiring/hiring.test.tsx</t>
        </is>
      </c>
      <c r="M327" s="5" t="n"/>
    </row>
    <row r="328">
      <c r="A328" t="inlineStr">
        <is>
          <t>YX-ATS-25</t>
        </is>
      </c>
      <c r="B328" t="inlineStr">
        <is>
          <t>M10</t>
        </is>
      </c>
      <c r="C328" t="inlineStr">
        <is>
          <t>YX-ATS</t>
        </is>
      </c>
      <c r="D328" t="inlineStr">
        <is>
          <t>6+</t>
        </is>
      </c>
      <c r="E328" s="5" t="inlineStr">
        <is>
          <t>Vendor register and portal (C7). A vendor is active only with a signed agreement (P05), PAN, verified bank account (P10) and TDS section, held once in the M03 consultant register (firm type) so payouts reuse M03 (YX-PAY-37). Vendor contacts log in through the limited external login (P02 §4.7: OTP, not billed seats, expiring, audited, YX-SEC-21) and see only their own vendor's job shares, submissions and their statuses, placements, timesheets, invoices, payments and scorecard. They never see other vendors, candidates submitted by others, bill rates or margins. A vendor cannot re-share a job.</t>
        </is>
      </c>
      <c r="F328" t="inlineStr">
        <is>
          <t>UI prototype only</t>
        </is>
      </c>
      <c r="H328">
        <f>IF(G328&lt;&gt;"",G328,F328)</f>
        <v/>
      </c>
      <c r="I328" t="n">
        <v>0</v>
      </c>
      <c r="J328" t="n">
        <v>0</v>
      </c>
      <c r="K328" t="n">
        <v>1</v>
      </c>
      <c r="L328" s="5" t="inlineStr"/>
      <c r="M328" s="5" t="n"/>
    </row>
    <row r="329">
      <c r="A329" t="inlineStr">
        <is>
          <t>YX-ATS-26</t>
        </is>
      </c>
      <c r="B329" t="inlineStr">
        <is>
          <t>M10</t>
        </is>
      </c>
      <c r="C329" t="inlineStr">
        <is>
          <t>YX-ATS</t>
        </is>
      </c>
      <c r="D329" t="inlineStr">
        <is>
          <t>6+</t>
        </is>
      </c>
      <c r="E329" s="5" t="inlineStr">
        <is>
          <t>Job sharing with rate caps (C7). A recruiter shares a job with named vendors, setting a rate cap (maximum vendor rate; suggested as bill rate − target margin from the company's margin policy, D17), a maximum number of submissions per vendor and an expiry. The vendor sees only the shared fields (client name masked if chosen). A submission quoting above the cap is blocked unless the recruiter approves an exception with a reason (P03). Withdrawing or filling the job closes all shares and notifies the vendors.</t>
        </is>
      </c>
      <c r="F329" t="inlineStr">
        <is>
          <t>Tested, code not linked</t>
        </is>
      </c>
      <c r="H329">
        <f>IF(G329&lt;&gt;"",G329,F329)</f>
        <v/>
      </c>
      <c r="I329" t="n">
        <v>0</v>
      </c>
      <c r="J329" t="n">
        <v>1</v>
      </c>
      <c r="K329" t="n">
        <v>1</v>
      </c>
      <c r="L329" s="5" t="inlineStr">
        <is>
          <t>exam-app-org:packages/yx-ui/src/screens/hiring/hiring.test.tsx</t>
        </is>
      </c>
      <c r="M329" s="5" t="n"/>
    </row>
    <row r="330">
      <c r="A330" t="inlineStr">
        <is>
          <t>YX-ATS-27</t>
        </is>
      </c>
      <c r="B330" t="inlineStr">
        <is>
          <t>M10</t>
        </is>
      </c>
      <c r="C330" t="inlineStr">
        <is>
          <t>YX-ATS</t>
        </is>
      </c>
      <c r="D330" t="inlineStr">
        <is>
          <t>6+</t>
        </is>
      </c>
      <c r="E330" s="5" t="inlineStr">
        <is>
          <t>Vendor submissions and duplicate check (C7). Each submission needs the vendor's right-to-represent confirmation and the candidate's consent (captured by a candidate link, P02). It is checked against all candidates (email, phone, embedding similarity, YX-ATS-03). If the candidate is already in the job's pipeline or was submitted for it by anyone (own recruiter or another vendor) within the ownership window (company sets; starter template 90 days), the submission is marked duplicate and ownership stays with the first valid source; the vendor sees "duplicate — not accepted" without learning who h</t>
        </is>
      </c>
      <c r="F330" t="inlineStr">
        <is>
          <t>Not started</t>
        </is>
      </c>
      <c r="H330">
        <f>IF(G330&lt;&gt;"",G330,F330)</f>
        <v/>
      </c>
      <c r="I330" t="n">
        <v>0</v>
      </c>
      <c r="J330" t="n">
        <v>0</v>
      </c>
      <c r="K330" t="n">
        <v>0</v>
      </c>
      <c r="L330" s="5" t="inlineStr"/>
      <c r="M330" s="5" t="n"/>
    </row>
    <row r="331">
      <c r="A331" t="inlineStr">
        <is>
          <t>YX-ATS-28</t>
        </is>
      </c>
      <c r="B331" t="inlineStr">
        <is>
          <t>M10</t>
        </is>
      </c>
      <c r="C331" t="inlineStr">
        <is>
          <t>YX-ATS</t>
        </is>
      </c>
      <c r="D331" t="inlineStr">
        <is>
          <t>6+</t>
        </is>
      </c>
      <c r="E331" s="5" t="inlineStr">
        <is>
          <t>Vendor rate cards and margins (C7). A vendor-supplied placement takes the vendor rate from the vendor rate card (or the accepted quote within the cap) as a dated value (P06). It creates no HRMS employment and no payroll: the worker is a vendor_worker with a limited timesheet login (or the vendor contact enters timesheets), and the client approves them as for any placement (YX-ATS-11). The client invoice is unchanged (YX-ATS-10); margin for these placements = bill − vendor rate (no statutory cost), shown in the same margin report. Contract-labour (CLRA) compliance for vendor workers is out of t</t>
        </is>
      </c>
      <c r="F331" t="inlineStr">
        <is>
          <t>Not started</t>
        </is>
      </c>
      <c r="H331">
        <f>IF(G331&lt;&gt;"",G331,F331)</f>
        <v/>
      </c>
      <c r="I331" t="n">
        <v>0</v>
      </c>
      <c r="J331" t="n">
        <v>0</v>
      </c>
      <c r="K331" t="n">
        <v>0</v>
      </c>
      <c r="L331" s="5" t="inlineStr"/>
      <c r="M331" s="5" t="n"/>
    </row>
    <row r="332">
      <c r="A332" t="inlineStr">
        <is>
          <t>YX-ATS-29</t>
        </is>
      </c>
      <c r="B332" t="inlineStr">
        <is>
          <t>M10</t>
        </is>
      </c>
      <c r="C332" t="inlineStr">
        <is>
          <t>YX-ATS</t>
        </is>
      </c>
      <c r="D332" t="inlineStr">
        <is>
          <t>6+</t>
        </is>
      </c>
      <c r="E332" s="5" t="inlineStr">
        <is>
          <t>Vendor invoices and payouts (C7). Each period YukthiX proposes the vendor invoice from client-approved hours × vendor rate per placement; the vendor confirms it and adds its invoice number and GST details in the portal (or uploads its own, which must not exceed the approved amount without a recruiter-approved exception). The approved vendor invoice becomes an M03 consultant invoice (YX-PAY-38): TDS 194C or 194J per the vendor's section (YX-TAX-16), P03 approval, payment in the bank file / payout, 26Q and Form 16A (YX-TAX-17), payment advice in the vendor portal. An optional company pay-when-pa</t>
        </is>
      </c>
      <c r="F332" t="inlineStr">
        <is>
          <t>Not started</t>
        </is>
      </c>
      <c r="H332">
        <f>IF(G332&lt;&gt;"",G332,F332)</f>
        <v/>
      </c>
      <c r="I332" t="n">
        <v>0</v>
      </c>
      <c r="J332" t="n">
        <v>0</v>
      </c>
      <c r="K332" t="n">
        <v>0</v>
      </c>
      <c r="L332" s="5" t="inlineStr"/>
      <c r="M332" s="5" t="n"/>
    </row>
    <row r="333">
      <c r="A333" t="inlineStr">
        <is>
          <t>YX-ATS-30</t>
        </is>
      </c>
      <c r="B333" t="inlineStr">
        <is>
          <t>M10</t>
        </is>
      </c>
      <c r="C333" t="inlineStr">
        <is>
          <t>YX-ATS</t>
        </is>
      </c>
      <c r="D333" t="inlineStr">
        <is>
          <t>6+</t>
        </is>
      </c>
      <c r="E333" s="5" t="inlineStr">
        <is>
          <t>Vendor performance scorecards (C7). Per vendor and period (P09 metrics): submissions, duplicate rate, submission → interview, interview → offer, placements, time to first submission, early-exit rate (placement ended within a company-set window), rate-cap exceptions, invoice disputes and document validity (agreement, GST). The recruiter team sees all scorecards; each vendor sees only its own. Scorecards inform manual vendor tiering and share decisions; nothing is suspended automatically.</t>
        </is>
      </c>
      <c r="F333" t="inlineStr">
        <is>
          <t>Not started</t>
        </is>
      </c>
      <c r="H333">
        <f>IF(G333&lt;&gt;"",G333,F333)</f>
        <v/>
      </c>
      <c r="I333" t="n">
        <v>0</v>
      </c>
      <c r="J333" t="n">
        <v>0</v>
      </c>
      <c r="K333" t="n">
        <v>0</v>
      </c>
      <c r="L333" s="5" t="inlineStr"/>
      <c r="M333" s="5" t="n"/>
    </row>
    <row r="334">
      <c r="A334" t="inlineStr">
        <is>
          <t>YX-ATS-31</t>
        </is>
      </c>
      <c r="B334" t="inlineStr">
        <is>
          <t>M10</t>
        </is>
      </c>
      <c r="C334" t="inlineStr">
        <is>
          <t>YX-ATS</t>
        </is>
      </c>
      <c r="D334" t="inlineStr">
        <is>
          <t>6+</t>
        </is>
      </c>
      <c r="E334" s="5" t="inlineStr">
        <is>
          <t>Candidate promises (G12; G13 decided no). After a résumé upload the candidate never re-types what was parsed: parsed fields are shown for confirmation and edit only, and the same parsing prefills every later application within that company. The candidate portal shows the application's status at every stage using a company-editable status label set (D17; YukthiX ships a labelled starter set mapped to the pipeline stages). When the company enables it (per job or company-wide), a candidate who is not progressing receives a "not selected" notice or the plain reason the recruiter picked from the de</t>
        </is>
      </c>
      <c r="F334" t="inlineStr">
        <is>
          <t>Not started</t>
        </is>
      </c>
      <c r="H334">
        <f>IF(G334&lt;&gt;"",G334,F334)</f>
        <v/>
      </c>
      <c r="I334" t="n">
        <v>0</v>
      </c>
      <c r="J334" t="n">
        <v>0</v>
      </c>
      <c r="K334" t="n">
        <v>0</v>
      </c>
      <c r="L334" s="5" t="inlineStr"/>
      <c r="M334" s="5" t="n"/>
    </row>
    <row r="335">
      <c r="A335" t="inlineStr">
        <is>
          <t>YX-ATS-32</t>
        </is>
      </c>
      <c r="B335" t="inlineStr">
        <is>
          <t>M10</t>
        </is>
      </c>
      <c r="C335" t="inlineStr">
        <is>
          <t>YX-ATS</t>
        </is>
      </c>
      <c r="D335" t="inlineStr">
        <is>
          <t>6+</t>
        </is>
      </c>
      <c r="E335" s="5" t="inlineStr">
        <is>
          <t>Identity chain hooks (T10). A company may add an optional application verification step (ID + selfie with consent), which is the first capture point for the person record (P01 persons) when it runs (T04 YX-PROC-19). The AI interview and the live interview (T07 interview room, built-in video) each match the candidate against that record; where face detection is off, consent is refused or the interview runs on Teams / Meet, the interviewer attests identity against the ID. When the company has the add-on, the partner deepfake / voice-clone check runs on the interview video / audio (T04 YX-PROC-20</t>
        </is>
      </c>
      <c r="F335" t="inlineStr">
        <is>
          <t>Tested, code not linked</t>
        </is>
      </c>
      <c r="H335">
        <f>IF(G335&lt;&gt;"",G335,F335)</f>
        <v/>
      </c>
      <c r="I335" t="n">
        <v>0</v>
      </c>
      <c r="J335" t="n">
        <v>1</v>
      </c>
      <c r="K335" t="n">
        <v>3</v>
      </c>
      <c r="L335" s="5" t="inlineStr">
        <is>
          <t>exam-app-org:packages/yx-ui/src/screens/hiring/hiring.test.tsx</t>
        </is>
      </c>
      <c r="M335" s="5" t="n"/>
    </row>
    <row r="336">
      <c r="A336" t="inlineStr">
        <is>
          <t>YX-ATS-33</t>
        </is>
      </c>
      <c r="B336" t="inlineStr">
        <is>
          <t>M10</t>
        </is>
      </c>
      <c r="C336" t="inlineStr">
        <is>
          <t>YX-ATS</t>
        </is>
      </c>
      <c r="D336" t="inlineStr">
        <is>
          <t>6+</t>
        </is>
      </c>
      <c r="E336" s="5" t="inlineStr">
        <is>
          <t>Candidates are persons; ex-employees flagged at application (Validation pass 3 Must follow-up, 28 Sep 2026). Every candidate, referral and campus registrant links to one P01 persons row of the same tenant (YX-ORG-26, matching per YX-ORG-27; no match = new person). When that person has a past employment or alumnus role, the application shows "Ex-employee" from the first screen and through screening per M01 YX-LC-29: recruiter and HR see exit date, exit type and rehire eligibility; the hiring manager sees only "Ex-employee" and rehire-eligible yes / no; a rehire-ineligible flag alerts the recrui</t>
        </is>
      </c>
      <c r="F336" t="inlineStr">
        <is>
          <t>UI prototype only</t>
        </is>
      </c>
      <c r="H336">
        <f>IF(G336&lt;&gt;"",G336,F336)</f>
        <v/>
      </c>
      <c r="I336" t="n">
        <v>0</v>
      </c>
      <c r="J336" t="n">
        <v>0</v>
      </c>
      <c r="K336" t="n">
        <v>1</v>
      </c>
      <c r="L336" s="5" t="inlineStr"/>
      <c r="M336" s="5" t="n"/>
    </row>
    <row r="337">
      <c r="A337" t="inlineStr">
        <is>
          <t>YX-ATS-34</t>
        </is>
      </c>
      <c r="B337" t="inlineStr">
        <is>
          <t>M10</t>
        </is>
      </c>
      <c r="C337" t="inlineStr">
        <is>
          <t>YX-ATS</t>
        </is>
      </c>
      <c r="D337" t="inlineStr">
        <is>
          <t>6+</t>
        </is>
      </c>
      <c r="E337" s="5" t="inlineStr">
        <is>
          <t>T4 + R10 + R11 (hiring side). Every company can show a salary range on job ads and careers pages. Where the job's work location has a pay-transparency law (list held in P07 rules-as-data, not code), the range is mandatory and publishing is blocked without it; elsewhere it is a company setting with the starter template on. The pay-history question on application forms is blocked where the law bans it and off by default elsewhere (company may switch it on).</t>
        </is>
      </c>
      <c r="F337" t="inlineStr">
        <is>
          <t>Tested, code not linked</t>
        </is>
      </c>
      <c r="H337">
        <f>IF(G337&lt;&gt;"",G337,F337)</f>
        <v/>
      </c>
      <c r="I337" t="n">
        <v>0</v>
      </c>
      <c r="J337" t="n">
        <v>1</v>
      </c>
      <c r="K337" t="n">
        <v>1</v>
      </c>
      <c r="L337" s="5" t="inlineStr">
        <is>
          <t>exam-app-org:packages/yx-ui/src/screens/hiring/hiring.test.tsx</t>
        </is>
      </c>
      <c r="M337" s="5" t="n"/>
    </row>
    <row r="338">
      <c r="A338" t="inlineStr">
        <is>
          <t>YX-ATS-35</t>
        </is>
      </c>
      <c r="B338" t="inlineStr">
        <is>
          <t>M10</t>
        </is>
      </c>
      <c r="C338" t="inlineStr">
        <is>
          <t>YX-ATS</t>
        </is>
      </c>
      <c r="D338" t="inlineStr">
        <is>
          <t>6+</t>
        </is>
      </c>
      <c r="E338" s="5" t="inlineStr">
        <is>
          <t>R13 + R14 + R15. Before any automated screening, AI interview or AI scoring, the candidate sees a plain notice of what is automated and why, and gives consent (recorded with notice version and time). A candidate may ask for an alternative (human) process at no disadvantage; the request routes to the recruiter. A candidate may ask for deletion of the application data; it is completed within 30 days unless a legal hold applies (reason shown). Bias audit maths and export stay in T05 YX-EVAL-32.</t>
        </is>
      </c>
      <c r="F338" t="inlineStr">
        <is>
          <t>UI prototype only</t>
        </is>
      </c>
      <c r="H338">
        <f>IF(G338&lt;&gt;"",G338,F338)</f>
        <v/>
      </c>
      <c r="I338" t="n">
        <v>0</v>
      </c>
      <c r="J338" t="n">
        <v>0</v>
      </c>
      <c r="K338" t="n">
        <v>1</v>
      </c>
      <c r="L338" s="5" t="inlineStr"/>
      <c r="M338" s="5" t="n"/>
    </row>
    <row r="339">
      <c r="A339" t="inlineStr">
        <is>
          <t>YX-ATS-36</t>
        </is>
      </c>
      <c r="B339" t="inlineStr">
        <is>
          <t>M10</t>
        </is>
      </c>
      <c r="C339" t="inlineStr">
        <is>
          <t>YX-ATS</t>
        </is>
      </c>
      <c r="D339" t="inlineStr">
        <is>
          <t>6+</t>
        </is>
      </c>
      <c r="E339" s="5" t="inlineStr">
        <is>
          <t>T8. A candidate can apply and answer knockout / screening questions via WhatsApp or the careers-site chatbot. Channel consent is captured first and opt-out is instant; answers land on the same application as the web form (P01 person match, no duplicate candidate). A knockout outcome is a recommendation to the recruiter, never an automatic rejection without the R14 alternative-process option.</t>
        </is>
      </c>
      <c r="F339" t="inlineStr">
        <is>
          <t>UI prototype only</t>
        </is>
      </c>
      <c r="H339">
        <f>IF(G339&lt;&gt;"",G339,F339)</f>
        <v/>
      </c>
      <c r="I339" t="n">
        <v>0</v>
      </c>
      <c r="J339" t="n">
        <v>0</v>
      </c>
      <c r="K339" t="n">
        <v>1</v>
      </c>
      <c r="L339" s="5" t="inlineStr"/>
      <c r="M339" s="5" t="n"/>
    </row>
    <row r="340">
      <c r="A340" t="inlineStr">
        <is>
          <t>YX-ATS-37</t>
        </is>
      </c>
      <c r="B340" t="inlineStr">
        <is>
          <t>M10</t>
        </is>
      </c>
      <c r="C340" t="inlineStr">
        <is>
          <t>YX-ATS</t>
        </is>
      </c>
      <c r="D340" t="inlineStr">
        <is>
          <t>6+</t>
        </is>
      </c>
      <c r="E340" s="5" t="inlineStr">
        <is>
          <t>T9. The interview notetaker records and transcribes only after every participant has consented (consent recorded; no consent = no recording, the interview continues). AI drafts scorecard notes from the transcript; the draft is not submitted until the interviewer edits / confirms each rating. Recordings follow the retention policy.</t>
        </is>
      </c>
      <c r="F340" t="inlineStr">
        <is>
          <t>Not started</t>
        </is>
      </c>
      <c r="H340">
        <f>IF(G340&lt;&gt;"",G340,F340)</f>
        <v/>
      </c>
      <c r="I340" t="n">
        <v>0</v>
      </c>
      <c r="J340" t="n">
        <v>0</v>
      </c>
      <c r="K340" t="n">
        <v>0</v>
      </c>
      <c r="L340" s="5" t="inlineStr"/>
      <c r="M340" s="5" t="n"/>
    </row>
    <row r="341">
      <c r="A341" t="inlineStr">
        <is>
          <t>YX-ATS-38</t>
        </is>
      </c>
      <c r="B341" t="inlineStr">
        <is>
          <t>M10</t>
        </is>
      </c>
      <c r="C341" t="inlineStr">
        <is>
          <t>YX-ATS</t>
        </is>
      </c>
      <c r="D341" t="inlineStr">
        <is>
          <t>6+</t>
        </is>
      </c>
      <c r="E341" s="5" t="inlineStr">
        <is>
          <t>T11. The recruiter triggers reference requests after the candidate supplies referees and consents. Referees get a secure link to a structured questionnaire; responses are visible to the recruiter and hiring panel only; reminders and expiry follow a template. Fraud signals (referee email domain equals the candidate's, same device) are flagged for review, never auto-decided.</t>
        </is>
      </c>
      <c r="F341" t="inlineStr">
        <is>
          <t>UI prototype only</t>
        </is>
      </c>
      <c r="H341">
        <f>IF(G341&lt;&gt;"",G341,F341)</f>
        <v/>
      </c>
      <c r="I341" t="n">
        <v>0</v>
      </c>
      <c r="J341" t="n">
        <v>0</v>
      </c>
      <c r="K341" t="n">
        <v>1</v>
      </c>
      <c r="L341" s="5" t="inlineStr"/>
      <c r="M341" s="5" t="n"/>
    </row>
    <row r="342">
      <c r="A342" t="inlineStr">
        <is>
          <t>YX-ATS-39</t>
        </is>
      </c>
      <c r="B342" t="inlineStr">
        <is>
          <t>M10</t>
        </is>
      </c>
      <c r="C342" t="inlineStr">
        <is>
          <t>YX-ATS</t>
        </is>
      </c>
      <c r="D342" t="inlineStr">
        <is>
          <t>6+</t>
        </is>
      </c>
      <c r="E342" s="5" t="inlineStr">
        <is>
          <t>T12. When a requisition opens, the system suggests past candidates and talent-pool members (silver medallists, nurture-consented) matched on skills and location. Only candidates whose retention period and consent are still valid are shown; outreach follows the B8 nurture-consent rules.</t>
        </is>
      </c>
      <c r="F342" t="inlineStr">
        <is>
          <t>Not started</t>
        </is>
      </c>
      <c r="H342">
        <f>IF(G342&lt;&gt;"",G342,F342)</f>
        <v/>
      </c>
      <c r="I342" t="n">
        <v>0</v>
      </c>
      <c r="J342" t="n">
        <v>0</v>
      </c>
      <c r="K342" t="n">
        <v>0</v>
      </c>
      <c r="L342" s="5" t="inlineStr"/>
      <c r="M342" s="5" t="n"/>
    </row>
    <row r="343">
      <c r="A343" t="inlineStr">
        <is>
          <t>YX-ATS-40</t>
        </is>
      </c>
      <c r="B343" t="inlineStr">
        <is>
          <t>M10</t>
        </is>
      </c>
      <c r="C343" t="inlineStr">
        <is>
          <t>YX-ATS</t>
        </is>
      </c>
      <c r="D343" t="inlineStr">
        <is>
          <t>6+</t>
        </is>
      </c>
      <c r="E343" s="5" t="inlineStr">
        <is>
          <t>J9. A campus drive can schedule a bulk interview day (slots, panels, rooms, auto-assignment) and issue offers in bulk from one template with per-candidate fields; each offer still gets its own headcount-plan approval check and its own e-sign envelope (P05).</t>
        </is>
      </c>
      <c r="F343" t="inlineStr">
        <is>
          <t>Tested, code not linked</t>
        </is>
      </c>
      <c r="H343">
        <f>IF(G343&lt;&gt;"",G343,F343)</f>
        <v/>
      </c>
      <c r="I343" t="n">
        <v>0</v>
      </c>
      <c r="J343" t="n">
        <v>1</v>
      </c>
      <c r="K343" t="n">
        <v>1</v>
      </c>
      <c r="L343" s="5" t="inlineStr">
        <is>
          <t>exam-app-org:packages/yx-ui/src/screens/hiring/hiring.test.tsx</t>
        </is>
      </c>
      <c r="M343" s="5" t="n"/>
    </row>
    <row r="344">
      <c r="A344" t="inlineStr">
        <is>
          <t>YX-ATS-41</t>
        </is>
      </c>
      <c r="B344" t="inlineStr">
        <is>
          <t>M10</t>
        </is>
      </c>
      <c r="C344" t="inlineStr">
        <is>
          <t>YX-ATS</t>
        </is>
      </c>
      <c r="D344" t="inlineStr">
        <is>
          <t>6+</t>
        </is>
      </c>
      <c r="E344" s="5" t="inlineStr">
        <is>
          <t>J10. An offer can carry conditions (background check, documents, degree completion) with due dates. An unmet condition or unsigned offer auto-lapses at its deadline after a reminder; lapse or withdrawal unwinds pre-boarding (M01 tasks cancelled, accounts not created, headcount slot released) with an audit entry.</t>
        </is>
      </c>
      <c r="F344" t="inlineStr">
        <is>
          <t>Tested, code not linked</t>
        </is>
      </c>
      <c r="H344">
        <f>IF(G344&lt;&gt;"",G344,F344)</f>
        <v/>
      </c>
      <c r="I344" t="n">
        <v>0</v>
      </c>
      <c r="J344" t="n">
        <v>1</v>
      </c>
      <c r="K344" t="n">
        <v>1</v>
      </c>
      <c r="L344" s="5" t="inlineStr">
        <is>
          <t>exam-app-org:packages/yx-ui/src/screens/hiring/hiring.test.tsx</t>
        </is>
      </c>
      <c r="M344" s="5" t="n"/>
    </row>
    <row r="345">
      <c r="A345" t="inlineStr">
        <is>
          <t>YX-ATS-42</t>
        </is>
      </c>
      <c r="B345" t="inlineStr">
        <is>
          <t>M10</t>
        </is>
      </c>
      <c r="C345" t="inlineStr">
        <is>
          <t>YX-ATS</t>
        </is>
      </c>
      <c r="D345" t="inlineStr">
        <is>
          <t>6+</t>
        </is>
      </c>
      <c r="E345" s="5" t="inlineStr">
        <is>
          <t>J13. A test taken for an internal application is linked to that application; the result is visible to the new job's hiring manager and HR and hidden from the applicant's current manager (T03 YX-DLV-23).</t>
        </is>
      </c>
      <c r="F345" t="inlineStr">
        <is>
          <t>Not started</t>
        </is>
      </c>
      <c r="H345">
        <f>IF(G345&lt;&gt;"",G345,F345)</f>
        <v/>
      </c>
      <c r="I345" t="n">
        <v>0</v>
      </c>
      <c r="J345" t="n">
        <v>0</v>
      </c>
      <c r="K345" t="n">
        <v>0</v>
      </c>
      <c r="L345" s="5" t="inlineStr"/>
      <c r="M345" s="5" t="n"/>
    </row>
    <row r="346">
      <c r="A346" t="inlineStr">
        <is>
          <t>YX-ATS-43</t>
        </is>
      </c>
      <c r="B346" t="inlineStr">
        <is>
          <t>M10</t>
        </is>
      </c>
      <c r="C346" t="inlineStr">
        <is>
          <t>YX-ATS</t>
        </is>
      </c>
      <c r="D346" t="inlineStr">
        <is>
          <t>6+</t>
        </is>
      </c>
      <c r="E346" s="5" t="inlineStr">
        <is>
          <t>J18. The staffing desk supports permanent placement fees (fixed or % of CTC), contract-to-hire conversion fees (per contract, tapering by months served) and a replacement guarantee period: if the placed person leaves inside it, the client gets a free replacement or a pro-rated credit note, per contract.</t>
        </is>
      </c>
      <c r="F346" t="inlineStr">
        <is>
          <t>Tested, code not linked</t>
        </is>
      </c>
      <c r="H346">
        <f>IF(G346&lt;&gt;"",G346,F346)</f>
        <v/>
      </c>
      <c r="I346" t="n">
        <v>0</v>
      </c>
      <c r="J346" t="n">
        <v>1</v>
      </c>
      <c r="K346" t="n">
        <v>1</v>
      </c>
      <c r="L346" s="5" t="inlineStr">
        <is>
          <t>exam-app-org:packages/yx-ui/src/screens/hiring/hiring.test.tsx</t>
        </is>
      </c>
      <c r="M346" s="5" t="n"/>
    </row>
    <row r="347">
      <c r="A347" t="inlineStr">
        <is>
          <t>YX-ATS-44</t>
        </is>
      </c>
      <c r="B347" t="inlineStr">
        <is>
          <t>M10</t>
        </is>
      </c>
      <c r="C347" t="inlineStr">
        <is>
          <t>YX-ATS</t>
        </is>
      </c>
      <c r="D347" t="inlineStr">
        <is>
          <t>6+</t>
        </is>
      </c>
      <c r="E347" s="5" t="inlineStr">
        <is>
          <t>R20. For a legal entity at or above the e-invoice reporting threshold (AATO value held in P07 rules-as-data; verify the current threshold before go-live), a staffing invoice dated more than 30 days ago cannot be sent for IRN: warning from day 25, blocked after day 30 with the fix path shown.</t>
        </is>
      </c>
      <c r="F347" t="inlineStr">
        <is>
          <t>Tested, code not linked</t>
        </is>
      </c>
      <c r="H347">
        <f>IF(G347&lt;&gt;"",G347,F347)</f>
        <v/>
      </c>
      <c r="I347" t="n">
        <v>0</v>
      </c>
      <c r="J347" t="n">
        <v>1</v>
      </c>
      <c r="K347" t="n">
        <v>2</v>
      </c>
      <c r="L347" s="5" t="inlineStr">
        <is>
          <t>exam-app-org:packages/yx-ui/src/screens/hiring/hiring.test.tsx</t>
        </is>
      </c>
      <c r="M347" s="5" t="n"/>
    </row>
    <row r="348">
      <c r="A348" t="inlineStr">
        <is>
          <t>YX-ATS-45</t>
        </is>
      </c>
      <c r="B348" t="inlineStr">
        <is>
          <t>M10</t>
        </is>
      </c>
      <c r="C348" t="inlineStr">
        <is>
          <t>YX-ATS</t>
        </is>
      </c>
      <c r="D348" t="inlineStr">
        <is>
          <t>6+</t>
        </is>
      </c>
      <c r="E348" s="5" t="inlineStr">
        <is>
          <t>S9. Each public job page emits JobPosting structured data (title, description, location, employment type, date posted, valid through, salary range when shown) and is listed in the careers-site sitemap; closed jobs are removed or marked expired within one day.</t>
        </is>
      </c>
      <c r="F348" t="inlineStr">
        <is>
          <t>Not started</t>
        </is>
      </c>
      <c r="H348">
        <f>IF(G348&lt;&gt;"",G348,F348)</f>
        <v/>
      </c>
      <c r="I348" t="n">
        <v>0</v>
      </c>
      <c r="J348" t="n">
        <v>0</v>
      </c>
      <c r="K348" t="n">
        <v>0</v>
      </c>
      <c r="L348" s="5" t="inlineStr"/>
      <c r="M348" s="5" t="n"/>
    </row>
    <row r="349">
      <c r="A349" t="inlineStr">
        <is>
          <t>YX-BEN-01</t>
        </is>
      </c>
      <c r="B349" t="inlineStr">
        <is>
          <t>M11</t>
        </is>
      </c>
      <c r="C349" t="inlineStr">
        <is>
          <t>YX-BEN</t>
        </is>
      </c>
      <c r="D349" t="inlineStr">
        <is>
          <t>6+</t>
        </is>
      </c>
      <c r="E349" s="5" t="inlineStr">
        <is>
          <t>Eligibility, cost sharing, options, windows and FBP heads / limits are company policies (D17) with starter templates; legal caps from P07 can't be exceeded.</t>
        </is>
      </c>
      <c r="F349" t="inlineStr">
        <is>
          <t>Not started</t>
        </is>
      </c>
      <c r="H349">
        <f>IF(G349&lt;&gt;"",G349,F349)</f>
        <v/>
      </c>
      <c r="I349" t="n">
        <v>0</v>
      </c>
      <c r="J349" t="n">
        <v>0</v>
      </c>
      <c r="K349" t="n">
        <v>0</v>
      </c>
      <c r="L349" s="5" t="inlineStr"/>
      <c r="M349" s="5" t="n"/>
    </row>
    <row r="350">
      <c r="A350" t="inlineStr">
        <is>
          <t>YX-BEN-02</t>
        </is>
      </c>
      <c r="B350" t="inlineStr">
        <is>
          <t>M11</t>
        </is>
      </c>
      <c r="C350" t="inlineStr">
        <is>
          <t>YX-BEN</t>
        </is>
      </c>
      <c r="D350" t="inlineStr">
        <is>
          <t>6+</t>
        </is>
      </c>
      <c r="E350" s="5" t="inlineStr">
        <is>
          <t>Enrolment is only possible inside a window (open enrolment, joining, or a life event with its deadline). Outside a window, only HR can change it, with a reason.</t>
        </is>
      </c>
      <c r="F350" t="inlineStr">
        <is>
          <t>Not started</t>
        </is>
      </c>
      <c r="H350">
        <f>IF(G350&lt;&gt;"",G350,F350)</f>
        <v/>
      </c>
      <c r="I350" t="n">
        <v>0</v>
      </c>
      <c r="J350" t="n">
        <v>0</v>
      </c>
      <c r="K350" t="n">
        <v>0</v>
      </c>
      <c r="L350" s="5" t="inlineStr"/>
      <c r="M350" s="5" t="n"/>
    </row>
    <row r="351">
      <c r="A351" t="inlineStr">
        <is>
          <t>YX-BEN-03</t>
        </is>
      </c>
      <c r="B351" t="inlineStr">
        <is>
          <t>M11</t>
        </is>
      </c>
      <c r="C351" t="inlineStr">
        <is>
          <t>YX-BEN</t>
        </is>
      </c>
      <c r="D351" t="inlineStr">
        <is>
          <t>6+</t>
        </is>
      </c>
      <c r="E351" s="5" t="inlineStr">
        <is>
          <t>Joining and exit create endorsements automatically (add on joining / enrolment, delete at the last working day + plan grace). Life events create an endorsement when the employee submits the event with proof.</t>
        </is>
      </c>
      <c r="F351" t="inlineStr">
        <is>
          <t>Not started</t>
        </is>
      </c>
      <c r="H351">
        <f>IF(G351&lt;&gt;"",G351,F351)</f>
        <v/>
      </c>
      <c r="I351" t="n">
        <v>0</v>
      </c>
      <c r="J351" t="n">
        <v>0</v>
      </c>
      <c r="K351" t="n">
        <v>0</v>
      </c>
      <c r="L351" s="5" t="inlineStr"/>
      <c r="M351" s="5" t="n"/>
    </row>
    <row r="352">
      <c r="A352" t="inlineStr">
        <is>
          <t>YX-BEN-04</t>
        </is>
      </c>
      <c r="B352" t="inlineStr">
        <is>
          <t>M11</t>
        </is>
      </c>
      <c r="C352" t="inlineStr">
        <is>
          <t>YX-BEN</t>
        </is>
      </c>
      <c r="D352" t="inlineStr">
        <is>
          <t>6+</t>
        </is>
      </c>
      <c r="E352" s="5" t="inlineStr">
        <is>
          <t>The employee's premium share and top-ups become payroll deductions (M03). 80D-eligible amounts flow to the tax workspace automatically; employer-paid group premiums are not taxable to the employee.</t>
        </is>
      </c>
      <c r="F352" t="inlineStr">
        <is>
          <t>Not started</t>
        </is>
      </c>
      <c r="H352">
        <f>IF(G352&lt;&gt;"",G352,F352)</f>
        <v/>
      </c>
      <c r="I352" t="n">
        <v>0</v>
      </c>
      <c r="J352" t="n">
        <v>0</v>
      </c>
      <c r="K352" t="n">
        <v>0</v>
      </c>
      <c r="L352" s="5" t="inlineStr"/>
      <c r="M352" s="5" t="n"/>
    </row>
    <row r="353">
      <c r="A353" t="inlineStr">
        <is>
          <t>YX-BEN-05</t>
        </is>
      </c>
      <c r="B353" t="inlineStr">
        <is>
          <t>M11</t>
        </is>
      </c>
      <c r="C353" t="inlineStr">
        <is>
          <t>YX-BEN</t>
        </is>
      </c>
      <c r="D353" t="inlineStr">
        <is>
          <t>6+</t>
        </is>
      </c>
      <c r="E353" s="5" t="inlineStr">
        <is>
          <t>The FBP basket is funded from the compensation (M03 template). Allocations may be changed only in the company's allocation window. The sum of allocations never exceeds the basket (server-validated, fixes D-D6).</t>
        </is>
      </c>
      <c r="F353" t="inlineStr">
        <is>
          <t>Not started</t>
        </is>
      </c>
      <c r="H353">
        <f>IF(G353&lt;&gt;"",G353,F353)</f>
        <v/>
      </c>
      <c r="I353" t="n">
        <v>0</v>
      </c>
      <c r="J353" t="n">
        <v>0</v>
      </c>
      <c r="K353" t="n">
        <v>0</v>
      </c>
      <c r="L353" s="5" t="inlineStr"/>
      <c r="M353" s="5" t="n"/>
    </row>
    <row r="354">
      <c r="A354" t="inlineStr">
        <is>
          <t>YX-BEN-06</t>
        </is>
      </c>
      <c r="B354" t="inlineStr">
        <is>
          <t>M11</t>
        </is>
      </c>
      <c r="C354" t="inlineStr">
        <is>
          <t>YX-BEN</t>
        </is>
      </c>
      <c r="D354" t="inlineStr">
        <is>
          <t>6+</t>
        </is>
      </c>
      <c r="E354" s="5" t="inlineStr">
        <is>
          <t>FBP claims are verified against bills and head limits on the server. Accrual stops once the yearly head total is reached (fixes D-D7). Unclaimed or unproven amounts are paid as taxable salary in the year-end sweep or F&amp;F (M01).</t>
        </is>
      </c>
      <c r="F354" t="inlineStr">
        <is>
          <t>Not started</t>
        </is>
      </c>
      <c r="H354">
        <f>IF(G354&lt;&gt;"",G354,F354)</f>
        <v/>
      </c>
      <c r="I354" t="n">
        <v>0</v>
      </c>
      <c r="J354" t="n">
        <v>0</v>
      </c>
      <c r="K354" t="n">
        <v>0</v>
      </c>
      <c r="L354" s="5" t="inlineStr"/>
      <c r="M354" s="5" t="n"/>
    </row>
    <row r="355">
      <c r="A355" t="inlineStr">
        <is>
          <t>YX-BEN-07</t>
        </is>
      </c>
      <c r="B355" t="inlineStr">
        <is>
          <t>M11</t>
        </is>
      </c>
      <c r="C355" t="inlineStr">
        <is>
          <t>YX-BEN</t>
        </is>
      </c>
      <c r="D355" t="inlineStr">
        <is>
          <t>6+</t>
        </is>
      </c>
      <c r="E355" s="5" t="inlineStr">
        <is>
          <t>The tax treatment of each FBP head follows P07 per regime. The employee sees the tax effect under both regimes before allocating (Q2).</t>
        </is>
      </c>
      <c r="F355" t="inlineStr">
        <is>
          <t>Not started</t>
        </is>
      </c>
      <c r="H355">
        <f>IF(G355&lt;&gt;"",G355,F355)</f>
        <v/>
      </c>
      <c r="I355" t="n">
        <v>0</v>
      </c>
      <c r="J355" t="n">
        <v>0</v>
      </c>
      <c r="K355" t="n">
        <v>0</v>
      </c>
      <c r="L355" s="5" t="inlineStr"/>
      <c r="M355" s="5" t="n"/>
    </row>
    <row r="356">
      <c r="A356" t="inlineStr">
        <is>
          <t>YX-BEN-08</t>
        </is>
      </c>
      <c r="B356" t="inlineStr">
        <is>
          <t>M11</t>
        </is>
      </c>
      <c r="C356" t="inlineStr">
        <is>
          <t>YX-BEN</t>
        </is>
      </c>
      <c r="D356" t="inlineStr">
        <is>
          <t>6+</t>
        </is>
      </c>
      <c r="E356" s="5" t="inlineStr">
        <is>
          <t>Employer NPS contribution stays within the P07 80CCD(2) limit for the employee's regime; any excess is taxable. Contribution files / API calls reconcile to payroll every month.</t>
        </is>
      </c>
      <c r="F356" t="inlineStr">
        <is>
          <t>Not started</t>
        </is>
      </c>
      <c r="H356">
        <f>IF(G356&lt;&gt;"",G356,F356)</f>
        <v/>
      </c>
      <c r="I356" t="n">
        <v>0</v>
      </c>
      <c r="J356" t="n">
        <v>0</v>
      </c>
      <c r="K356" t="n">
        <v>0</v>
      </c>
      <c r="L356" s="5" t="inlineStr"/>
      <c r="M356" s="5" t="n"/>
    </row>
    <row r="357">
      <c r="A357" t="inlineStr">
        <is>
          <t>YX-BEN-09</t>
        </is>
      </c>
      <c r="B357" t="inlineStr">
        <is>
          <t>M11</t>
        </is>
      </c>
      <c r="C357" t="inlineStr">
        <is>
          <t>YX-BEN</t>
        </is>
      </c>
      <c r="D357" t="inlineStr">
        <is>
          <t>6+</t>
        </is>
      </c>
      <c r="E357" s="5" t="inlineStr">
        <is>
          <t>Health and dependant data are Special class: visible to the employee and benefits admins in scope only, never to managers; sent to providers only as needed for coverage (P10 / D18 connector).</t>
        </is>
      </c>
      <c r="F357" t="inlineStr">
        <is>
          <t>Not started</t>
        </is>
      </c>
      <c r="H357">
        <f>IF(G357&lt;&gt;"",G357,F357)</f>
        <v/>
      </c>
      <c r="I357" t="n">
        <v>0</v>
      </c>
      <c r="J357" t="n">
        <v>0</v>
      </c>
      <c r="K357" t="n">
        <v>0</v>
      </c>
      <c r="L357" s="5" t="inlineStr"/>
      <c r="M357" s="5" t="n"/>
    </row>
    <row r="358">
      <c r="A358" t="inlineStr">
        <is>
          <t>YX-BEN-10</t>
        </is>
      </c>
      <c r="B358" t="inlineStr">
        <is>
          <t>M11</t>
        </is>
      </c>
      <c r="C358" t="inlineStr">
        <is>
          <t>YX-BEN</t>
        </is>
      </c>
      <c r="D358" t="inlineStr">
        <is>
          <t>6+</t>
        </is>
      </c>
      <c r="E358" s="5" t="inlineStr">
        <is>
          <t>Provider integrations (insurer, broker, meal card, NPS POP) are third-party add-ons (D18). Without one, the same data is exported as the provider's file format for manual upload.</t>
        </is>
      </c>
      <c r="F358" t="inlineStr">
        <is>
          <t>Not started</t>
        </is>
      </c>
      <c r="H358">
        <f>IF(G358&lt;&gt;"",G358,F358)</f>
        <v/>
      </c>
      <c r="I358" t="n">
        <v>0</v>
      </c>
      <c r="J358" t="n">
        <v>0</v>
      </c>
      <c r="K358" t="n">
        <v>0</v>
      </c>
      <c r="L358" s="5" t="inlineStr"/>
      <c r="M358" s="5" t="n"/>
    </row>
    <row r="359">
      <c r="A359" t="inlineStr">
        <is>
          <t>YX-BEN-11</t>
        </is>
      </c>
      <c r="B359" t="inlineStr">
        <is>
          <t>M11</t>
        </is>
      </c>
      <c r="C359" t="inlineStr">
        <is>
          <t>YX-BEN</t>
        </is>
      </c>
      <c r="D359" t="inlineStr">
        <is>
          <t>6+</t>
        </is>
      </c>
      <c r="E359" s="5" t="inlineStr">
        <is>
          <t>Companies can create their own benefits in a generic benefit catalogue (type *other*), each with eligibility, cost sharing, payroll / claim / vendor-payment treatment and tax treatment chosen from P07 categories; custom benefits appear in enrolment, the benefit statement and cost reports like built-in ones.</t>
        </is>
      </c>
      <c r="F359" t="inlineStr">
        <is>
          <t>Not started</t>
        </is>
      </c>
      <c r="H359">
        <f>IF(G359&lt;&gt;"",G359,F359)</f>
        <v/>
      </c>
      <c r="I359" t="n">
        <v>0</v>
      </c>
      <c r="J359" t="n">
        <v>0</v>
      </c>
      <c r="K359" t="n">
        <v>0</v>
      </c>
      <c r="L359" s="5" t="inlineStr"/>
      <c r="M359" s="5" t="n"/>
    </row>
    <row r="360">
      <c r="A360" t="inlineStr">
        <is>
          <t>YX-PRJ-01</t>
        </is>
      </c>
      <c r="B360" t="inlineStr">
        <is>
          <t>M12</t>
        </is>
      </c>
      <c r="C360" t="inlineStr">
        <is>
          <t>YX-PRJ</t>
        </is>
      </c>
      <c r="D360" t="inlineStr">
        <is>
          <t>6+</t>
        </is>
      </c>
      <c r="E360" s="5" t="inlineStr">
        <is>
          <t>A project code is unique per legal entity; a project needs a PM, an entity and a cost centre; a billable project needs a client and a billing model; a closed project accepts no new time or costs (late entries go through YX-PRJ-05).</t>
        </is>
      </c>
      <c r="F360" t="inlineStr">
        <is>
          <t>UI prototype only</t>
        </is>
      </c>
      <c r="H360">
        <f>IF(G360&lt;&gt;"",G360,F360)</f>
        <v/>
      </c>
      <c r="I360" t="n">
        <v>0</v>
      </c>
      <c r="J360" t="n">
        <v>0</v>
      </c>
      <c r="K360" t="n">
        <v>1</v>
      </c>
      <c r="L360" s="5" t="inlineStr"/>
      <c r="M360" s="5" t="n"/>
    </row>
    <row r="361">
      <c r="A361" t="inlineStr">
        <is>
          <t>YX-PRJ-02</t>
        </is>
      </c>
      <c r="B361" t="inlineStr">
        <is>
          <t>M12</t>
        </is>
      </c>
      <c r="C361" t="inlineStr">
        <is>
          <t>YX-PRJ</t>
        </is>
      </c>
      <c r="D361" t="inlineStr">
        <is>
          <t>6+</t>
        </is>
      </c>
      <c r="E361" s="5" t="inlineStr">
        <is>
          <t>Time can be booked only to active projects and tasks, within the project dates, by people allocated on that date (company setting: block, or allow with PM approval; starter block); internal non-project codes (training, bench, admin) are always available per company list.</t>
        </is>
      </c>
      <c r="F361" t="inlineStr">
        <is>
          <t>UI prototype only</t>
        </is>
      </c>
      <c r="H361">
        <f>IF(G361&lt;&gt;"",G361,F361)</f>
        <v/>
      </c>
      <c r="I361" t="n">
        <v>0</v>
      </c>
      <c r="J361" t="n">
        <v>0</v>
      </c>
      <c r="K361" t="n">
        <v>2</v>
      </c>
      <c r="L361" s="5" t="inlineStr"/>
      <c r="M361" s="5" t="n"/>
    </row>
    <row r="362">
      <c r="A362" t="inlineStr">
        <is>
          <t>YX-PRJ-03</t>
        </is>
      </c>
      <c r="B362" t="inlineStr">
        <is>
          <t>M12</t>
        </is>
      </c>
      <c r="C362" t="inlineStr">
        <is>
          <t>YX-PRJ</t>
        </is>
      </c>
      <c r="D362" t="inlineStr">
        <is>
          <t>6+</t>
        </is>
      </c>
      <c r="E362" s="5" t="inlineStr">
        <is>
          <t>A timesheet is one week per employee; per-day hours above the company daily maximum (starter: warn above the shift's expected hours, block above 24) are refused; notes are required where the project or activity requires them; billable defaults from the task, then the project; a submitted week cannot be edited until it is sent back. Placement lines and project lines share the week and the M02 §B7 screens.</t>
        </is>
      </c>
      <c r="F362" t="inlineStr">
        <is>
          <t>UI prototype only</t>
        </is>
      </c>
      <c r="H362">
        <f>IF(G362&lt;&gt;"",G362,F362)</f>
        <v/>
      </c>
      <c r="I362" t="n">
        <v>0</v>
      </c>
      <c r="J362" t="n">
        <v>0</v>
      </c>
      <c r="K362" t="n">
        <v>2</v>
      </c>
      <c r="L362" s="5" t="inlineStr"/>
      <c r="M362" s="5" t="n"/>
    </row>
    <row r="363">
      <c r="A363" t="inlineStr">
        <is>
          <t>YX-PRJ-04</t>
        </is>
      </c>
      <c r="B363" t="inlineStr">
        <is>
          <t>M12</t>
        </is>
      </c>
      <c r="C363" t="inlineStr">
        <is>
          <t>YX-PRJ</t>
        </is>
      </c>
      <c r="D363" t="inlineStr">
        <is>
          <t>6+</t>
        </is>
      </c>
      <c r="E363" s="5" t="inlineStr">
        <is>
          <t>Each line is approved by the resolver of its project (starter: PM; the PM's manager when the PM is the submitter; the account manager when the PM is absent past the SLA) and, where the project has client approval, by the client contact in the portal after the PM; placement lines keep the M02 §B7 resolver. Approvers may approve, reject or reduce hours with a reason (shown to the employee); client contacts see only their client's projects and the lines billed to them.</t>
        </is>
      </c>
      <c r="F363" t="inlineStr">
        <is>
          <t>UI prototype only</t>
        </is>
      </c>
      <c r="H363">
        <f>IF(G363&lt;&gt;"",G363,F363)</f>
        <v/>
      </c>
      <c r="I363" t="n">
        <v>0</v>
      </c>
      <c r="J363" t="n">
        <v>0</v>
      </c>
      <c r="K363" t="n">
        <v>4</v>
      </c>
      <c r="L363" s="5" t="inlineStr"/>
      <c r="M363" s="5" t="n"/>
    </row>
    <row r="364">
      <c r="A364" t="inlineStr">
        <is>
          <t>YX-PRJ-05</t>
        </is>
      </c>
      <c r="B364" t="inlineStr">
        <is>
          <t>M12</t>
        </is>
      </c>
      <c r="C364" t="inlineStr">
        <is>
          <t>YX-PRJ</t>
        </is>
      </c>
      <c r="D364" t="inlineStr">
        <is>
          <t>6+</t>
        </is>
      </c>
      <c r="E364" s="5" t="inlineStr">
        <is>
          <t>Approved lines are immutable; a correction is an adjustment line in an open week that references the original, approved like any line. Timesheet periods freeze and lock with the P08 attendance / payroll lock; invoiced lines can be corrected only through a credit note (M10) plus an adjustment line.</t>
        </is>
      </c>
      <c r="F364" t="inlineStr">
        <is>
          <t>Not started</t>
        </is>
      </c>
      <c r="H364">
        <f>IF(G364&lt;&gt;"",G364,F364)</f>
        <v/>
      </c>
      <c r="I364" t="n">
        <v>0</v>
      </c>
      <c r="J364" t="n">
        <v>0</v>
      </c>
      <c r="K364" t="n">
        <v>0</v>
      </c>
      <c r="L364" s="5" t="inlineStr"/>
      <c r="M364" s="5" t="n"/>
    </row>
    <row r="365">
      <c r="A365" t="inlineStr">
        <is>
          <t>YX-PRJ-06</t>
        </is>
      </c>
      <c r="B365" t="inlineStr">
        <is>
          <t>M12</t>
        </is>
      </c>
      <c r="C365" t="inlineStr">
        <is>
          <t>YX-PRJ</t>
        </is>
      </c>
      <c r="D365" t="inlineStr">
        <is>
          <t>6+</t>
        </is>
      </c>
      <c r="E365" s="5" t="inlineStr">
        <is>
          <t>Utilisation = approved billable hours ÷ available hours (M02 expected hours minus leave and holidays); capacity = available − allocated hours; both are P09 metrics per person, team, project role and skill, with small-group suppression for non-HR viewers (P02). The utilisation target is a company setting per designation (starter 75 % for billable roles).</t>
        </is>
      </c>
      <c r="F365" t="inlineStr">
        <is>
          <t>Tested, code not linked</t>
        </is>
      </c>
      <c r="H365">
        <f>IF(G365&lt;&gt;"",G365,F365)</f>
        <v/>
      </c>
      <c r="I365" t="n">
        <v>0</v>
      </c>
      <c r="J365" t="n">
        <v>1</v>
      </c>
      <c r="K365" t="n">
        <v>3</v>
      </c>
      <c r="L365" s="5" t="inlineStr">
        <is>
          <t>exam-app-org:packages/yx-ui/src/screens/hiring/hiring.test.tsx</t>
        </is>
      </c>
      <c r="M365" s="5" t="n"/>
    </row>
    <row r="366">
      <c r="A366" t="inlineStr">
        <is>
          <t>YX-PRJ-07</t>
        </is>
      </c>
      <c r="B366" t="inlineStr">
        <is>
          <t>M12</t>
        </is>
      </c>
      <c r="C366" t="inlineStr">
        <is>
          <t>YX-PRJ</t>
        </is>
      </c>
      <c r="D366" t="inlineStr">
        <is>
          <t>6+</t>
        </is>
      </c>
      <c r="E366" s="5" t="inlineStr">
        <is>
          <t>Project cost = Σ approved hours × the employee's cost rate for that month (M03 YX-PAY-42; provisional until the month's payroll is paid, then final) + project-tagged approved expenses (M05) + other cost lines entered by finance; budget burn alerts fire at the project's thresholds (starter 80 % and 100 % of hours, cost and fee) to the PM and account manager.</t>
        </is>
      </c>
      <c r="F366" t="inlineStr">
        <is>
          <t>Tested, code not linked</t>
        </is>
      </c>
      <c r="H366">
        <f>IF(G366&lt;&gt;"",G366,F366)</f>
        <v/>
      </c>
      <c r="I366" t="n">
        <v>0</v>
      </c>
      <c r="J366" t="n">
        <v>1</v>
      </c>
      <c r="K366" t="n">
        <v>1</v>
      </c>
      <c r="L366" s="5" t="inlineStr">
        <is>
          <t>exam-app-org:packages/yx-ui/src/screens/hiring/hiring.test.tsx</t>
        </is>
      </c>
      <c r="M366" s="5" t="n"/>
    </row>
    <row r="367">
      <c r="A367" t="inlineStr">
        <is>
          <t>YX-PRJ-08</t>
        </is>
      </c>
      <c r="B367" t="inlineStr">
        <is>
          <t>M12</t>
        </is>
      </c>
      <c r="C367" t="inlineStr">
        <is>
          <t>YX-PRJ</t>
        </is>
      </c>
      <c r="D367" t="inlineStr">
        <is>
          <t>6+</t>
        </is>
      </c>
      <c r="E367" s="5" t="inlineStr">
        <is>
          <t>Individual cost rates are visible only to payroll / finance scope; PMs and account managers see project cost, margin and burn as totals, and a cost figure that would reveal one person's rate (one person on the project or task in that month) is suppressed for them.</t>
        </is>
      </c>
      <c r="F367" t="inlineStr">
        <is>
          <t>UI prototype only</t>
        </is>
      </c>
      <c r="H367">
        <f>IF(G367&lt;&gt;"",G367,F367)</f>
        <v/>
      </c>
      <c r="I367" t="n">
        <v>0</v>
      </c>
      <c r="J367" t="n">
        <v>0</v>
      </c>
      <c r="K367" t="n">
        <v>2</v>
      </c>
      <c r="L367" s="5" t="inlineStr"/>
      <c r="M367" s="5" t="n"/>
    </row>
    <row r="368">
      <c r="A368" t="inlineStr">
        <is>
          <t>YX-PRJ-09</t>
        </is>
      </c>
      <c r="B368" t="inlineStr">
        <is>
          <t>M12</t>
        </is>
      </c>
      <c r="C368" t="inlineStr">
        <is>
          <t>YX-PRJ</t>
        </is>
      </c>
      <c r="D368" t="inlineStr">
        <is>
          <t>6+</t>
        </is>
      </c>
      <c r="E368" s="5" t="inlineStr">
        <is>
          <t>Time &amp; material billing: an invoice line = approved (and, where required, client-approved) billable hours × the bill rate valid on the work date (person override &gt; project role &gt; project default), grouped as the project's invoice layout says (by person, role or task); unapproved, non-billable or already-invoiced hours are never billed; the WIP view lists everything billable not yet invoiced.</t>
        </is>
      </c>
      <c r="F368" t="inlineStr">
        <is>
          <t>Tested, code not linked</t>
        </is>
      </c>
      <c r="H368">
        <f>IF(G368&lt;&gt;"",G368,F368)</f>
        <v/>
      </c>
      <c r="I368" t="n">
        <v>0</v>
      </c>
      <c r="J368" t="n">
        <v>1</v>
      </c>
      <c r="K368" t="n">
        <v>2</v>
      </c>
      <c r="L368" s="5" t="inlineStr">
        <is>
          <t>exam-app-org:packages/yx-ui/src/screens/hiring/hiring.test.tsx</t>
        </is>
      </c>
      <c r="M368" s="5" t="n"/>
    </row>
    <row r="369">
      <c r="A369" t="inlineStr">
        <is>
          <t>YX-PRJ-10</t>
        </is>
      </c>
      <c r="B369" t="inlineStr">
        <is>
          <t>M12</t>
        </is>
      </c>
      <c r="C369" t="inlineStr">
        <is>
          <t>YX-PRJ</t>
        </is>
      </c>
      <c r="D369" t="inlineStr">
        <is>
          <t>6+</t>
        </is>
      </c>
      <c r="E369" s="5" t="inlineStr">
        <is>
          <t>Fixed-fee billing: milestone amounts must add up to the contract value (warning when not); a milestone becomes billable only when completed by the PM (and accepted by the client where the project needs it); a retainer bills its monthly amount on the company's billing day; effort on fixed-fee projects is costed (YX-PRJ-07) but never billed per hour.</t>
        </is>
      </c>
      <c r="F369" t="inlineStr">
        <is>
          <t>Tested, code not linked</t>
        </is>
      </c>
      <c r="H369">
        <f>IF(G369&lt;&gt;"",G369,F369)</f>
        <v/>
      </c>
      <c r="I369" t="n">
        <v>0</v>
      </c>
      <c r="J369" t="n">
        <v>1</v>
      </c>
      <c r="K369" t="n">
        <v>1</v>
      </c>
      <c r="L369" s="5" t="inlineStr">
        <is>
          <t>exam-app-org:packages/yx-ui/src/screens/hiring/hiring.test.tsx</t>
        </is>
      </c>
      <c r="M369" s="5" t="n"/>
    </row>
    <row r="370">
      <c r="A370" t="inlineStr">
        <is>
          <t>YX-PRJ-11</t>
        </is>
      </c>
      <c r="B370" t="inlineStr">
        <is>
          <t>M12</t>
        </is>
      </c>
      <c r="C370" t="inlineStr">
        <is>
          <t>YX-PRJ</t>
        </is>
      </c>
      <c r="D370" t="inlineStr">
        <is>
          <t>6+</t>
        </is>
      </c>
      <c r="E370" s="5" t="inlineStr">
        <is>
          <t>Invoices for services projects are produced by the shared M10 invoice engine: same numbering per entity / GSTIN, GST (place of supply from client GSTIN), credit notes, PO number, e-invoicing via the GSP add-on, receivables and collections (YX-ATS-16); an invoice is created as a draft from WIP, approved (P03, starter: account manager → finance) and then issued; issued invoices are never edited.</t>
        </is>
      </c>
      <c r="F370" t="inlineStr">
        <is>
          <t>Not started</t>
        </is>
      </c>
      <c r="H370">
        <f>IF(G370&lt;&gt;"",G370,F370)</f>
        <v/>
      </c>
      <c r="I370" t="n">
        <v>0</v>
      </c>
      <c r="J370" t="n">
        <v>0</v>
      </c>
      <c r="K370" t="n">
        <v>0</v>
      </c>
      <c r="L370" s="5" t="inlineStr"/>
      <c r="M370" s="5" t="n"/>
    </row>
    <row r="371">
      <c r="A371" t="inlineStr">
        <is>
          <t>YX-PRJ-12</t>
        </is>
      </c>
      <c r="B371" t="inlineStr">
        <is>
          <t>M12</t>
        </is>
      </c>
      <c r="C371" t="inlineStr">
        <is>
          <t>YX-PRJ</t>
        </is>
      </c>
      <c r="D371" t="inlineStr">
        <is>
          <t>6+</t>
        </is>
      </c>
      <c r="E371" s="5" t="inlineStr">
        <is>
          <t>Accounting export (P10 Q7): issued invoices, receipts and credit notes with the project dimension; a monthly project cost journal (reclassifying payroll cost from cost centre to project, from project_cost_postings); WIP and fixed-fee progress as a report for finance's revenue recognition. Exports are idempotent per period and version.</t>
        </is>
      </c>
      <c r="F371" t="inlineStr">
        <is>
          <t>Not started</t>
        </is>
      </c>
      <c r="H371">
        <f>IF(G371&lt;&gt;"",G371,F371)</f>
        <v/>
      </c>
      <c r="I371" t="n">
        <v>0</v>
      </c>
      <c r="J371" t="n">
        <v>0</v>
      </c>
      <c r="K371" t="n">
        <v>0</v>
      </c>
      <c r="L371" s="5" t="inlineStr"/>
      <c r="M371" s="5" t="n"/>
    </row>
    <row r="372">
      <c r="A372" t="inlineStr">
        <is>
          <t>YX-PRJ-13</t>
        </is>
      </c>
      <c r="B372" t="inlineStr">
        <is>
          <t>M12</t>
        </is>
      </c>
      <c r="C372" t="inlineStr">
        <is>
          <t>YX-PRJ</t>
        </is>
      </c>
      <c r="D372" t="inlineStr">
        <is>
          <t>6+</t>
        </is>
      </c>
      <c r="E372" s="5" t="inlineStr">
        <is>
          <t>Payroll reads project hours only for employees whose attendance mode is Timesheet (M02 D1) or whose pay basis is rate-based (M03 YX-PAY-24), through the unchanged M02 §B6 feed; for Punch and Assumed-present employees project hours drive costing and billing only, and a difference between timesheet hours and attendance worked hours is flagged to the PM, never auto-corrected.</t>
        </is>
      </c>
      <c r="F372" t="inlineStr">
        <is>
          <t>Not started</t>
        </is>
      </c>
      <c r="H372">
        <f>IF(G372&lt;&gt;"",G372,F372)</f>
        <v/>
      </c>
      <c r="I372" t="n">
        <v>0</v>
      </c>
      <c r="J372" t="n">
        <v>0</v>
      </c>
      <c r="K372" t="n">
        <v>0</v>
      </c>
      <c r="L372" s="5" t="inlineStr"/>
      <c r="M372" s="5" t="n"/>
    </row>
    <row r="373">
      <c r="A373" t="inlineStr">
        <is>
          <t>YX-PRJ-14</t>
        </is>
      </c>
      <c r="B373" t="inlineStr">
        <is>
          <t>M12</t>
        </is>
      </c>
      <c r="C373" t="inlineStr">
        <is>
          <t>YX-PRJ</t>
        </is>
      </c>
      <c r="D373" t="inlineStr">
        <is>
          <t>6+</t>
        </is>
      </c>
      <c r="E373" s="5" t="inlineStr">
        <is>
          <t>Every project, timesheet and billing policy (allocation rule, daily maximum, notes, approval chain, client approval, utilisation targets, alert thresholds, invoice grouping, billing day) is a company setting from a labelled starter template (D17); the company can override per project where the setting allows.</t>
        </is>
      </c>
      <c r="F373" t="inlineStr">
        <is>
          <t>Not started</t>
        </is>
      </c>
      <c r="H373">
        <f>IF(G373&lt;&gt;"",G373,F373)</f>
        <v/>
      </c>
      <c r="I373" t="n">
        <v>0</v>
      </c>
      <c r="J373" t="n">
        <v>0</v>
      </c>
      <c r="K373" t="n">
        <v>0</v>
      </c>
      <c r="L373" s="5" t="inlineStr"/>
      <c r="M373" s="5" t="n"/>
    </row>
    <row r="374">
      <c r="A374" t="inlineStr">
        <is>
          <t>YX-PRJ-15</t>
        </is>
      </c>
      <c r="B374" t="inlineStr">
        <is>
          <t>M12</t>
        </is>
      </c>
      <c r="C374" t="inlineStr">
        <is>
          <t>YX-PRJ</t>
        </is>
      </c>
      <c r="D374" t="inlineStr">
        <is>
          <t>6+</t>
        </is>
      </c>
      <c r="E374" s="5" t="inlineStr">
        <is>
          <t>J19. A correction to approved time that is already invoiced creates a credit note (or supplementary invoice) linked to the original invoice. By company policy it is linked to a pay recovery in M03 or to none; project margin is restated for the affected period and the change is audited (P08 period locks respected).</t>
        </is>
      </c>
      <c r="F374" t="inlineStr">
        <is>
          <t>Tested, code not linked</t>
        </is>
      </c>
      <c r="H374">
        <f>IF(G374&lt;&gt;"",G374,F374)</f>
        <v/>
      </c>
      <c r="I374" t="n">
        <v>0</v>
      </c>
      <c r="J374" t="n">
        <v>1</v>
      </c>
      <c r="K374" t="n">
        <v>1</v>
      </c>
      <c r="L374" s="5" t="inlineStr">
        <is>
          <t>exam-app-org:packages/yx-ui/src/screens/hiring/hiring.test.tsx</t>
        </is>
      </c>
      <c r="M374" s="5" t="n"/>
    </row>
    <row r="375">
      <c r="A375" t="inlineStr">
        <is>
          <t>YX-PRJ-16</t>
        </is>
      </c>
      <c r="B375" t="inlineStr">
        <is>
          <t>M12</t>
        </is>
      </c>
      <c r="C375" t="inlineStr">
        <is>
          <t>YX-PRJ</t>
        </is>
      </c>
      <c r="D375" t="inlineStr">
        <is>
          <t>6+</t>
        </is>
      </c>
      <c r="E375" s="5" t="inlineStr">
        <is>
          <t>R20. Same guard as M10: for an entity at or above the e-invoice threshold (AATO in P07; verify the current threshold), a project invoice dated more than 30 days ago cannot be sent for IRN: warning from day 25, blocked after day 30.</t>
        </is>
      </c>
      <c r="F375" t="inlineStr">
        <is>
          <t>Tested, code not linked</t>
        </is>
      </c>
      <c r="H375">
        <f>IF(G375&lt;&gt;"",G375,F375)</f>
        <v/>
      </c>
      <c r="I375" t="n">
        <v>0</v>
      </c>
      <c r="J375" t="n">
        <v>1</v>
      </c>
      <c r="K375" t="n">
        <v>2</v>
      </c>
      <c r="L375" s="5" t="inlineStr">
        <is>
          <t>exam-app-org:packages/yx-ui/src/screens/hiring/hiring.test.tsx</t>
        </is>
      </c>
      <c r="M375" s="5" t="n"/>
    </row>
    <row r="376">
      <c r="A376" t="inlineStr">
        <is>
          <t>YX-PRJ-17</t>
        </is>
      </c>
      <c r="B376" t="inlineStr">
        <is>
          <t>M12</t>
        </is>
      </c>
      <c r="C376" t="inlineStr">
        <is>
          <t>YX-PRJ</t>
        </is>
      </c>
      <c r="D376" t="inlineStr">
        <is>
          <t>6+</t>
        </is>
      </c>
      <c r="E376" s="5" t="inlineStr">
        <is>
          <t>V18. Each employee has a bench status (allocated / partly allocated / bench) derived from allocations, with bench ageing in days. A PM raises a resource request (skills, level, dates, % allocation); the system matches on skills from the M06 skills library (YX-PERF-20) and availability, ranks bench people first, and the resource manager confirms the allocation.</t>
        </is>
      </c>
      <c r="F376" t="inlineStr">
        <is>
          <t>Tested, code not linked</t>
        </is>
      </c>
      <c r="H376">
        <f>IF(G376&lt;&gt;"",G376,F376)</f>
        <v/>
      </c>
      <c r="I376" t="n">
        <v>0</v>
      </c>
      <c r="J376" t="n">
        <v>1</v>
      </c>
      <c r="K376" t="n">
        <v>1</v>
      </c>
      <c r="L376" s="5" t="inlineStr">
        <is>
          <t>exam-app-org:packages/yx-ui/src/screens/hiring/hiring.test.tsx</t>
        </is>
      </c>
      <c r="M376" s="5" t="n"/>
    </row>
    <row r="377">
      <c r="A377" t="inlineStr">
        <is>
          <t>YX-CLRA-01</t>
        </is>
      </c>
      <c r="B377" t="inlineStr">
        <is>
          <t>M13</t>
        </is>
      </c>
      <c r="C377" t="inlineStr">
        <is>
          <t>YX-CLRA</t>
        </is>
      </c>
      <c r="D377" t="inlineStr">
        <is>
          <t>6+</t>
        </is>
      </c>
      <c r="E377" s="5" t="inlineStr">
        <is>
          <t>Applicability: an establishment's contract-worker count (active deployments) is compared with the dated IN.CLRA thresholds for its state; crossing a threshold without a valid registration certificate raises a liability alert to the compliance owner.</t>
        </is>
      </c>
      <c r="F377" t="inlineStr">
        <is>
          <t>Not started</t>
        </is>
      </c>
      <c r="H377">
        <f>IF(G377&lt;&gt;"",G377,F377)</f>
        <v/>
      </c>
      <c r="I377" t="n">
        <v>0</v>
      </c>
      <c r="J377" t="n">
        <v>0</v>
      </c>
      <c r="K377" t="n">
        <v>0</v>
      </c>
      <c r="L377" s="5" t="inlineStr"/>
      <c r="M377" s="5" t="n"/>
    </row>
    <row r="378">
      <c r="A378" t="inlineStr">
        <is>
          <t>YX-CLRA-02</t>
        </is>
      </c>
      <c r="B378" t="inlineStr">
        <is>
          <t>M13</t>
        </is>
      </c>
      <c r="C378" t="inlineStr">
        <is>
          <t>YX-CLRA</t>
        </is>
      </c>
      <c r="D378" t="inlineStr">
        <is>
          <t>6+</t>
        </is>
      </c>
      <c r="E378" s="5" t="inlineStr">
        <is>
          <t>Licence and RC limits: a worker can be deployed only through a contractor with a licence valid for that establishment on the deployment date, and only while the contractor's active deployments stay within the licence and RC maximums; the check runs at deployment and daily. Licence and RC expiry alerts fire at the company's lead times (starter: 60 / 30 / 7 days).</t>
        </is>
      </c>
      <c r="F378" t="inlineStr">
        <is>
          <t>UI prototype only</t>
        </is>
      </c>
      <c r="H378">
        <f>IF(G378&lt;&gt;"",G378,F378)</f>
        <v/>
      </c>
      <c r="I378" t="n">
        <v>0</v>
      </c>
      <c r="J378" t="n">
        <v>0</v>
      </c>
      <c r="K378" t="n">
        <v>2</v>
      </c>
      <c r="L378" s="5" t="inlineStr"/>
      <c r="M378" s="5" t="n"/>
    </row>
    <row r="379">
      <c r="A379" t="inlineStr">
        <is>
          <t>YX-CLRA-03</t>
        </is>
      </c>
      <c r="B379" t="inlineStr">
        <is>
          <t>M13</t>
        </is>
      </c>
      <c r="C379" t="inlineStr">
        <is>
          <t>YX-CLRA</t>
        </is>
      </c>
      <c r="D379" t="inlineStr">
        <is>
          <t>6+</t>
        </is>
      </c>
      <c r="E379" s="5" t="inlineStr">
        <is>
          <t>Worker register: every deployed worker has name, photo, masked ID, DOB (deployment blocked under 18), gender, skill category, wage rate and deployment dates; the contract-worker register for the establishment is generated from these records in the IN.REGISTERS format valid on the period date.</t>
        </is>
      </c>
      <c r="F379" t="inlineStr">
        <is>
          <t>Not started</t>
        </is>
      </c>
      <c r="H379">
        <f>IF(G379&lt;&gt;"",G379,F379)</f>
        <v/>
      </c>
      <c r="I379" t="n">
        <v>0</v>
      </c>
      <c r="J379" t="n">
        <v>0</v>
      </c>
      <c r="K379" t="n">
        <v>0</v>
      </c>
      <c r="L379" s="5" t="inlineStr"/>
      <c r="M379" s="5" t="n"/>
    </row>
    <row r="380">
      <c r="A380" t="inlineStr">
        <is>
          <t>YX-CLRA-04</t>
        </is>
      </c>
      <c r="B380" t="inlineStr">
        <is>
          <t>M13</t>
        </is>
      </c>
      <c r="C380" t="inlineStr">
        <is>
          <t>YX-CLRA</t>
        </is>
      </c>
      <c r="D380" t="inlineStr">
        <is>
          <t>6+</t>
        </is>
      </c>
      <c r="E380" s="5" t="inlineStr">
        <is>
          <t>Site attendance: contract workers check in only with a valid gate pass, through the M02 kiosk or a mapped biometric device; their punches carry person_type = contract_worker, never create employee exceptions or payroll inputs, and give the days on site used to check the contractor's wage register.</t>
        </is>
      </c>
      <c r="F380" t="inlineStr">
        <is>
          <t>Not started</t>
        </is>
      </c>
      <c r="H380">
        <f>IF(G380&lt;&gt;"",G380,F380)</f>
        <v/>
      </c>
      <c r="I380" t="n">
        <v>0</v>
      </c>
      <c r="J380" t="n">
        <v>0</v>
      </c>
      <c r="K380" t="n">
        <v>0</v>
      </c>
      <c r="L380" s="5" t="inlineStr"/>
      <c r="M380" s="5" t="n"/>
    </row>
    <row r="381">
      <c r="A381" t="inlineStr">
        <is>
          <t>YX-CLRA-05</t>
        </is>
      </c>
      <c r="B381" t="inlineStr">
        <is>
          <t>M13</t>
        </is>
      </c>
      <c r="C381" t="inlineStr">
        <is>
          <t>YX-CLRA</t>
        </is>
      </c>
      <c r="D381" t="inlineStr">
        <is>
          <t>6+</t>
        </is>
      </c>
      <c r="E381" s="5" t="inlineStr">
        <is>
          <t>Monthly compliance pack: for each contractor × establishment × wage month, the proofs required by company policy (starter: PF ECR + challan, ESI challan, wage register, wage-payment proof) are due by the policy date (starter: 15th of the following month, never later than the statutory dates in IN.CLRA / IN.CAL); missing proofs after the due date raise an overdue alert.</t>
        </is>
      </c>
      <c r="F381" t="inlineStr">
        <is>
          <t>Not started</t>
        </is>
      </c>
      <c r="H381">
        <f>IF(G381&lt;&gt;"",G381,F381)</f>
        <v/>
      </c>
      <c r="I381" t="n">
        <v>0</v>
      </c>
      <c r="J381" t="n">
        <v>0</v>
      </c>
      <c r="K381" t="n">
        <v>0</v>
      </c>
      <c r="L381" s="5" t="inlineStr"/>
      <c r="M381" s="5" t="n"/>
    </row>
    <row r="382">
      <c r="A382" t="inlineStr">
        <is>
          <t>YX-CLRA-06</t>
        </is>
      </c>
      <c r="B382" t="inlineStr">
        <is>
          <t>M13</t>
        </is>
      </c>
      <c r="C382" t="inlineStr">
        <is>
          <t>YX-CLRA</t>
        </is>
      </c>
      <c r="D382" t="inlineStr">
        <is>
          <t>6+</t>
        </is>
      </c>
      <c r="E382" s="5" t="inlineStr">
        <is>
          <t>Verification: each proof is verified by a holder of clra.proof.verify (never the person who uploaded it) with automatic checks: challan period and establishment code match the contractor, workers covered ≥ workers with site attendance, amounts consistent with declared wages, wages per worker ≥ the P07 minimum wage for the state, zone and skill category, days paid ≥ days on site. Each failed check is a discrepancy the contractor must answer.</t>
        </is>
      </c>
      <c r="F382" t="inlineStr">
        <is>
          <t>UI prototype only</t>
        </is>
      </c>
      <c r="H382">
        <f>IF(G382&lt;&gt;"",G382,F382)</f>
        <v/>
      </c>
      <c r="I382" t="n">
        <v>0</v>
      </c>
      <c r="J382" t="n">
        <v>0</v>
      </c>
      <c r="K382" t="n">
        <v>1</v>
      </c>
      <c r="L382" s="5" t="inlineStr"/>
      <c r="M382" s="5" t="n"/>
    </row>
    <row r="383">
      <c r="A383" t="inlineStr">
        <is>
          <t>YX-CLRA-07</t>
        </is>
      </c>
      <c r="B383" t="inlineStr">
        <is>
          <t>M13</t>
        </is>
      </c>
      <c r="C383" t="inlineStr">
        <is>
          <t>YX-CLRA</t>
        </is>
      </c>
      <c r="D383" t="inlineStr">
        <is>
          <t>6+</t>
        </is>
      </c>
      <c r="E383" s="5" t="inlineStr">
        <is>
          <t>Liability alerts: unpaid wages (no payment proof by the statutory wage date), wages below minimum, missing or short PF / ESI challans, expired licence / RC, over-limit deployment or an underage worker each raise an alert to the compliance owner and site HR with the principal employer's potential liability estimated; alerts stay open until resolved with a note (audited).</t>
        </is>
      </c>
      <c r="F383" t="inlineStr">
        <is>
          <t>Not started</t>
        </is>
      </c>
      <c r="H383">
        <f>IF(G383&lt;&gt;"",G383,F383)</f>
        <v/>
      </c>
      <c r="I383" t="n">
        <v>0</v>
      </c>
      <c r="J383" t="n">
        <v>0</v>
      </c>
      <c r="K383" t="n">
        <v>0</v>
      </c>
      <c r="L383" s="5" t="inlineStr"/>
      <c r="M383" s="5" t="n"/>
    </row>
    <row r="384">
      <c r="A384" t="inlineStr">
        <is>
          <t>YX-CLRA-08</t>
        </is>
      </c>
      <c r="B384" t="inlineStr">
        <is>
          <t>M13</t>
        </is>
      </c>
      <c r="C384" t="inlineStr">
        <is>
          <t>YX-CLRA</t>
        </is>
      </c>
      <c r="D384" t="inlineStr">
        <is>
          <t>6+</t>
        </is>
      </c>
      <c r="E384" s="5" t="inlineStr">
        <is>
          <t>Payment hold: under the company's policy (starter: hold the contractor's bill payment while the month's pack has unresolved overdue or discrepancy items, with override by the compliance owner giving a reason), M03 marks the invoice held; payment of wages directly by the principal employer, when needed, is recorded and recovered from the contractor's next bills.</t>
        </is>
      </c>
      <c r="F384" t="inlineStr">
        <is>
          <t>Not started</t>
        </is>
      </c>
      <c r="H384">
        <f>IF(G384&lt;&gt;"",G384,F384)</f>
        <v/>
      </c>
      <c r="I384" t="n">
        <v>0</v>
      </c>
      <c r="J384" t="n">
        <v>0</v>
      </c>
      <c r="K384" t="n">
        <v>0</v>
      </c>
      <c r="L384" s="5" t="inlineStr"/>
      <c r="M384" s="5" t="n"/>
    </row>
    <row r="385">
      <c r="A385" t="inlineStr">
        <is>
          <t>YX-CLRA-09</t>
        </is>
      </c>
      <c r="B385" t="inlineStr">
        <is>
          <t>M13</t>
        </is>
      </c>
      <c r="C385" t="inlineStr">
        <is>
          <t>YX-CLRA</t>
        </is>
      </c>
      <c r="D385" t="inlineStr">
        <is>
          <t>6+</t>
        </is>
      </c>
      <c r="E385" s="5" t="inlineStr">
        <is>
          <t>Contractor payments: contractor bills are consultant / vendor invoices in M03 (YX-PAY-38) with TDS s.194C (YX-TAX-16) and GST captured; the invoice links to its work order and month's pack.</t>
        </is>
      </c>
      <c r="F385" t="inlineStr">
        <is>
          <t>Not started</t>
        </is>
      </c>
      <c r="H385">
        <f>IF(G385&lt;&gt;"",G385,F385)</f>
        <v/>
      </c>
      <c r="I385" t="n">
        <v>0</v>
      </c>
      <c r="J385" t="n">
        <v>0</v>
      </c>
      <c r="K385" t="n">
        <v>0</v>
      </c>
      <c r="L385" s="5" t="inlineStr"/>
      <c r="M385" s="5" t="n"/>
    </row>
    <row r="386">
      <c r="A386" t="inlineStr">
        <is>
          <t>YX-CLRA-10</t>
        </is>
      </c>
      <c r="B386" t="inlineStr">
        <is>
          <t>M13</t>
        </is>
      </c>
      <c r="C386" t="inlineStr">
        <is>
          <t>YX-CLRA</t>
        </is>
      </c>
      <c r="D386" t="inlineStr">
        <is>
          <t>6+</t>
        </is>
      </c>
      <c r="E386" s="5" t="inlineStr">
        <is>
          <t>Registers &amp; returns: principal-employer registers (e.g. register of contractors) and returns (e.g. annual return) are generated in the dated IN.REGISTERS / IN.CLRA formats, frozen on the period lock, DSC-signed (as M03 YX-PAY-39) and tracked in the compliance calendar.</t>
        </is>
      </c>
      <c r="F386" t="inlineStr">
        <is>
          <t>Not started</t>
        </is>
      </c>
      <c r="H386">
        <f>IF(G386&lt;&gt;"",G386,F386)</f>
        <v/>
      </c>
      <c r="I386" t="n">
        <v>0</v>
      </c>
      <c r="J386" t="n">
        <v>0</v>
      </c>
      <c r="K386" t="n">
        <v>0</v>
      </c>
      <c r="L386" s="5" t="inlineStr"/>
      <c r="M386" s="5" t="n"/>
    </row>
    <row r="387">
      <c r="A387" t="inlineStr">
        <is>
          <t>YX-CLRA-11</t>
        </is>
      </c>
      <c r="B387" t="inlineStr">
        <is>
          <t>M13</t>
        </is>
      </c>
      <c r="C387" t="inlineStr">
        <is>
          <t>YX-CLRA</t>
        </is>
      </c>
      <c r="D387" t="inlineStr">
        <is>
          <t>6+</t>
        </is>
      </c>
      <c r="E387" s="5" t="inlineStr">
        <is>
          <t>Contractor login: a contractor's representative uses the Contractor (vendor) external login (P02 §4.7: OTP, own records only, not a billed seat, expires when the contractor is deactivated) to maintain worker lists, upload proofs and bills, and answer discrepancies.</t>
        </is>
      </c>
      <c r="F387" t="inlineStr">
        <is>
          <t>Not started</t>
        </is>
      </c>
      <c r="H387">
        <f>IF(G387&lt;&gt;"",G387,F387)</f>
        <v/>
      </c>
      <c r="I387" t="n">
        <v>0</v>
      </c>
      <c r="J387" t="n">
        <v>0</v>
      </c>
      <c r="K387" t="n">
        <v>0</v>
      </c>
      <c r="L387" s="5" t="inlineStr"/>
      <c r="M387" s="5" t="n"/>
    </row>
    <row r="388">
      <c r="A388" t="inlineStr">
        <is>
          <t>YX-CLRA-12</t>
        </is>
      </c>
      <c r="B388" t="inlineStr">
        <is>
          <t>M13</t>
        </is>
      </c>
      <c r="C388" t="inlineStr">
        <is>
          <t>YX-CLRA</t>
        </is>
      </c>
      <c r="D388" t="inlineStr">
        <is>
          <t>6+</t>
        </is>
      </c>
      <c r="E388" s="5" t="inlineStr">
        <is>
          <t>Billing: each contract worker with site attendance in the month counts as one HRMS billable unit for that legal entity (amended 28 Sep 2026, J15: once per person, and not again if the same person is also a billable employee or consultant that month, P14 YX-BILL-02) (as consultants, P14 YX-BILL-10); a registered worker with no attendance that month is not counted; the Contractor login is never billed.</t>
        </is>
      </c>
      <c r="F388" t="inlineStr">
        <is>
          <t>Not started</t>
        </is>
      </c>
      <c r="H388">
        <f>IF(G388&lt;&gt;"",G388,F388)</f>
        <v/>
      </c>
      <c r="I388" t="n">
        <v>0</v>
      </c>
      <c r="J388" t="n">
        <v>0</v>
      </c>
      <c r="K388" t="n">
        <v>0</v>
      </c>
      <c r="L388" s="5" t="inlineStr"/>
      <c r="M388" s="5" t="n"/>
    </row>
    <row r="389">
      <c r="A389" t="inlineStr">
        <is>
          <t>YX-CLRA-13</t>
        </is>
      </c>
      <c r="B389" t="inlineStr">
        <is>
          <t>M13</t>
        </is>
      </c>
      <c r="C389" t="inlineStr">
        <is>
          <t>YX-CLRA</t>
        </is>
      </c>
      <c r="D389" t="inlineStr">
        <is>
          <t>6+</t>
        </is>
      </c>
      <c r="E389" s="5" t="inlineStr">
        <is>
          <t>OSH Code mapping (C1): for dates from 21 Nov 2025, IN.CLRA parameters (thresholds, registration, licence scope and validity, registers, returns) come from the OSH Code contract-labour chapter in P07 IN.OSH; CLRA 1970 values apply before that date and, after it, only as transitional values for a state whose OSH rules are not notified (P07 flag per state). A registration row is the establishment's single OSH Code registration (family = OSH Code); a contractor licence may cover several establishments or states (scope), and YX-CLRA-02 checks the deployment's establishment against it. Threshold num</t>
        </is>
      </c>
      <c r="F389" t="inlineStr">
        <is>
          <t>Not started</t>
        </is>
      </c>
      <c r="H389">
        <f>IF(G389&lt;&gt;"",G389,F389)</f>
        <v/>
      </c>
      <c r="I389" t="n">
        <v>0</v>
      </c>
      <c r="J389" t="n">
        <v>0</v>
      </c>
      <c r="K389" t="n">
        <v>0</v>
      </c>
      <c r="L389" s="5" t="inlineStr"/>
      <c r="M389" s="5" t="n"/>
    </row>
    <row r="390">
      <c r="A390" t="inlineStr">
        <is>
          <t>YX-CLRA-14</t>
        </is>
      </c>
      <c r="B390" t="inlineStr">
        <is>
          <t>M13</t>
        </is>
      </c>
      <c r="C390" t="inlineStr">
        <is>
          <t>YX-CLRA</t>
        </is>
      </c>
      <c r="D390" t="inlineStr">
        <is>
          <t>6+</t>
        </is>
      </c>
      <c r="E390" s="5" t="inlineStr">
        <is>
          <t>Contract workers are persons (J15, J8). Every contract worker links to a P01 persons record (YX-ORG-27 matching; the duplicate check across contractors runs on the person); the biometric / kiosk device_user_map is keyed by the person, so when the worker converts to employee (M01 YX-LC-30) the same enrolment keeps working and punches from the conversion date carry person_type = employee; earlier punches, deployments and register rows stay as contract-worker records.</t>
        </is>
      </c>
      <c r="F390" t="inlineStr">
        <is>
          <t>Not started</t>
        </is>
      </c>
      <c r="H390">
        <f>IF(G390&lt;&gt;"",G390,F390)</f>
        <v/>
      </c>
      <c r="I390" t="n">
        <v>0</v>
      </c>
      <c r="J390" t="n">
        <v>0</v>
      </c>
      <c r="K390" t="n">
        <v>0</v>
      </c>
      <c r="L390" s="5" t="inlineStr"/>
      <c r="M390" s="5" t="n"/>
    </row>
    <row r="391">
      <c r="A391" t="inlineStr">
        <is>
          <t>YX-CLRA-15</t>
        </is>
      </c>
      <c r="B391" t="inlineStr">
        <is>
          <t>M13</t>
        </is>
      </c>
      <c r="C391" t="inlineStr">
        <is>
          <t>YX-CLRA</t>
        </is>
      </c>
      <c r="D391" t="inlineStr">
        <is>
          <t>6+</t>
        </is>
      </c>
      <c r="E391" s="5" t="inlineStr">
        <is>
          <t>Tenant as contractor (J17). When a legal entity is flagged as a contractor, deploying its employees to a client establishment needs a valid licence covering that establishment (per client establishment, or a single OSH Code licence whose scope covers it, verify) with headroom under its maximum; each wage month it builds a compliance pack per client establishment from M02 / M03 (wage register, muster, PF ECR / TRRN, ESI challan, wage-payment proof, PT / LWF) by the client's due date (D17), and HR records the portal upload (date, reference, acknowledgement document); an overdue or missing upload</t>
        </is>
      </c>
      <c r="F391" t="inlineStr">
        <is>
          <t>Not started</t>
        </is>
      </c>
      <c r="H391">
        <f>IF(G391&lt;&gt;"",G391,F391)</f>
        <v/>
      </c>
      <c r="I391" t="n">
        <v>0</v>
      </c>
      <c r="J391" t="n">
        <v>0</v>
      </c>
      <c r="K391" t="n">
        <v>0</v>
      </c>
      <c r="L391" s="5" t="inlineStr"/>
      <c r="M391" s="5" t="n"/>
    </row>
    <row r="392">
      <c r="A392" t="inlineStr">
        <is>
          <t>YX-ORG-01</t>
        </is>
      </c>
      <c r="B392" t="inlineStr">
        <is>
          <t>P01</t>
        </is>
      </c>
      <c r="C392" t="inlineStr">
        <is>
          <t>YX-ORG</t>
        </is>
      </c>
      <c r="D392" t="inlineStr">
        <is>
          <t>0, 2</t>
        </is>
      </c>
      <c r="E392" s="5" t="inlineStr">
        <is>
          <t>A tenant has at least one legal entity; exactly one is marked default.</t>
        </is>
      </c>
      <c r="F392" t="inlineStr">
        <is>
          <t>Built + tested</t>
        </is>
      </c>
      <c r="H392">
        <f>IF(G392&lt;&gt;"",G392,F392)</f>
        <v/>
      </c>
      <c r="I392" t="n">
        <v>4</v>
      </c>
      <c r="J392" t="n">
        <v>2</v>
      </c>
      <c r="K392" t="n">
        <v>1</v>
      </c>
      <c r="L392" s="5" t="inlineStr">
        <is>
          <t>exam-app-org:apps/api/prisma/migrations/20261007000000_org_structure/migration.sql
exam-app-org:apps/api/prisma/seed-org-structure.ts
exam-app-org:apps/api/src/org-structure/org-structure.service.ts</t>
        </is>
      </c>
      <c r="M392" s="5" t="n"/>
    </row>
    <row r="393">
      <c r="A393" t="inlineStr">
        <is>
          <t>YX-ORG-02</t>
        </is>
      </c>
      <c r="B393" t="inlineStr">
        <is>
          <t>P01</t>
        </is>
      </c>
      <c r="C393" t="inlineStr">
        <is>
          <t>YX-ORG</t>
        </is>
      </c>
      <c r="D393" t="inlineStr">
        <is>
          <t>0, 2</t>
        </is>
      </c>
      <c r="E393" s="5" t="inlineStr">
        <is>
          <t>A location belongs to exactly one legal entity; its state and timezone are mandatory.</t>
        </is>
      </c>
      <c r="F393" t="inlineStr">
        <is>
          <t>Built + tested</t>
        </is>
      </c>
      <c r="H393">
        <f>IF(G393&lt;&gt;"",G393,F393)</f>
        <v/>
      </c>
      <c r="I393" t="n">
        <v>4</v>
      </c>
      <c r="J393" t="n">
        <v>3</v>
      </c>
      <c r="K393" t="n">
        <v>1</v>
      </c>
      <c r="L393" s="5" t="inlineStr">
        <is>
          <t>exam-app-org:apps/api/prisma/migrations/20261007000000_org_structure/migration.sql
exam-app-org:apps/api/prisma/seed-org-structure.ts
exam-app-org:apps/api/src/org-structure/dto.ts</t>
        </is>
      </c>
      <c r="M393" s="5" t="n"/>
    </row>
    <row r="394">
      <c r="A394" t="inlineStr">
        <is>
          <t>YX-ORG-03</t>
        </is>
      </c>
      <c r="B394" t="inlineStr">
        <is>
          <t>P01</t>
        </is>
      </c>
      <c r="C394" t="inlineStr">
        <is>
          <t>YX-ORG</t>
        </is>
      </c>
      <c r="D394" t="inlineStr">
        <is>
          <t>0, 2</t>
        </is>
      </c>
      <c r="E394" s="5" t="inlineStr">
        <is>
          <t>Department parent chains cannot form cycles; moving a department moves its subtree.</t>
        </is>
      </c>
      <c r="F394" t="inlineStr">
        <is>
          <t>Built + tested</t>
        </is>
      </c>
      <c r="H394">
        <f>IF(G394&lt;&gt;"",G394,F394)</f>
        <v/>
      </c>
      <c r="I394" t="n">
        <v>3</v>
      </c>
      <c r="J394" t="n">
        <v>2</v>
      </c>
      <c r="K394" t="n">
        <v>1</v>
      </c>
      <c r="L394" s="5" t="inlineStr">
        <is>
          <t>exam-app-org:apps/api/prisma/migrations/20261007000000_org_structure/migration.sql
exam-app-org:apps/api/prisma/seed-org-structure.ts
exam-app-org:apps/api/src/org-structure/org-structure.service.ts</t>
        </is>
      </c>
      <c r="M394" s="5" t="n"/>
    </row>
    <row r="395">
      <c r="A395" t="inlineStr">
        <is>
          <t>YX-ORG-04</t>
        </is>
      </c>
      <c r="B395" t="inlineStr">
        <is>
          <t>P01</t>
        </is>
      </c>
      <c r="C395" t="inlineStr">
        <is>
          <t>YX-ORG</t>
        </is>
      </c>
      <c r="D395" t="inlineStr">
        <is>
          <t>0, 2</t>
        </is>
      </c>
      <c r="E395" s="5" t="inlineStr">
        <is>
          <t>A master record that is referenced (department, designation, grade, location, cost centre, type) can only be archived, not deleted. Archived masters can't be chosen for new assignments.</t>
        </is>
      </c>
      <c r="F395" t="inlineStr">
        <is>
          <t>Built + tested</t>
        </is>
      </c>
      <c r="H395">
        <f>IF(G395&lt;&gt;"",G395,F395)</f>
        <v/>
      </c>
      <c r="I395" t="n">
        <v>3</v>
      </c>
      <c r="J395" t="n">
        <v>3</v>
      </c>
      <c r="K395" t="n">
        <v>2</v>
      </c>
      <c r="L395" s="5" t="inlineStr">
        <is>
          <t>exam-app-org:apps/api/prisma/migrations/20261007000000_org_structure/migration.sql
exam-app-org:apps/api/src/employee-history/employee-history.service.ts
exam-app-org:apps/api/src/org-structure/org-structure.service.ts</t>
        </is>
      </c>
      <c r="M395" s="5" t="n"/>
    </row>
    <row r="396">
      <c r="A396" t="inlineStr">
        <is>
          <t>YX-ORG-05</t>
        </is>
      </c>
      <c r="B396" t="inlineStr">
        <is>
          <t>P01</t>
        </is>
      </c>
      <c r="C396" t="inlineStr">
        <is>
          <t>YX-ORG</t>
        </is>
      </c>
      <c r="D396" t="inlineStr">
        <is>
          <t>0, 2</t>
        </is>
      </c>
      <c r="E396" s="5" t="inlineStr">
        <is>
          <t>Codes are unique within the record's scope (shared → tenant, entity-only → entity, YX-ORG-15; cost centres per legal entity); employee codes follow YX-ORG-16 (per entity or per tenant, customer choice). Codes are system-generated when blank.</t>
        </is>
      </c>
      <c r="F396" t="inlineStr">
        <is>
          <t>Built + tested</t>
        </is>
      </c>
      <c r="H396">
        <f>IF(G396&lt;&gt;"",G396,F396)</f>
        <v/>
      </c>
      <c r="I396" t="n">
        <v>4</v>
      </c>
      <c r="J396" t="n">
        <v>3</v>
      </c>
      <c r="K396" t="n">
        <v>1</v>
      </c>
      <c r="L396" s="5" t="inlineStr">
        <is>
          <t>exam-app-org:apps/api/prisma/migrations/20261007000000_org_structure/migration.sql
exam-app-org:apps/api/src/org-structure/dto.ts
exam-app-org:apps/api/src/org-structure/org-structure.service.ts</t>
        </is>
      </c>
      <c r="M396" s="5" t="n"/>
    </row>
    <row r="397">
      <c r="A397" t="inlineStr">
        <is>
          <t>YX-ORG-06</t>
        </is>
      </c>
      <c r="B397" t="inlineStr">
        <is>
          <t>P01</t>
        </is>
      </c>
      <c r="C397" t="inlineStr">
        <is>
          <t>YX-ORG</t>
        </is>
      </c>
      <c r="D397" t="inlineStr">
        <is>
          <t>0, 2</t>
        </is>
      </c>
      <c r="E397" s="5" t="inlineStr">
        <is>
          <t>An employee has at most one open employment per legal entity; and, unless the tenant allows concurrent employment (Q6), at most one open employment in the tenant.</t>
        </is>
      </c>
      <c r="F397" t="inlineStr">
        <is>
          <t>Built, no test cites it</t>
        </is>
      </c>
      <c r="H397">
        <f>IF(G397&lt;&gt;"",G397,F397)</f>
        <v/>
      </c>
      <c r="I397" t="n">
        <v>1</v>
      </c>
      <c r="J397" t="n">
        <v>0</v>
      </c>
      <c r="K397" t="n">
        <v>0</v>
      </c>
      <c r="L397" s="5" t="inlineStr">
        <is>
          <t>exam-app-org:apps/api/prisma/migrations/20261008000000_employee_history/migration.sql</t>
        </is>
      </c>
      <c r="M397" s="5" t="n"/>
    </row>
    <row r="398">
      <c r="A398" t="inlineStr">
        <is>
          <t>YX-ORG-07</t>
        </is>
      </c>
      <c r="B398" t="inlineStr">
        <is>
          <t>P01</t>
        </is>
      </c>
      <c r="C398" t="inlineStr">
        <is>
          <t>YX-ORG</t>
        </is>
      </c>
      <c r="D398" t="inlineStr">
        <is>
          <t>0, 2</t>
        </is>
      </c>
      <c r="E398" s="5" t="inlineStr">
        <is>
          <t>Within an employment, assignments cover every day from joined_on to exited_on with no gaps and no overlaps.</t>
        </is>
      </c>
      <c r="F398" t="inlineStr">
        <is>
          <t>Built + tested</t>
        </is>
      </c>
      <c r="H398">
        <f>IF(G398&lt;&gt;"",G398,F398)</f>
        <v/>
      </c>
      <c r="I398" t="n">
        <v>1</v>
      </c>
      <c r="J398" t="n">
        <v>1</v>
      </c>
      <c r="K398" t="n">
        <v>0</v>
      </c>
      <c r="L398" s="5" t="inlineStr">
        <is>
          <t>exam-app-org:apps/api/src/employee-history/employee-history.service.ts
exam-app-org:apps/api/test/employee-history.e2e-spec.ts</t>
        </is>
      </c>
      <c r="M398" s="5" t="n"/>
    </row>
    <row r="399">
      <c r="A399" t="inlineStr">
        <is>
          <t>YX-ORG-08</t>
        </is>
      </c>
      <c r="B399" t="inlineStr">
        <is>
          <t>P01</t>
        </is>
      </c>
      <c r="C399" t="inlineStr">
        <is>
          <t>YX-ORG</t>
        </is>
      </c>
      <c r="D399" t="inlineStr">
        <is>
          <t>0, 2</t>
        </is>
      </c>
      <c r="E399" s="5" t="inlineStr">
        <is>
          <t>An assignment's location and cost centres must belong to the employment's legal entity.</t>
        </is>
      </c>
      <c r="F399" t="inlineStr">
        <is>
          <t>Built + tested</t>
        </is>
      </c>
      <c r="H399">
        <f>IF(G399&lt;&gt;"",G399,F399)</f>
        <v/>
      </c>
      <c r="I399" t="n">
        <v>3</v>
      </c>
      <c r="J399" t="n">
        <v>2</v>
      </c>
      <c r="K399" t="n">
        <v>1</v>
      </c>
      <c r="L399" s="5" t="inlineStr">
        <is>
          <t>exam-app-org:apps/api/prisma/migrations/20261008000000_employee_history/migration.sql
exam-app-org:apps/api/src/employee-history/employee-history.service.ts
exam-app-org:apps/api/src/org-structure/org-structure.service.ts</t>
        </is>
      </c>
      <c r="M399" s="5" t="n"/>
    </row>
    <row r="400">
      <c r="A400" t="inlineStr">
        <is>
          <t>YX-ORG-09</t>
        </is>
      </c>
      <c r="B400" t="inlineStr">
        <is>
          <t>P01</t>
        </is>
      </c>
      <c r="C400" t="inlineStr">
        <is>
          <t>YX-ORG</t>
        </is>
      </c>
      <c r="D400" t="inlineStr">
        <is>
          <t>0, 2</t>
        </is>
      </c>
      <c r="E400" s="5" t="inlineStr">
        <is>
          <t>A manager must be an employee with an active employment on the assignment dates, in the same tenant. Reporting chains cannot form cycles.</t>
        </is>
      </c>
      <c r="F400" t="inlineStr">
        <is>
          <t>Built + tested</t>
        </is>
      </c>
      <c r="H400">
        <f>IF(G400&lt;&gt;"",G400,F400)</f>
        <v/>
      </c>
      <c r="I400" t="n">
        <v>2</v>
      </c>
      <c r="J400" t="n">
        <v>1</v>
      </c>
      <c r="K400" t="n">
        <v>0</v>
      </c>
      <c r="L400" s="5" t="inlineStr">
        <is>
          <t>exam-app-org:apps/api/prisma/migrations/20261008000000_employee_history/migration.sql
exam-app-org:apps/api/src/employee-history/employee-history.service.ts
exam-app-org:apps/api/test/employee-history.e2e-spec.ts</t>
        </is>
      </c>
      <c r="M400" s="5" t="n"/>
    </row>
    <row r="401">
      <c r="A401" t="inlineStr">
        <is>
          <t>YX-ORG-10</t>
        </is>
      </c>
      <c r="B401" t="inlineStr">
        <is>
          <t>P01</t>
        </is>
      </c>
      <c r="C401" t="inlineStr">
        <is>
          <t>YX-ORG</t>
        </is>
      </c>
      <c r="D401" t="inlineStr">
        <is>
          <t>0, 2</t>
        </is>
      </c>
      <c r="E401" s="5" t="inlineStr">
        <is>
          <t>Future-dated assignments are allowed (scheduled promotions and transfers). Past-dated changes follow P06 YX-HIS-12 tiered correction rights; changes reaching a locked period don't reopen it: arrears / recoveries post in the next payroll run (P06 Q4/Q5, P08 Q3).</t>
        </is>
      </c>
      <c r="F401" t="inlineStr">
        <is>
          <t>In progress</t>
        </is>
      </c>
      <c r="H401">
        <f>IF(G401&lt;&gt;"",G401,F401)</f>
        <v/>
      </c>
      <c r="I401" t="n">
        <v>0</v>
      </c>
      <c r="J401" t="n">
        <v>0</v>
      </c>
      <c r="K401" t="n">
        <v>0</v>
      </c>
      <c r="L401" s="5" t="inlineStr"/>
      <c r="M401" s="5" t="n"/>
    </row>
    <row r="402">
      <c r="A402" t="inlineStr">
        <is>
          <t>YX-ORG-11</t>
        </is>
      </c>
      <c r="B402" t="inlineStr">
        <is>
          <t>P01</t>
        </is>
      </c>
      <c r="C402" t="inlineStr">
        <is>
          <t>YX-ORG</t>
        </is>
      </c>
      <c r="D402" t="inlineStr">
        <is>
          <t>0, 2</t>
        </is>
      </c>
      <c r="E402" s="5" t="inlineStr">
        <is>
          <t>Moving an employee to another legal entity closes the current employment and opens a new one (new employer for PF/ESI/TDS), linked as a transfer. The person, documents and history remain one employee (Q5).</t>
        </is>
      </c>
      <c r="F402" t="inlineStr">
        <is>
          <t>In progress</t>
        </is>
      </c>
      <c r="H402">
        <f>IF(G402&lt;&gt;"",G402,F402)</f>
        <v/>
      </c>
      <c r="I402" t="n">
        <v>0</v>
      </c>
      <c r="J402" t="n">
        <v>0</v>
      </c>
      <c r="K402" t="n">
        <v>0</v>
      </c>
      <c r="L402" s="5" t="inlineStr"/>
      <c r="M402" s="5" t="n"/>
    </row>
    <row r="403">
      <c r="A403" t="inlineStr">
        <is>
          <t>YX-ORG-12</t>
        </is>
      </c>
      <c r="B403" t="inlineStr">
        <is>
          <t>P01</t>
        </is>
      </c>
      <c r="C403" t="inlineStr">
        <is>
          <t>YX-ORG</t>
        </is>
      </c>
      <c r="D403" t="inlineStr">
        <is>
          <t>0, 2</t>
        </is>
      </c>
      <c r="E403" s="5" t="inlineStr">
        <is>
          <t>Settings resolve most-specific-scope-first; every setting shown in the UI states its source scope.</t>
        </is>
      </c>
      <c r="F403" t="inlineStr">
        <is>
          <t>Built + tested</t>
        </is>
      </c>
      <c r="H403">
        <f>IF(G403&lt;&gt;"",G403,F403)</f>
        <v/>
      </c>
      <c r="I403" t="n">
        <v>3</v>
      </c>
      <c r="J403" t="n">
        <v>3</v>
      </c>
      <c r="K403" t="n">
        <v>3</v>
      </c>
      <c r="L403" s="5" t="inlineStr">
        <is>
          <t>exam-app-org:apps/api/prisma/migrations/20261007000000_org_structure/migration.sql
exam-app-org:apps/api/src/org-structure/org-settings.service.ts
exam-app-org:apps/api/src/org-structure/org-structure.spec.ts</t>
        </is>
      </c>
      <c r="M403" s="5" t="n"/>
    </row>
    <row r="404">
      <c r="A404" t="inlineStr">
        <is>
          <t>YX-ORG-13</t>
        </is>
      </c>
      <c r="B404" t="inlineStr">
        <is>
          <t>P01</t>
        </is>
      </c>
      <c r="C404" t="inlineStr">
        <is>
          <t>YX-ORG</t>
        </is>
      </c>
      <c r="D404" t="inlineStr">
        <is>
          <t>0, 2</t>
        </is>
      </c>
      <c r="E404" s="5" t="inlineStr">
        <is>
          <t>Every aggregate screen shows its scope (entity · location · period). The default scope is all entities the user may see, never a hidden default company (U1, U96).</t>
        </is>
      </c>
      <c r="F404" t="inlineStr">
        <is>
          <t>In progress</t>
        </is>
      </c>
      <c r="H404">
        <f>IF(G404&lt;&gt;"",G404,F404)</f>
        <v/>
      </c>
      <c r="I404" t="n">
        <v>0</v>
      </c>
      <c r="J404" t="n">
        <v>0</v>
      </c>
      <c r="K404" t="n">
        <v>1</v>
      </c>
      <c r="L404" s="5" t="inlineStr"/>
      <c r="M404" s="5" t="n"/>
    </row>
    <row r="405">
      <c r="A405" t="inlineStr">
        <is>
          <t>YX-ORG-14</t>
        </is>
      </c>
      <c r="B405" t="inlineStr">
        <is>
          <t>P01</t>
        </is>
      </c>
      <c r="C405" t="inlineStr">
        <is>
          <t>YX-ORG</t>
        </is>
      </c>
      <c r="D405" t="inlineStr">
        <is>
          <t>0, 2</t>
        </is>
      </c>
      <c r="E405" s="5" t="inlineStr">
        <is>
          <t>Every tenant table has organization_id NOT NULL + forced RLS. A CI check fails the build if a new model lacks either.</t>
        </is>
      </c>
      <c r="F405" t="inlineStr">
        <is>
          <t>Built + tested</t>
        </is>
      </c>
      <c r="H405">
        <f>IF(G405&lt;&gt;"",G405,F405)</f>
        <v/>
      </c>
      <c r="I405" t="n">
        <v>2</v>
      </c>
      <c r="J405" t="n">
        <v>1</v>
      </c>
      <c r="K405" t="n">
        <v>0</v>
      </c>
      <c r="L405" s="5" t="inlineStr">
        <is>
          <t>exam-app-org:apps/api/prisma/migrations/20261007000000_org_structure/migration.sql
exam-app-org:apps/api/prisma/migrations/20261008000000_employee_history/migration.sql
exam-app-org:apps/api/test/rls-isolation.e2e-spec.ts</t>
        </is>
      </c>
      <c r="M405" s="5" t="n"/>
    </row>
    <row r="406">
      <c r="A406" t="inlineStr">
        <is>
          <t>YX-ORG-15</t>
        </is>
      </c>
      <c r="B406" t="inlineStr">
        <is>
          <t>P01</t>
        </is>
      </c>
      <c r="C406" t="inlineStr">
        <is>
          <t>YX-ORG</t>
        </is>
      </c>
      <c r="D406" t="inlineStr">
        <is>
          <t>0, 2</t>
        </is>
      </c>
      <c r="E406" s="5" t="inlineStr">
        <is>
          <t>A structure master (department, designation, grade, employment type) is either shared (tenant-wide, optionally limited to listed entities) or entity-only. An assignment may only use masters available to its employment's legal entity.</t>
        </is>
      </c>
      <c r="F406" t="inlineStr">
        <is>
          <t>Built + tested</t>
        </is>
      </c>
      <c r="H406">
        <f>IF(G406&lt;&gt;"",G406,F406)</f>
        <v/>
      </c>
      <c r="I406" t="n">
        <v>6</v>
      </c>
      <c r="J406" t="n">
        <v>3</v>
      </c>
      <c r="K406" t="n">
        <v>5</v>
      </c>
      <c r="L406" s="5" t="inlineStr">
        <is>
          <t>exam-app-org:apps/api/prisma/migrations/20261007000000_org_structure/migration.sql
exam-app-org:apps/api/prisma/seed-org-structure.ts
exam-app-org:apps/api/src/employee-history/employee-history.service.ts</t>
        </is>
      </c>
      <c r="M406" s="5" t="n"/>
    </row>
    <row r="407">
      <c r="A407" t="inlineStr">
        <is>
          <t>YX-ORG-16</t>
        </is>
      </c>
      <c r="B407" t="inlineStr">
        <is>
          <t>P01</t>
        </is>
      </c>
      <c r="C407" t="inlineStr">
        <is>
          <t>YX-ORG</t>
        </is>
      </c>
      <c r="D407" t="inlineStr">
        <is>
          <t>0, 2</t>
        </is>
      </c>
      <c r="E407" s="5" t="inlineStr">
        <is>
          <t>Employee codes are unique per legal entity (default) or per tenant, by tenant setting. Switching from per-entity to per-tenant is allowed only when no duplicates would result; the screen lists clashes to fix first. Codes can be edited until the employee's first payroll is locked; afterwards only with a correction reason (audited).</t>
        </is>
      </c>
      <c r="F407" t="inlineStr">
        <is>
          <t>Built + tested</t>
        </is>
      </c>
      <c r="H407">
        <f>IF(G407&lt;&gt;"",G407,F407)</f>
        <v/>
      </c>
      <c r="I407" t="n">
        <v>4</v>
      </c>
      <c r="J407" t="n">
        <v>1</v>
      </c>
      <c r="K407" t="n">
        <v>2</v>
      </c>
      <c r="L407" s="5" t="inlineStr">
        <is>
          <t>exam-app-org:apps/api/prisma/migrations/20261008000000_employee_history/migration.sql
exam-app-org:apps/api/src/employee-history/dto.ts
exam-app-org:apps/api/src/employee-history/employee-history.service.ts</t>
        </is>
      </c>
      <c r="M407" s="5" t="n"/>
    </row>
    <row r="408">
      <c r="A408" t="inlineStr">
        <is>
          <t>YX-ORG-17</t>
        </is>
      </c>
      <c r="B408" t="inlineStr">
        <is>
          <t>P01</t>
        </is>
      </c>
      <c r="C408" t="inlineStr">
        <is>
          <t>YX-ORG</t>
        </is>
      </c>
      <c r="D408" t="inlineStr">
        <is>
          <t>0, 2</t>
        </is>
      </c>
      <c r="E408" s="5" t="inlineStr">
        <is>
          <t>An inter-entity transfer applies five transfer policies, defaulted from tenant/entity settings and changeable per transfer by HR: (1) leave balance: carry over / encash at old entity / lapse; (2) service continuity for gratuity, seniority and notice: continue from original joining date / restart; (3) employee code: keep / new in the target series; (4) settlement at the old entity: full F&amp;F / none (amounts move over); (5) salary structure: keep / assign new. The chosen options are stored on the transfer record and shown in its impact preview before confirmation.</t>
        </is>
      </c>
      <c r="F408" t="inlineStr">
        <is>
          <t>In progress</t>
        </is>
      </c>
      <c r="H408">
        <f>IF(G408&lt;&gt;"",G408,F408)</f>
        <v/>
      </c>
      <c r="I408" t="n">
        <v>0</v>
      </c>
      <c r="J408" t="n">
        <v>0</v>
      </c>
      <c r="K408" t="n">
        <v>1</v>
      </c>
      <c r="L408" s="5" t="inlineStr"/>
      <c r="M408" s="5" t="n"/>
    </row>
    <row r="409">
      <c r="A409" t="inlineStr">
        <is>
          <t>YX-ORG-18</t>
        </is>
      </c>
      <c r="B409" t="inlineStr">
        <is>
          <t>P01</t>
        </is>
      </c>
      <c r="C409" t="inlineStr">
        <is>
          <t>YX-ORG</t>
        </is>
      </c>
      <c r="D409" t="inlineStr">
        <is>
          <t>0, 2</t>
        </is>
      </c>
      <c r="E409" s="5" t="inlineStr">
        <is>
          <t>Settings scopes are tenant, legal entity, pay group, location, department, employment type, grade, designation and employee; resolution order is employee &gt; designation &gt; grade &gt; employment type &gt; department &gt; location &gt; pay group &gt; entity &gt; tenant &gt; product default, using the assignment in force on the as-of date. A setting registered dated: true must carry valid_from and is resolved as of the period or date being processed (payroll runs and re-runs, arrears, leave-year, protected net, statutory / legal options), never as of today.</t>
        </is>
      </c>
      <c r="F409" t="inlineStr">
        <is>
          <t>Built + tested</t>
        </is>
      </c>
      <c r="H409">
        <f>IF(G409&lt;&gt;"",G409,F409)</f>
        <v/>
      </c>
      <c r="I409" t="n">
        <v>5</v>
      </c>
      <c r="J409" t="n">
        <v>3</v>
      </c>
      <c r="K409" t="n">
        <v>0</v>
      </c>
      <c r="L409" s="5" t="inlineStr">
        <is>
          <t>exam-app-org:apps/api/prisma/migrations/20261007000000_org_structure/migration.sql
exam-app-org:apps/api/prisma/seed-org-structure.ts
exam-app-org:apps/api/src/org-structure/dto.ts</t>
        </is>
      </c>
      <c r="M409" s="5" t="n"/>
    </row>
    <row r="410">
      <c r="A410" t="inlineStr">
        <is>
          <t>YX-ORG-19</t>
        </is>
      </c>
      <c r="B410" t="inlineStr">
        <is>
          <t>P01</t>
        </is>
      </c>
      <c r="C410" t="inlineStr">
        <is>
          <t>YX-ORG</t>
        </is>
      </c>
      <c r="D410" t="inlineStr">
        <is>
          <t>0, 2</t>
        </is>
      </c>
      <c r="E410" s="5" t="inlineStr">
        <is>
          <t>Rehiring an ex-employee opens a new employment on the existing employee record (rehire_of = the previous employment). Five rehire options, defaulted from tenant/entity settings and changeable per rehire by HR, mirror YX-ORG-17: (1) service continuity for gratuity, seniority and notice: continue from original joining date / restart; (2) leave balance: restore the closing balance / start fresh; (3) gratuity service: add previous service / restart (subject to P07 rules and whether gratuity was paid at exit); (4) employee code: reuse previous / new in the series; (5) probation: again / waived. The</t>
        </is>
      </c>
      <c r="F410" t="inlineStr">
        <is>
          <t>In progress</t>
        </is>
      </c>
      <c r="H410">
        <f>IF(G410&lt;&gt;"",G410,F410)</f>
        <v/>
      </c>
      <c r="I410" t="n">
        <v>0</v>
      </c>
      <c r="J410" t="n">
        <v>0</v>
      </c>
      <c r="K410" t="n">
        <v>0</v>
      </c>
      <c r="L410" s="5" t="inlineStr"/>
      <c r="M410" s="5" t="n"/>
    </row>
    <row r="411">
      <c r="A411" t="inlineStr">
        <is>
          <t>YX-ORG-20</t>
        </is>
      </c>
      <c r="B411" t="inlineStr">
        <is>
          <t>P01</t>
        </is>
      </c>
      <c r="C411" t="inlineStr">
        <is>
          <t>YX-ORG</t>
        </is>
      </c>
      <c r="D411" t="inlineStr">
        <is>
          <t>0, 2</t>
        </is>
      </c>
      <c r="E411" s="5" t="inlineStr">
        <is>
          <t>Each employment-type category (permanent, probation, fixed-term, intern, apprentice, consultant, deployed contractor, retired re-employed) has a statutory default matrix (PF, ESI, PT, LWF, bonus, gratuity applicability) taken from P07; the company may override a default only where the law allows the choice. Fixed-term, intern and apprentice employments carry contract_end_on; extension or conversion to permanent is a dated P06 change.</t>
        </is>
      </c>
      <c r="F411" t="inlineStr">
        <is>
          <t>Built, no test cites it</t>
        </is>
      </c>
      <c r="H411">
        <f>IF(G411&lt;&gt;"",G411,F411)</f>
        <v/>
      </c>
      <c r="I411" t="n">
        <v>2</v>
      </c>
      <c r="J411" t="n">
        <v>0</v>
      </c>
      <c r="K411" t="n">
        <v>0</v>
      </c>
      <c r="L411" s="5" t="inlineStr">
        <is>
          <t>exam-app-org:apps/api/prisma/migrations/20261007000000_org_structure/migration.sql
exam-app-org:apps/api/prisma/seed-org-structure.ts</t>
        </is>
      </c>
      <c r="M411" s="5" t="n"/>
    </row>
    <row r="412">
      <c r="A412" t="inlineStr">
        <is>
          <t>YX-ORG-21</t>
        </is>
      </c>
      <c r="B412" t="inlineStr">
        <is>
          <t>P01</t>
        </is>
      </c>
      <c r="C412" t="inlineStr">
        <is>
          <t>YX-ORG</t>
        </is>
      </c>
      <c r="D412" t="inlineStr">
        <is>
          <t>0, 2</t>
        </is>
      </c>
      <c r="E412" s="5" t="inlineStr">
        <is>
          <t>A deputation / secondment / client-site posting is recorded on the assignment (host entity or client, host location, recharge flag) without changing the employing entity. While a host location is set, it drives the holiday calendar, PT state and geofence; statutory registrations (PF / ESI / TDS) stay with the employing entity; cross-entity recharge is exported for accounting when flagged.</t>
        </is>
      </c>
      <c r="F412" t="inlineStr">
        <is>
          <t>In progress</t>
        </is>
      </c>
      <c r="H412">
        <f>IF(G412&lt;&gt;"",G412,F412)</f>
        <v/>
      </c>
      <c r="I412" t="n">
        <v>0</v>
      </c>
      <c r="J412" t="n">
        <v>0</v>
      </c>
      <c r="K412" t="n">
        <v>1</v>
      </c>
      <c r="L412" s="5" t="inlineStr"/>
      <c r="M412" s="5" t="n"/>
    </row>
    <row r="413">
      <c r="A413" t="inlineStr">
        <is>
          <t>YX-ORG-22</t>
        </is>
      </c>
      <c r="B413" t="inlineStr">
        <is>
          <t>P01</t>
        </is>
      </c>
      <c r="C413" t="inlineStr">
        <is>
          <t>YX-ORG</t>
        </is>
      </c>
      <c r="D413" t="inlineStr">
        <is>
          <t>0, 2</t>
        </is>
      </c>
      <c r="E413" s="5" t="inlineStr">
        <is>
          <t>Bulk restructure: merging or closing a legal entity (or location) runs a bulk transfer wizard that moves all open employments to the target entity, applying the YX-ORG-17 transfer options as defaults for the batch (changeable per person), with one impact preview and one approval; the closed entity is archived (YX-ORG-04) only when no open employment remains.</t>
        </is>
      </c>
      <c r="F413" t="inlineStr">
        <is>
          <t>In progress</t>
        </is>
      </c>
      <c r="H413">
        <f>IF(G413&lt;&gt;"",G413,F413)</f>
        <v/>
      </c>
      <c r="I413" t="n">
        <v>0</v>
      </c>
      <c r="J413" t="n">
        <v>0</v>
      </c>
      <c r="K413" t="n">
        <v>0</v>
      </c>
      <c r="L413" s="5" t="inlineStr"/>
      <c r="M413" s="5" t="n"/>
    </row>
    <row r="414">
      <c r="A414" t="inlineStr">
        <is>
          <t>YX-ORG-26</t>
        </is>
      </c>
      <c r="B414" t="inlineStr">
        <is>
          <t>P01</t>
        </is>
      </c>
      <c r="C414" t="inlineStr">
        <is>
          <t>YX-ORG</t>
        </is>
      </c>
      <c r="D414" t="inlineStr">
        <is>
          <t>0, 2</t>
        </is>
      </c>
      <c r="E414" s="5" t="inlineStr">
        <is>
          <t>One person across roles (J15). Every role record in a tenant (candidate, campus registrant, test-taker, employee, alumnus, nominee, consultant, contract worker, vendor worker, external login) links to exactly one persons row of the same tenant; persons are never shared or matched across tenants. A conversion (contract worker → employee, candidate → employee, alumnus → candidate, consultant → employee) adds a role to the same person and ends the old role; the old role's records and history are kept unchanged. The total-workforce headcount and directory filter, and P14 billing (YX-BILL-02), coun</t>
        </is>
      </c>
      <c r="F414" t="inlineStr">
        <is>
          <t>Built, no test cites it</t>
        </is>
      </c>
      <c r="H414">
        <f>IF(G414&lt;&gt;"",G414,F414)</f>
        <v/>
      </c>
      <c r="I414" t="n">
        <v>1</v>
      </c>
      <c r="J414" t="n">
        <v>0</v>
      </c>
      <c r="K414" t="n">
        <v>3</v>
      </c>
      <c r="L414" s="5" t="inlineStr">
        <is>
          <t>exam-app-org:apps/api/src/employee-history/employee-history.service.ts</t>
        </is>
      </c>
      <c r="M414" s="5" t="n"/>
    </row>
    <row r="415">
      <c r="A415" t="inlineStr">
        <is>
          <t>YX-ORG-27</t>
        </is>
      </c>
      <c r="B415" t="inlineStr">
        <is>
          <t>P01</t>
        </is>
      </c>
      <c r="C415" t="inlineStr">
        <is>
          <t>YX-ORG</t>
        </is>
      </c>
      <c r="D415" t="inlineStr">
        <is>
          <t>0, 2</t>
        </is>
      </c>
      <c r="E415" s="5" t="inlineStr">
        <is>
          <t>Person matching, merge and unmerge (J15). Verified email, verified phone, PAN and UAN auto-link a new role to the existing person; conflicting deterministic keys, name + DOB similarity, or a face match (only with the person's recorded consent) raise a proposal that HR confirms or rejects; a name match alone never links or merges. Every link, merge and unmerge is written to person_link_log with basis, actor and reason, and is reversible: unmerge restores each role and its records to the original person.</t>
        </is>
      </c>
      <c r="F415" t="inlineStr">
        <is>
          <t>Built, no test cites it</t>
        </is>
      </c>
      <c r="H415">
        <f>IF(G415&lt;&gt;"",G415,F415)</f>
        <v/>
      </c>
      <c r="I415" t="n">
        <v>2</v>
      </c>
      <c r="J415" t="n">
        <v>0</v>
      </c>
      <c r="K415" t="n">
        <v>1</v>
      </c>
      <c r="L415" s="5" t="inlineStr">
        <is>
          <t>exam-app-org:apps/api/prisma/schema.prisma
exam-app-org:apps/api/src/employee-history/dto.ts</t>
        </is>
      </c>
      <c r="M415" s="5" t="n"/>
    </row>
    <row r="416">
      <c r="A416" t="inlineStr">
        <is>
          <t>YX-ORG-28</t>
        </is>
      </c>
      <c r="B416" t="inlineStr">
        <is>
          <t>P01</t>
        </is>
      </c>
      <c r="C416" t="inlineStr">
        <is>
          <t>YX-ORG</t>
        </is>
      </c>
      <c r="D416" t="inlineStr">
        <is>
          <t>0, 2</t>
        </is>
      </c>
      <c r="E416" s="5" t="inlineStr">
        <is>
          <t>Names, addresses and phones (G3). Person names are stored as parts (given, family, optional patronymic and grandfather's name) with a name order and an optional native-script legal name beside the Latin one; screens, letters and search (P17) use the locale's display format and match both scripts. Addresses are structured: ISO 3166-1 country, ISO 3166-2 subdivision, and the required lines and postal-code pattern of that country's template (P07 pack data). Phones are validated and stored in E.164 and shown in national format. Statutory files use the name and address form the receiver requires.</t>
        </is>
      </c>
      <c r="F416" t="inlineStr">
        <is>
          <t>Built + tested</t>
        </is>
      </c>
      <c r="H416">
        <f>IF(G416&lt;&gt;"",G416,F416)</f>
        <v/>
      </c>
      <c r="I416" t="n">
        <v>3</v>
      </c>
      <c r="J416" t="n">
        <v>1</v>
      </c>
      <c r="K416" t="n">
        <v>2</v>
      </c>
      <c r="L416" s="5" t="inlineStr">
        <is>
          <t>exam-app-org:apps/api/prisma/migrations/20261007000000_org_structure/migration.sql
exam-app-org:apps/api/src/employee-history/dto.ts
exam-app-org:apps/api/src/org-structure/org-structure.spec.ts</t>
        </is>
      </c>
      <c r="M416" s="5" t="n"/>
    </row>
    <row r="417">
      <c r="A417" t="inlineStr">
        <is>
          <t>YX-ORG-29</t>
        </is>
      </c>
      <c r="B417" t="inlineStr">
        <is>
          <t>P01</t>
        </is>
      </c>
      <c r="C417" t="inlineStr">
        <is>
          <t>YX-ORG</t>
        </is>
      </c>
      <c r="D417" t="inlineStr">
        <is>
          <t>0, 2</t>
        </is>
      </c>
      <c r="E417" s="5" t="inlineStr">
        <is>
          <t>Gender list (R7). Gender is chosen from a tenant-editable list whose starter values are female, male, transgender, non-binary and prefer not to say; each value maps to the categories each statutory report needs (e.g. India Board's report headcount by female / male / transgender, R7). The employee self-declares through a P02 §4.5 change; the field is Personal class and headcount by gender follows small-group suppression (YX-SEC-14).</t>
        </is>
      </c>
      <c r="F417" t="inlineStr">
        <is>
          <t>In progress</t>
        </is>
      </c>
      <c r="H417">
        <f>IF(G417&lt;&gt;"",G417,F417)</f>
        <v/>
      </c>
      <c r="I417" t="n">
        <v>0</v>
      </c>
      <c r="J417" t="n">
        <v>0</v>
      </c>
      <c r="K417" t="n">
        <v>0</v>
      </c>
      <c r="L417" s="5" t="inlineStr"/>
      <c r="M417" s="5" t="n"/>
    </row>
    <row r="418">
      <c r="A418" t="inlineStr">
        <is>
          <t>YX-ORG-30</t>
        </is>
      </c>
      <c r="B418" t="inlineStr">
        <is>
          <t>P01</t>
        </is>
      </c>
      <c r="C418" t="inlineStr">
        <is>
          <t>YX-ORG</t>
        </is>
      </c>
      <c r="D418" t="inlineStr">
        <is>
          <t>0, 2</t>
        </is>
      </c>
      <c r="E418" s="5" t="inlineStr">
        <is>
          <t>Region catalogue (G9 + S16). Every tenant has a home region and every legal entity a data_region from the platform region catalogue (IN, ME-AE, ME-SA, EU, US, SG; P21 §3); the region must be live and serve the entity's country, and the country's gate must be green (YX-GLB-01). The data region is fixed at creation and changes only through a region move (P21 YX-GLB-11). Residency and privacy rules: P02 YX-SEC-37 / 38.</t>
        </is>
      </c>
      <c r="F418" t="inlineStr">
        <is>
          <t>Built + tested</t>
        </is>
      </c>
      <c r="H418">
        <f>IF(G418&lt;&gt;"",G418,F418)</f>
        <v/>
      </c>
      <c r="I418" t="n">
        <v>4</v>
      </c>
      <c r="J418" t="n">
        <v>2</v>
      </c>
      <c r="K418" t="n">
        <v>1</v>
      </c>
      <c r="L418" s="5" t="inlineStr">
        <is>
          <t>exam-app-org:apps/api/prisma/migrations/20261007000000_org_structure/migration.sql
exam-app-org:apps/api/src/org-structure/dto.ts
exam-app-org:apps/api/src/org-structure/org-structure.service.ts</t>
        </is>
      </c>
      <c r="M418" s="5" t="n"/>
    </row>
    <row r="419">
      <c r="A419" t="inlineStr">
        <is>
          <t>YX-SEC-01</t>
        </is>
      </c>
      <c r="B419" t="inlineStr">
        <is>
          <t>P02</t>
        </is>
      </c>
      <c r="C419" t="inlineStr">
        <is>
          <t>YX-SEC</t>
        </is>
      </c>
      <c r="D419" t="inlineStr">
        <is>
          <t>2</t>
        </is>
      </c>
      <c r="E419" s="5" t="inlineStr">
        <is>
          <t>Every API endpoint, report column, export and AI tool declares a permission; unannotated HR endpoints fail CI.</t>
        </is>
      </c>
      <c r="F419" t="inlineStr">
        <is>
          <t>Built + tested</t>
        </is>
      </c>
      <c r="H419">
        <f>IF(G419&lt;&gt;"",G419,F419)</f>
        <v/>
      </c>
      <c r="I419" t="n">
        <v>2</v>
      </c>
      <c r="J419" t="n">
        <v>2</v>
      </c>
      <c r="K419" t="n">
        <v>0</v>
      </c>
      <c r="L419" s="5" t="inlineStr">
        <is>
          <t>exam-app-org:apps/api/src/employee-history/employee-history.controller.ts
exam-app-org:apps/api/src/org-structure/org-structure.controller.ts
exam-app-org:apps/api/test/employee-history.e2e-spec.ts</t>
        </is>
      </c>
      <c r="M419" s="5" t="n"/>
    </row>
    <row r="420">
      <c r="A420" t="inlineStr">
        <is>
          <t>YX-SEC-02</t>
        </is>
      </c>
      <c r="B420" t="inlineStr">
        <is>
          <t>P02</t>
        </is>
      </c>
      <c r="C420" t="inlineStr">
        <is>
          <t>YX-SEC</t>
        </is>
      </c>
      <c r="D420" t="inlineStr">
        <is>
          <t>2</t>
        </is>
      </c>
      <c r="E420" s="5" t="inlineStr">
        <is>
          <t>Roles are data (tenant-editable templates + custom roles); no role names are hard-coded in business logic, which checks permissions only.</t>
        </is>
      </c>
      <c r="F420" t="inlineStr">
        <is>
          <t>In progress</t>
        </is>
      </c>
      <c r="H420">
        <f>IF(G420&lt;&gt;"",G420,F420)</f>
        <v/>
      </c>
      <c r="I420" t="n">
        <v>0</v>
      </c>
      <c r="J420" t="n">
        <v>0</v>
      </c>
      <c r="K420" t="n">
        <v>0</v>
      </c>
      <c r="L420" s="5" t="inlineStr"/>
      <c r="M420" s="5" t="n"/>
    </row>
    <row r="421">
      <c r="A421" t="inlineStr">
        <is>
          <t>YX-SEC-03</t>
        </is>
      </c>
      <c r="B421" t="inlineStr">
        <is>
          <t>P02</t>
        </is>
      </c>
      <c r="C421" t="inlineStr">
        <is>
          <t>YX-SEC</t>
        </is>
      </c>
      <c r="D421" t="inlineStr">
        <is>
          <t>2</t>
        </is>
      </c>
      <c r="E421" s="5" t="inlineStr">
        <is>
          <t>A user may hold several role grants; each grant has a scope and optional validity dates; effective rights = union of grants.</t>
        </is>
      </c>
      <c r="F421" t="inlineStr">
        <is>
          <t>In progress</t>
        </is>
      </c>
      <c r="H421">
        <f>IF(G421&lt;&gt;"",G421,F421)</f>
        <v/>
      </c>
      <c r="I421" t="n">
        <v>0</v>
      </c>
      <c r="J421" t="n">
        <v>0</v>
      </c>
      <c r="K421" t="n">
        <v>0</v>
      </c>
      <c r="L421" s="5" t="inlineStr"/>
      <c r="M421" s="5" t="n"/>
    </row>
    <row r="422">
      <c r="A422" t="inlineStr">
        <is>
          <t>YX-SEC-04</t>
        </is>
      </c>
      <c r="B422" t="inlineStr">
        <is>
          <t>P02</t>
        </is>
      </c>
      <c r="C422" t="inlineStr">
        <is>
          <t>YX-SEC</t>
        </is>
      </c>
      <c r="D422" t="inlineStr">
        <is>
          <t>2</t>
        </is>
      </c>
      <c r="E422" s="5" t="inlineStr">
        <is>
          <t>Employee, Manager and Department-head grants are implicit and recomputed when assignments change (P01, P06).</t>
        </is>
      </c>
      <c r="F422" t="inlineStr">
        <is>
          <t>Built, no test cites it</t>
        </is>
      </c>
      <c r="H422">
        <f>IF(G422&lt;&gt;"",G422,F422)</f>
        <v/>
      </c>
      <c r="I422" t="n">
        <v>1</v>
      </c>
      <c r="J422" t="n">
        <v>0</v>
      </c>
      <c r="K422" t="n">
        <v>0</v>
      </c>
      <c r="L422" s="5" t="inlineStr">
        <is>
          <t>exam-app-org:apps/api/src/employee-history/employee-history.controller.ts</t>
        </is>
      </c>
      <c r="M422" s="5" t="n"/>
    </row>
    <row r="423">
      <c r="A423" t="inlineStr">
        <is>
          <t>YX-SEC-05</t>
        </is>
      </c>
      <c r="B423" t="inlineStr">
        <is>
          <t>P02</t>
        </is>
      </c>
      <c r="C423" t="inlineStr">
        <is>
          <t>YX-SEC</t>
        </is>
      </c>
      <c r="D423" t="inlineStr">
        <is>
          <t>2</t>
        </is>
      </c>
      <c r="E423" s="5" t="inlineStr">
        <is>
          <t>Every read passes through the visibility service; list counts, totals and charts only include visible records.</t>
        </is>
      </c>
      <c r="F423" t="inlineStr">
        <is>
          <t>In progress</t>
        </is>
      </c>
      <c r="H423">
        <f>IF(G423&lt;&gt;"",G423,F423)</f>
        <v/>
      </c>
      <c r="I423" t="n">
        <v>0</v>
      </c>
      <c r="J423" t="n">
        <v>0</v>
      </c>
      <c r="K423" t="n">
        <v>0</v>
      </c>
      <c r="L423" s="5" t="inlineStr"/>
      <c r="M423" s="5" t="n"/>
    </row>
    <row r="424">
      <c r="A424" t="inlineStr">
        <is>
          <t>YX-SEC-06</t>
        </is>
      </c>
      <c r="B424" t="inlineStr">
        <is>
          <t>P02</t>
        </is>
      </c>
      <c r="C424" t="inlineStr">
        <is>
          <t>YX-SEC</t>
        </is>
      </c>
      <c r="D424" t="inlineStr">
        <is>
          <t>2</t>
        </is>
      </c>
      <c r="E424" s="5" t="inlineStr">
        <is>
          <t>Manager visibility of a person is limited to the periods in which they managed that person.</t>
        </is>
      </c>
      <c r="F424" t="inlineStr">
        <is>
          <t>Built + tested</t>
        </is>
      </c>
      <c r="H424">
        <f>IF(G424&lt;&gt;"",G424,F424)</f>
        <v/>
      </c>
      <c r="I424" t="n">
        <v>3</v>
      </c>
      <c r="J424" t="n">
        <v>1</v>
      </c>
      <c r="K424" t="n">
        <v>0</v>
      </c>
      <c r="L424" s="5" t="inlineStr">
        <is>
          <t>exam-app-org:apps/api/prisma/migrations/20261008000000_employee_history/migration.sql
exam-app-org:apps/api/src/employee-history/employee-history.controller.ts
exam-app-org:apps/api/src/employee-history/employee-history.service.ts</t>
        </is>
      </c>
      <c r="M424" s="5" t="n"/>
    </row>
    <row r="425">
      <c r="A425" t="inlineStr">
        <is>
          <t>YX-SEC-07</t>
        </is>
      </c>
      <c r="B425" t="inlineStr">
        <is>
          <t>P02</t>
        </is>
      </c>
      <c r="C425" t="inlineStr">
        <is>
          <t>YX-SEC</t>
        </is>
      </c>
      <c r="D425" t="inlineStr">
        <is>
          <t>2</t>
        </is>
      </c>
      <c r="E425" s="5" t="inlineStr">
        <is>
          <t>Every personal field has a sensitivity class; access is enforced server-side on read and write, including exports, analytics and AI.</t>
        </is>
      </c>
      <c r="F425" t="inlineStr">
        <is>
          <t>In progress</t>
        </is>
      </c>
      <c r="H425">
        <f>IF(G425&lt;&gt;"",G425,F425)</f>
        <v/>
      </c>
      <c r="I425" t="n">
        <v>0</v>
      </c>
      <c r="J425" t="n">
        <v>0</v>
      </c>
      <c r="K425" t="n">
        <v>0</v>
      </c>
      <c r="L425" s="5" t="inlineStr"/>
      <c r="M425" s="5" t="n"/>
    </row>
    <row r="426">
      <c r="A426" t="inlineStr">
        <is>
          <t>YX-SEC-08</t>
        </is>
      </c>
      <c r="B426" t="inlineStr">
        <is>
          <t>P02</t>
        </is>
      </c>
      <c r="C426" t="inlineStr">
        <is>
          <t>YX-SEC</t>
        </is>
      </c>
      <c r="D426" t="inlineStr">
        <is>
          <t>2</t>
        </is>
      </c>
      <c r="E426" s="5" t="inlineStr">
        <is>
          <t>Aadhaar is stored encrypted and displayed masked (last 4) except to roles explicitly granted employee.aadhaar.view; each unmasked view is audited.</t>
        </is>
      </c>
      <c r="F426" t="inlineStr">
        <is>
          <t>In progress</t>
        </is>
      </c>
      <c r="H426">
        <f>IF(G426&lt;&gt;"",G426,F426)</f>
        <v/>
      </c>
      <c r="I426" t="n">
        <v>0</v>
      </c>
      <c r="J426" t="n">
        <v>0</v>
      </c>
      <c r="K426" t="n">
        <v>0</v>
      </c>
      <c r="L426" s="5" t="inlineStr"/>
      <c r="M426" s="5" t="n"/>
    </row>
    <row r="427">
      <c r="A427" t="inlineStr">
        <is>
          <t>YX-SEC-09</t>
        </is>
      </c>
      <c r="B427" t="inlineStr">
        <is>
          <t>P02</t>
        </is>
      </c>
      <c r="C427" t="inlineStr">
        <is>
          <t>YX-SEC</t>
        </is>
      </c>
      <c r="D427" t="inlineStr">
        <is>
          <t>2</t>
        </is>
      </c>
      <c r="E427" s="5" t="inlineStr">
        <is>
          <t>Viewing another person's Confidential/Special fields is audited (who, whose, which field, when).</t>
        </is>
      </c>
      <c r="F427" t="inlineStr">
        <is>
          <t>Built + tested</t>
        </is>
      </c>
      <c r="H427">
        <f>IF(G427&lt;&gt;"",G427,F427)</f>
        <v/>
      </c>
      <c r="I427" t="n">
        <v>3</v>
      </c>
      <c r="J427" t="n">
        <v>2</v>
      </c>
      <c r="K427" t="n">
        <v>0</v>
      </c>
      <c r="L427" s="5" t="inlineStr">
        <is>
          <t>exam-app-org:apps/api/prisma/migrations/20261008000000_employee_history/migration.sql
exam-app-org:apps/api/src/employee-history/employee-history.service.ts
exam-app-org:apps/api/src/org-structure/org-structure.service.ts</t>
        </is>
      </c>
      <c r="M427" s="5" t="n"/>
    </row>
    <row r="428">
      <c r="A428" t="inlineStr">
        <is>
          <t>YX-SEC-10</t>
        </is>
      </c>
      <c r="B428" t="inlineStr">
        <is>
          <t>P02</t>
        </is>
      </c>
      <c r="C428" t="inlineStr">
        <is>
          <t>YX-SEC</t>
        </is>
      </c>
      <c r="D428" t="inlineStr">
        <is>
          <t>2</t>
        </is>
      </c>
      <c r="E428" s="5" t="inlineStr">
        <is>
          <t>Restricted areas (POSH, disciplinary, grievance cases, whistleblower reports, medical; M08 Q3/Q8) are visible only to appointed members (case membership); enforced in Postgres RLS as well as the app. Tenant admins and YukthiX support cannot see them without membership.</t>
        </is>
      </c>
      <c r="F428" t="inlineStr">
        <is>
          <t>In progress</t>
        </is>
      </c>
      <c r="H428">
        <f>IF(G428&lt;&gt;"",G428,F428)</f>
        <v/>
      </c>
      <c r="I428" t="n">
        <v>0</v>
      </c>
      <c r="J428" t="n">
        <v>0</v>
      </c>
      <c r="K428" t="n">
        <v>1</v>
      </c>
      <c r="L428" s="5" t="inlineStr"/>
      <c r="M428" s="5" t="n"/>
    </row>
    <row r="429">
      <c r="A429" t="inlineStr">
        <is>
          <t>YX-SEC-11</t>
        </is>
      </c>
      <c r="B429" t="inlineStr">
        <is>
          <t>P02</t>
        </is>
      </c>
      <c r="C429" t="inlineStr">
        <is>
          <t>YX-SEC</t>
        </is>
      </c>
      <c r="D429" t="inlineStr">
        <is>
          <t>2</t>
        </is>
      </c>
      <c r="E429" s="5" t="inlineStr">
        <is>
          <t>No self-approval: requesters, role grantees and payroll preparers cannot approve their own items.</t>
        </is>
      </c>
      <c r="F429" t="inlineStr">
        <is>
          <t>Built + tested</t>
        </is>
      </c>
      <c r="H429">
        <f>IF(G429&lt;&gt;"",G429,F429)</f>
        <v/>
      </c>
      <c r="I429" t="n">
        <v>3</v>
      </c>
      <c r="J429" t="n">
        <v>2</v>
      </c>
      <c r="K429" t="n">
        <v>2</v>
      </c>
      <c r="L429" s="5" t="inlineStr">
        <is>
          <t>exam-app-org:apps/api/prisma/seed-employees.ts
exam-app-org:apps/api/src/employee-history/employee-history.controller.ts
exam-app-org:apps/api/src/employee-history/employee-history.service.ts</t>
        </is>
      </c>
      <c r="M429" s="5" t="n"/>
    </row>
    <row r="430">
      <c r="A430" t="inlineStr">
        <is>
          <t>YX-SEC-12</t>
        </is>
      </c>
      <c r="B430" t="inlineStr">
        <is>
          <t>P02</t>
        </is>
      </c>
      <c r="C430" t="inlineStr">
        <is>
          <t>YX-SEC</t>
        </is>
      </c>
      <c r="D430" t="inlineStr">
        <is>
          <t>2</t>
        </is>
      </c>
      <c r="E430" s="5" t="inlineStr">
        <is>
          <t>Payroll run, bank file and statutory payment need maker ≠ checker whenever ≥ 2 users can approve for that legal entity; with a single eligible user, self-approval requires a reason and notifies the System Admin / owner (Q6).</t>
        </is>
      </c>
      <c r="F430" t="inlineStr">
        <is>
          <t>In progress</t>
        </is>
      </c>
      <c r="H430">
        <f>IF(G430&lt;&gt;"",G430,F430)</f>
        <v/>
      </c>
      <c r="I430" t="n">
        <v>0</v>
      </c>
      <c r="J430" t="n">
        <v>0</v>
      </c>
      <c r="K430" t="n">
        <v>1</v>
      </c>
      <c r="L430" s="5" t="inlineStr"/>
      <c r="M430" s="5" t="n"/>
    </row>
    <row r="431">
      <c r="A431" t="inlineStr">
        <is>
          <t>YX-SEC-13</t>
        </is>
      </c>
      <c r="B431" t="inlineStr">
        <is>
          <t>P02</t>
        </is>
      </c>
      <c r="C431" t="inlineStr">
        <is>
          <t>YX-SEC</t>
        </is>
      </c>
      <c r="D431" t="inlineStr">
        <is>
          <t>2</t>
        </is>
      </c>
      <c r="E431" s="5" t="inlineStr">
        <is>
          <t>Changes to bank account, PAN and statutory identity fields require approval and trigger a notification to the employee's previous contact.</t>
        </is>
      </c>
      <c r="F431" t="inlineStr">
        <is>
          <t>In progress</t>
        </is>
      </c>
      <c r="H431">
        <f>IF(G431&lt;&gt;"",G431,F431)</f>
        <v/>
      </c>
      <c r="I431" t="n">
        <v>0</v>
      </c>
      <c r="J431" t="n">
        <v>0</v>
      </c>
      <c r="K431" t="n">
        <v>0</v>
      </c>
      <c r="L431" s="5" t="inlineStr"/>
      <c r="M431" s="5" t="n"/>
    </row>
    <row r="432">
      <c r="A432" t="inlineStr">
        <is>
          <t>YX-SEC-14</t>
        </is>
      </c>
      <c r="B432" t="inlineStr">
        <is>
          <t>P02</t>
        </is>
      </c>
      <c r="C432" t="inlineStr">
        <is>
          <t>YX-SEC</t>
        </is>
      </c>
      <c r="D432" t="inlineStr">
        <is>
          <t>2</t>
        </is>
      </c>
      <c r="E432" s="5" t="inlineStr">
        <is>
          <t>Breakdowns of Confidential/Special data with fewer than the tenant threshold (default 5, range 3–10) people are suppressed in analytics and exports for viewers who lack individual-level access to that data (refined by P09 Q2).</t>
        </is>
      </c>
      <c r="F432" t="inlineStr">
        <is>
          <t>In progress</t>
        </is>
      </c>
      <c r="H432">
        <f>IF(G432&lt;&gt;"",G432,F432)</f>
        <v/>
      </c>
      <c r="I432" t="n">
        <v>0</v>
      </c>
      <c r="J432" t="n">
        <v>0</v>
      </c>
      <c r="K432" t="n">
        <v>0</v>
      </c>
      <c r="L432" s="5" t="inlineStr"/>
      <c r="M432" s="5" t="n"/>
    </row>
    <row r="433">
      <c r="A433" t="inlineStr">
        <is>
          <t>YX-SEC-15</t>
        </is>
      </c>
      <c r="B433" t="inlineStr">
        <is>
          <t>P02</t>
        </is>
      </c>
      <c r="C433" t="inlineStr">
        <is>
          <t>YX-SEC</t>
        </is>
      </c>
      <c r="D433" t="inlineStr">
        <is>
          <t>2</t>
        </is>
      </c>
      <c r="E433" s="5" t="inlineStr">
        <is>
          <t>Auditor and support-access grants are time-boxed and expire automatically.</t>
        </is>
      </c>
      <c r="F433" t="inlineStr">
        <is>
          <t>In progress</t>
        </is>
      </c>
      <c r="H433">
        <f>IF(G433&lt;&gt;"",G433,F433)</f>
        <v/>
      </c>
      <c r="I433" t="n">
        <v>0</v>
      </c>
      <c r="J433" t="n">
        <v>0</v>
      </c>
      <c r="K433" t="n">
        <v>0</v>
      </c>
      <c r="L433" s="5" t="inlineStr"/>
      <c r="M433" s="5" t="n"/>
    </row>
    <row r="434">
      <c r="A434" t="inlineStr">
        <is>
          <t>YX-SEC-16</t>
        </is>
      </c>
      <c r="B434" t="inlineStr">
        <is>
          <t>P02</t>
        </is>
      </c>
      <c r="C434" t="inlineStr">
        <is>
          <t>YX-SEC</t>
        </is>
      </c>
      <c r="D434" t="inlineStr">
        <is>
          <t>2</t>
        </is>
      </c>
      <c r="E434" s="5" t="inlineStr">
        <is>
          <t>Employee-facing reports (e.g. PF/ESI/tax registers) are never visible to employees beyond their own rows. This avoids Frappe's "employees can see everyone's tax/PF" defect (gap summary).</t>
        </is>
      </c>
      <c r="F434" t="inlineStr">
        <is>
          <t>In progress</t>
        </is>
      </c>
      <c r="H434">
        <f>IF(G434&lt;&gt;"",G434,F434)</f>
        <v/>
      </c>
      <c r="I434" t="n">
        <v>0</v>
      </c>
      <c r="J434" t="n">
        <v>0</v>
      </c>
      <c r="K434" t="n">
        <v>0</v>
      </c>
      <c r="L434" s="5" t="inlineStr"/>
      <c r="M434" s="5" t="n"/>
    </row>
    <row r="435">
      <c r="A435" t="inlineStr">
        <is>
          <t>YX-SEC-17</t>
        </is>
      </c>
      <c r="B435" t="inlineStr">
        <is>
          <t>P02</t>
        </is>
      </c>
      <c r="C435" t="inlineStr">
        <is>
          <t>YX-SEC</t>
        </is>
      </c>
      <c r="D435" t="inlineStr">
        <is>
          <t>2</t>
        </is>
      </c>
      <c r="E435" s="5" t="inlineStr">
        <is>
          <t>The colleague directory shows only fields the tenant enabled, chosen from Public, Internal and allow-listed Personal fields; Confidential and Special fields are never selectable. Employee-level hide choices override the tenant setting for Personal fields.</t>
        </is>
      </c>
      <c r="F435" t="inlineStr">
        <is>
          <t>In progress</t>
        </is>
      </c>
      <c r="H435">
        <f>IF(G435&lt;&gt;"",G435,F435)</f>
        <v/>
      </c>
      <c r="I435" t="n">
        <v>0</v>
      </c>
      <c r="J435" t="n">
        <v>0</v>
      </c>
      <c r="K435" t="n">
        <v>0</v>
      </c>
      <c r="L435" s="5" t="inlineStr"/>
      <c r="M435" s="5" t="n"/>
    </row>
    <row r="436">
      <c r="A436" t="inlineStr">
        <is>
          <t>YX-SEC-18</t>
        </is>
      </c>
      <c r="B436" t="inlineStr">
        <is>
          <t>P02</t>
        </is>
      </c>
      <c r="C436" t="inlineStr">
        <is>
          <t>YX-SEC</t>
        </is>
      </c>
      <c r="D436" t="inlineStr">
        <is>
          <t>2</t>
        </is>
      </c>
      <c r="E436" s="5" t="inlineStr">
        <is>
          <t>Creating or editing a role runs a risk check: (a) Confidential/Special access over more than a threshold of people, (b) conflicting duties (prepare + approve), (c) approval coverage gaps, (d) removing the last holder of a critical permission. Warnings are shown with the effective-access preview; saving past them requires confirmation, is audited and notifies other admins. Hard limits (restricted areas, self-approval, Aadhaar audit, directory limits) are not grantable.</t>
        </is>
      </c>
      <c r="F436" t="inlineStr">
        <is>
          <t>In progress</t>
        </is>
      </c>
      <c r="H436">
        <f>IF(G436&lt;&gt;"",G436,F436)</f>
        <v/>
      </c>
      <c r="I436" t="n">
        <v>0</v>
      </c>
      <c r="J436" t="n">
        <v>0</v>
      </c>
      <c r="K436" t="n">
        <v>0</v>
      </c>
      <c r="L436" s="5" t="inlineStr"/>
      <c r="M436" s="5" t="n"/>
    </row>
    <row r="437">
      <c r="A437" t="inlineStr">
        <is>
          <t>YX-SEC-19</t>
        </is>
      </c>
      <c r="B437" t="inlineStr">
        <is>
          <t>P02</t>
        </is>
      </c>
      <c r="C437" t="inlineStr">
        <is>
          <t>YX-SEC</t>
        </is>
      </c>
      <c r="D437" t="inlineStr">
        <is>
          <t>2</t>
        </is>
      </c>
      <c r="E437" s="5" t="inlineStr">
        <is>
          <t>A tenant's region is fixed at sign-up (India default for Indian tenants). Database, files, backups and search indexes for that tenant live in that region; cross-region transfer only to listed sub-processors, with the minimum data needed. Amended 28 Sep 2026 (G9 + S16): the region is held per legal entity (data_region, P01 YX-ORG-30); the sign-up region is the tenant's home region; see YX-SEC-37 / 38.</t>
        </is>
      </c>
      <c r="F437" t="inlineStr">
        <is>
          <t>In progress</t>
        </is>
      </c>
      <c r="H437">
        <f>IF(G437&lt;&gt;"",G437,F437)</f>
        <v/>
      </c>
      <c r="I437" t="n">
        <v>0</v>
      </c>
      <c r="J437" t="n">
        <v>0</v>
      </c>
      <c r="K437" t="n">
        <v>0</v>
      </c>
      <c r="L437" s="5" t="inlineStr"/>
      <c r="M437" s="5" t="n"/>
    </row>
    <row r="438">
      <c r="A438" t="inlineStr">
        <is>
          <t>YX-SEC-20</t>
        </is>
      </c>
      <c r="B438" t="inlineStr">
        <is>
          <t>P02</t>
        </is>
      </c>
      <c r="C438" t="inlineStr">
        <is>
          <t>YX-SEC</t>
        </is>
      </c>
      <c r="D438" t="inlineStr">
        <is>
          <t>2</t>
        </is>
      </c>
      <c r="E438" s="5" t="inlineStr">
        <is>
          <t>YukthiX staff access to tenant data requires a tenant-admin approval per session: fixed window (default 24 h, max 72 h), declared reason, scope excluding restricted areas, Confidential/Special masked by default; the session is audited action by action and listed for tenant admins; access ends automatically.</t>
        </is>
      </c>
      <c r="F438" t="inlineStr">
        <is>
          <t>Built + tested</t>
        </is>
      </c>
      <c r="H438">
        <f>IF(G438&lt;&gt;"",G438,F438)</f>
        <v/>
      </c>
      <c r="I438" t="n">
        <v>2</v>
      </c>
      <c r="J438" t="n">
        <v>1</v>
      </c>
      <c r="K438" t="n">
        <v>1</v>
      </c>
      <c r="L438" s="5" t="inlineStr">
        <is>
          <t>exam-app-org:apps/api/src/employee-history/employee-history.service.spec.ts
exam-app-org:apps/api/src/employee-history/employee-history.service.ts
exam-app-org:apps/api/src/org-structure/org-structure.controller.ts</t>
        </is>
      </c>
      <c r="M438" s="5" t="n"/>
    </row>
    <row r="439">
      <c r="A439" t="inlineStr">
        <is>
          <t>YX-SEC-21</t>
        </is>
      </c>
      <c r="B439" t="inlineStr">
        <is>
          <t>P02</t>
        </is>
      </c>
      <c r="C439" t="inlineStr">
        <is>
          <t>YX-SEC</t>
        </is>
      </c>
      <c r="D439" t="inlineStr">
        <is>
          <t>2</t>
        </is>
      </c>
      <c r="E439" s="5" t="inlineStr">
        <is>
          <t>External / limited logins (§4.7) use OTP identity, are scoped to named records only, are not billed seats, expire automatically and are audited; they can never hold scope-wide or Confidential-class grants beyond their own records or appointed cases. Exception: partner users (P16) are catalogued in §4.7 but scoped by a client-approved partner grant under YX-PTR-03, never named records only; Special data stays excluded.</t>
        </is>
      </c>
      <c r="F439" t="inlineStr">
        <is>
          <t>In progress</t>
        </is>
      </c>
      <c r="H439">
        <f>IF(G439&lt;&gt;"",G439,F439)</f>
        <v/>
      </c>
      <c r="I439" t="n">
        <v>0</v>
      </c>
      <c r="J439" t="n">
        <v>0</v>
      </c>
      <c r="K439" t="n">
        <v>2</v>
      </c>
      <c r="L439" s="5" t="inlineStr"/>
      <c r="M439" s="5" t="n"/>
    </row>
    <row r="440">
      <c r="A440" t="inlineStr">
        <is>
          <t>YX-SEC-22</t>
        </is>
      </c>
      <c r="B440" t="inlineStr">
        <is>
          <t>P02</t>
        </is>
      </c>
      <c r="C440" t="inlineStr">
        <is>
          <t>YX-SEC</t>
        </is>
      </c>
      <c r="D440" t="inlineStr">
        <is>
          <t>2</t>
        </is>
      </c>
      <c r="E440" s="5" t="inlineStr">
        <is>
          <t>API keys are service grants with a scope and an explicit list of allowed field classes; a field class not listed is redacted in API responses; keys are expirable, revocable and audited per call.</t>
        </is>
      </c>
      <c r="F440" t="inlineStr">
        <is>
          <t>In progress</t>
        </is>
      </c>
      <c r="H440">
        <f>IF(G440&lt;&gt;"",G440,F440)</f>
        <v/>
      </c>
      <c r="I440" t="n">
        <v>0</v>
      </c>
      <c r="J440" t="n">
        <v>0</v>
      </c>
      <c r="K440" t="n">
        <v>0</v>
      </c>
      <c r="L440" s="5" t="inlineStr"/>
      <c r="M440" s="5" t="n"/>
    </row>
    <row r="441">
      <c r="A441" t="inlineStr">
        <is>
          <t>YX-SEC-23</t>
        </is>
      </c>
      <c r="B441" t="inlineStr">
        <is>
          <t>P02</t>
        </is>
      </c>
      <c r="C441" t="inlineStr">
        <is>
          <t>YX-SEC</t>
        </is>
      </c>
      <c r="D441" t="inlineStr">
        <is>
          <t>2</t>
        </is>
      </c>
      <c r="E441" s="5" t="inlineStr">
        <is>
          <t>YukthiX proctors reach tenant data only through a proctor-service grant: tenant opt-in once with the proctoring add-on; per slot, auto-expiring at slot end, limited to assigned sessions and to live view + evidence for those candidates; MFA and confidentiality terms mandatory; every view audited and visible to tenant admins. It is never a YX-SEC-20 support session and gives no other tenant access.</t>
        </is>
      </c>
      <c r="F441" t="inlineStr">
        <is>
          <t>In progress</t>
        </is>
      </c>
      <c r="H441">
        <f>IF(G441&lt;&gt;"",G441,F441)</f>
        <v/>
      </c>
      <c r="I441" t="n">
        <v>0</v>
      </c>
      <c r="J441" t="n">
        <v>0</v>
      </c>
      <c r="K441" t="n">
        <v>0</v>
      </c>
      <c r="L441" s="5" t="inlineStr"/>
      <c r="M441" s="5" t="n"/>
    </row>
    <row r="442">
      <c r="A442" t="inlineStr">
        <is>
          <t>YX-SEC-24</t>
        </is>
      </c>
      <c r="B442" t="inlineStr">
        <is>
          <t>P02</t>
        </is>
      </c>
      <c r="C442" t="inlineStr">
        <is>
          <t>YX-SEC</t>
        </is>
      </c>
      <c r="D442" t="inlineStr">
        <is>
          <t>2</t>
        </is>
      </c>
      <c r="E442" s="5" t="inlineStr">
        <is>
          <t>Exception to YX-SEC-06: when a manager changes during an open review cycle, the new manager may read the current cycle's review, goals, check-ins and PIP of their new reports for the whole cycle period; the previous manager's private 1-on-1 notes stay excluded.</t>
        </is>
      </c>
      <c r="F442" t="inlineStr">
        <is>
          <t>In progress</t>
        </is>
      </c>
      <c r="H442">
        <f>IF(G442&lt;&gt;"",G442,F442)</f>
        <v/>
      </c>
      <c r="I442" t="n">
        <v>0</v>
      </c>
      <c r="J442" t="n">
        <v>0</v>
      </c>
      <c r="K442" t="n">
        <v>0</v>
      </c>
      <c r="L442" s="5" t="inlineStr"/>
      <c r="M442" s="5" t="n"/>
    </row>
    <row r="443">
      <c r="A443" t="inlineStr">
        <is>
          <t>YX-SEC-25</t>
        </is>
      </c>
      <c r="B443" t="inlineStr">
        <is>
          <t>P02</t>
        </is>
      </c>
      <c r="C443" t="inlineStr">
        <is>
          <t>YX-SEC</t>
        </is>
      </c>
      <c r="D443" t="inlineStr">
        <is>
          <t>2</t>
        </is>
      </c>
      <c r="E443" s="5" t="inlineStr">
        <is>
          <t>Exception to the §4.5 cooling period: after a returned salary payment, a bank-account correction approved by a checker (≠ maker) and verified by a successful penny drop takes effect without the cooling period; the employee and the old contact are still notified.</t>
        </is>
      </c>
      <c r="F443" t="inlineStr">
        <is>
          <t>In progress</t>
        </is>
      </c>
      <c r="H443">
        <f>IF(G443&lt;&gt;"",G443,F443)</f>
        <v/>
      </c>
      <c r="I443" t="n">
        <v>0</v>
      </c>
      <c r="J443" t="n">
        <v>0</v>
      </c>
      <c r="K443" t="n">
        <v>0</v>
      </c>
      <c r="L443" s="5" t="inlineStr"/>
      <c r="M443" s="5" t="n"/>
    </row>
    <row r="444">
      <c r="A444" t="inlineStr">
        <is>
          <t>YX-SEC-26</t>
        </is>
      </c>
      <c r="B444" t="inlineStr">
        <is>
          <t>P02</t>
        </is>
      </c>
      <c r="C444" t="inlineStr">
        <is>
          <t>YX-SEC</t>
        </is>
      </c>
      <c r="D444" t="inlineStr">
        <is>
          <t>2</t>
        </is>
      </c>
      <c r="E444" s="5" t="inlineStr">
        <is>
          <t>Employees taking training / skills tests or certifications see only their own attempts and results; evaluators and L&amp;D see attempts within their P02 scope; test results are Confidential.</t>
        </is>
      </c>
      <c r="F444" t="inlineStr">
        <is>
          <t>In progress</t>
        </is>
      </c>
      <c r="H444">
        <f>IF(G444&lt;&gt;"",G444,F444)</f>
        <v/>
      </c>
      <c r="I444" t="n">
        <v>0</v>
      </c>
      <c r="J444" t="n">
        <v>0</v>
      </c>
      <c r="K444" t="n">
        <v>0</v>
      </c>
      <c r="L444" s="5" t="inlineStr"/>
      <c r="M444" s="5" t="n"/>
    </row>
    <row r="445">
      <c r="A445" t="inlineStr">
        <is>
          <t>YX-SEC-27</t>
        </is>
      </c>
      <c r="B445" t="inlineStr">
        <is>
          <t>P02</t>
        </is>
      </c>
      <c r="C445" t="inlineStr">
        <is>
          <t>YX-SEC</t>
        </is>
      </c>
      <c r="D445" t="inlineStr">
        <is>
          <t>2</t>
        </is>
      </c>
      <c r="E445" s="5" t="inlineStr">
        <is>
          <t>request.raise_on_behalf lets HR (entity / tenant scope) or managers (team scope) raise requests for an employee in scope; the company chooses which roles hold it and for which request types. The self-approval bar (YX-SEC-11) covers both the subject and the proxy who raised the request.</t>
        </is>
      </c>
      <c r="F445" t="inlineStr">
        <is>
          <t>Built, no test cites it</t>
        </is>
      </c>
      <c r="H445">
        <f>IF(G445&lt;&gt;"",G445,F445)</f>
        <v/>
      </c>
      <c r="I445" t="n">
        <v>1</v>
      </c>
      <c r="J445" t="n">
        <v>0</v>
      </c>
      <c r="K445" t="n">
        <v>0</v>
      </c>
      <c r="L445" s="5" t="inlineStr">
        <is>
          <t>exam-app-org:apps/api/src/employee-history/employee-history.service.ts</t>
        </is>
      </c>
      <c r="M445" s="5" t="n"/>
    </row>
    <row r="446">
      <c r="A446" t="inlineStr">
        <is>
          <t>YX-SEC-28</t>
        </is>
      </c>
      <c r="B446" t="inlineStr">
        <is>
          <t>P02</t>
        </is>
      </c>
      <c r="C446" t="inlineStr">
        <is>
          <t>YX-SEC</t>
        </is>
      </c>
      <c r="D446" t="inlineStr">
        <is>
          <t>2</t>
        </is>
      </c>
      <c r="E446" s="5" t="inlineStr">
        <is>
          <t>Legal documents (terms, DPA, privacy notices, consent texts; catalogue in APX-G) are versioned per locale in legal_documents, and every acceptance, acknowledgement, consent, withdrawal and opt-out is an append-only row in legal_acceptances (who, which version, when, where, IP / device, OTP channel), written to the audit log (P08); tables in APX-G §3. A material change to terms or a privacy notice requires re-acceptance (re-acknowledgement for notices) before continued use; non-material changes show a banner. Tenant versions of notice templates are published by holders of privacy.notice.publish</t>
        </is>
      </c>
      <c r="F446" t="inlineStr">
        <is>
          <t>In progress</t>
        </is>
      </c>
      <c r="H446">
        <f>IF(G446&lt;&gt;"",G446,F446)</f>
        <v/>
      </c>
      <c r="I446" t="n">
        <v>0</v>
      </c>
      <c r="J446" t="n">
        <v>0</v>
      </c>
      <c r="K446" t="n">
        <v>0</v>
      </c>
      <c r="L446" s="5" t="inlineStr"/>
      <c r="M446" s="5" t="n"/>
    </row>
    <row r="447">
      <c r="A447" t="inlineStr">
        <is>
          <t>YX-SEC-29</t>
        </is>
      </c>
      <c r="B447" t="inlineStr">
        <is>
          <t>P02</t>
        </is>
      </c>
      <c r="C447" t="inlineStr">
        <is>
          <t>YX-SEC</t>
        </is>
      </c>
      <c r="D447" t="inlineStr">
        <is>
          <t>2</t>
        </is>
      </c>
      <c r="E447" s="5" t="inlineStr">
        <is>
          <t>Privacy officer (B12): every tenant names a privacy officer (DPO / grievance officer) with a public contact before the first privacy notice is published; the contact is printed in every published notice and the G-23 page; a notice cannot be published without it.</t>
        </is>
      </c>
      <c r="F447" t="inlineStr">
        <is>
          <t>In progress</t>
        </is>
      </c>
      <c r="H447">
        <f>IF(G447&lt;&gt;"",G447,F447)</f>
        <v/>
      </c>
      <c r="I447" t="n">
        <v>0</v>
      </c>
      <c r="J447" t="n">
        <v>0</v>
      </c>
      <c r="K447" t="n">
        <v>0</v>
      </c>
      <c r="L447" s="5" t="inlineStr"/>
      <c r="M447" s="5" t="n"/>
    </row>
    <row r="448">
      <c r="A448" t="inlineStr">
        <is>
          <t>YX-SEC-30</t>
        </is>
      </c>
      <c r="B448" t="inlineStr">
        <is>
          <t>P02</t>
        </is>
      </c>
      <c r="C448" t="inlineStr">
        <is>
          <t>YX-SEC</t>
        </is>
      </c>
      <c r="D448" t="inlineStr">
        <is>
          <t>2</t>
        </is>
      </c>
      <c r="E448" s="5" t="inlineStr">
        <is>
          <t>Data-subject requests (B12): every access, correction, erasure, nomination, consent-withdrawal and grievance request is a privacy_requests row with verified identity, an SLA due date no later than the legal maximum for the jurisdiction (company may set shorter), reminders and escalation before breach, and an audited closure; erasure deletes or anonymises everything not under a legal retention or hold and states in the response what was kept and why. Amended 28 Sep 2026 (J15): a request is raised against the person (P01 persons), not one record, and runs across every role table linked to that p</t>
        </is>
      </c>
      <c r="F448" t="inlineStr">
        <is>
          <t>In progress</t>
        </is>
      </c>
      <c r="H448">
        <f>IF(G448&lt;&gt;"",G448,F448)</f>
        <v/>
      </c>
      <c r="I448" t="n">
        <v>0</v>
      </c>
      <c r="J448" t="n">
        <v>0</v>
      </c>
      <c r="K448" t="n">
        <v>0</v>
      </c>
      <c r="L448" s="5" t="inlineStr"/>
      <c r="M448" s="5" t="n"/>
    </row>
    <row r="449">
      <c r="A449" t="inlineStr">
        <is>
          <t>YX-SEC-31</t>
        </is>
      </c>
      <c r="B449" t="inlineStr">
        <is>
          <t>P02</t>
        </is>
      </c>
      <c r="C449" t="inlineStr">
        <is>
          <t>YX-SEC</t>
        </is>
      </c>
      <c r="D449" t="inlineStr">
        <is>
          <t>2</t>
        </is>
      </c>
      <c r="E449" s="5" t="inlineStr">
        <is>
          <t>Registers &amp; retention (B12): the DPIA register, record of processing and master retention schedule cover every enabled module and data class; enabling a feature with a starter DPIA prompts for it; retention values stay within the legal minimum and the allowed range, and the tenant-visible schedule and public G-13 page are regenerated on every change.</t>
        </is>
      </c>
      <c r="F449" t="inlineStr">
        <is>
          <t>In progress</t>
        </is>
      </c>
      <c r="H449">
        <f>IF(G449&lt;&gt;"",G449,F449)</f>
        <v/>
      </c>
      <c r="I449" t="n">
        <v>0</v>
      </c>
      <c r="J449" t="n">
        <v>0</v>
      </c>
      <c r="K449" t="n">
        <v>0</v>
      </c>
      <c r="L449" s="5" t="inlineStr"/>
      <c r="M449" s="5" t="n"/>
    </row>
    <row r="450">
      <c r="A450" t="inlineStr">
        <is>
          <t>YX-SEC-32</t>
        </is>
      </c>
      <c r="B450" t="inlineStr">
        <is>
          <t>P02</t>
        </is>
      </c>
      <c r="C450" t="inlineStr">
        <is>
          <t>YX-SEC</t>
        </is>
      </c>
      <c r="D450" t="inlineStr">
        <is>
          <t>2</t>
        </is>
      </c>
      <c r="E450" s="5" t="inlineStr">
        <is>
          <t>Breaches (B12; C3): a company breach record starts the notification clocks with tasks and reminders: under the DPDP Rules 2025, intimation to the Data Protection Board and to each affected Data Principal without delay, then a detailed report to the Board within 72 hours of becoming aware; under GDPR, 72 h to the supervisory authority (and individuals where required) where applicable; a YukthiX incident in the P12 register affecting the tenant automatically creates a linked tenant breach record. Consent withdrawals received from any source, including a future DPDP consent manager, stop the link</t>
        </is>
      </c>
      <c r="F450" t="inlineStr">
        <is>
          <t>In progress</t>
        </is>
      </c>
      <c r="H450">
        <f>IF(G450&lt;&gt;"",G450,F450)</f>
        <v/>
      </c>
      <c r="I450" t="n">
        <v>0</v>
      </c>
      <c r="J450" t="n">
        <v>0</v>
      </c>
      <c r="K450" t="n">
        <v>0</v>
      </c>
      <c r="L450" s="5" t="inlineStr"/>
      <c r="M450" s="5" t="n"/>
    </row>
    <row r="451">
      <c r="A451" t="inlineStr">
        <is>
          <t>YX-SEC-33</t>
        </is>
      </c>
      <c r="B451" t="inlineStr">
        <is>
          <t>P02</t>
        </is>
      </c>
      <c r="C451" t="inlineStr">
        <is>
          <t>YX-SEC</t>
        </is>
      </c>
      <c r="D451" t="inlineStr">
        <is>
          <t>2</t>
        </is>
      </c>
      <c r="E451" s="5" t="inlineStr">
        <is>
          <t>External logins catalogue (gap-register tidy-up). Every non-employee sign-in uses a catalogued §4.7 template with a defined sign-in method, P12 assurance level, session limit, reachable data classes, portal and end trigger; a new external persona needs a catalogue row before release. Templates reaching other people's Special data (POSH IC external member, audit-committee chair, invigilator) require AAL2; all others are AAL1 with step-up for financial or identity changes. LTI guest learners have no standing login (session = launch). Contract workers and visitors have no login.</t>
        </is>
      </c>
      <c r="F451" t="inlineStr">
        <is>
          <t>In progress</t>
        </is>
      </c>
      <c r="H451">
        <f>IF(G451&lt;&gt;"",G451,F451)</f>
        <v/>
      </c>
      <c r="I451" t="n">
        <v>0</v>
      </c>
      <c r="J451" t="n">
        <v>0</v>
      </c>
      <c r="K451" t="n">
        <v>0</v>
      </c>
      <c r="L451" s="5" t="inlineStr"/>
      <c r="M451" s="5" t="n"/>
    </row>
    <row r="452">
      <c r="A452" t="inlineStr">
        <is>
          <t>YX-SEC-34</t>
        </is>
      </c>
      <c r="B452" t="inlineStr">
        <is>
          <t>P02</t>
        </is>
      </c>
      <c r="C452" t="inlineStr">
        <is>
          <t>YX-SEC</t>
        </is>
      </c>
      <c r="D452" t="inlineStr">
        <is>
          <t>2</t>
        </is>
      </c>
      <c r="E452" s="5" t="inlineStr">
        <is>
          <t>DPDP Rules 2025 readiness (C3). The Rules (notified 13–14 Nov 2025) phase in: Data Protection Board provisions immediately; consent-manager registration from Nov 2026 (12 months); the main obligations (notice, consent, security safeguards, breach intimation, retention / erasure, rights, children's data, significant data fiduciary duties) from 13 May 2027 (18 months). Every one of these is live in YukthiX before 13 May 2027, and the consent-manager adapter (§6.1) is ready by Nov 2026. The milestones are dated rule data (P07), so each duty shows the date it applies from. Significant-data-fiducia</t>
        </is>
      </c>
      <c r="F452" t="inlineStr">
        <is>
          <t>In progress</t>
        </is>
      </c>
      <c r="H452">
        <f>IF(G452&lt;&gt;"",G452,F452)</f>
        <v/>
      </c>
      <c r="I452" t="n">
        <v>0</v>
      </c>
      <c r="J452" t="n">
        <v>0</v>
      </c>
      <c r="K452" t="n">
        <v>0</v>
      </c>
      <c r="L452" s="5" t="inlineStr"/>
      <c r="M452" s="5" t="n"/>
    </row>
    <row r="453">
      <c r="A453" t="inlineStr">
        <is>
          <t>YX-SEC-35</t>
        </is>
      </c>
      <c r="B453" t="inlineStr">
        <is>
          <t>P02</t>
        </is>
      </c>
      <c r="C453" t="inlineStr">
        <is>
          <t>YX-SEC</t>
        </is>
      </c>
      <c r="D453" t="inlineStr">
        <is>
          <t>2</t>
        </is>
      </c>
      <c r="E453" s="5" t="inlineStr">
        <is>
          <t>DPDP notice, logs and erasure (C3). Privacy notices are itemised per purpose in plain language in the Rules' schedule format (data items, purpose, how to withdraw consent, how to exercise rights, how to complain to the Board); processing logs and traffic data are kept at least 1 year under the security-safeguards rule, longer where another law requires (P12 YX-SECOPS-07); personal data is erased when its purpose is served unless a legal retention or hold applies, and in inactive-user cases where the Rules' retention schedule applies a 48-hour prior intimation is sent before erasure (*verify ap</t>
        </is>
      </c>
      <c r="F453" t="inlineStr">
        <is>
          <t>In progress</t>
        </is>
      </c>
      <c r="H453">
        <f>IF(G453&lt;&gt;"",G453,F453)</f>
        <v/>
      </c>
      <c r="I453" t="n">
        <v>0</v>
      </c>
      <c r="J453" t="n">
        <v>0</v>
      </c>
      <c r="K453" t="n">
        <v>0</v>
      </c>
      <c r="L453" s="5" t="inlineStr"/>
      <c r="M453" s="5" t="n"/>
    </row>
    <row r="454">
      <c r="A454" t="inlineStr">
        <is>
          <t>YX-SEC-36</t>
        </is>
      </c>
      <c r="B454" t="inlineStr">
        <is>
          <t>P02</t>
        </is>
      </c>
      <c r="C454" t="inlineStr">
        <is>
          <t>YX-SEC</t>
        </is>
      </c>
      <c r="D454" t="inlineStr">
        <is>
          <t>2</t>
        </is>
      </c>
      <c r="E454" s="5" t="inlineStr">
        <is>
          <t>Per-person DSAR and consent (J15). Identity is verified once for the person; an access export covers every linked role (candidate, test-taker, campus registrant, employee, alumnus, nominee, consultant, contract worker, vendor worker, external login) and lists the roles found; a correction of shared data (name, contact) is applied to every role and logged per role, while role-owned data is corrected in that role's record; erasure is decided role by role against that role's legal retention (e.g. payroll and statutory records for employment, CLRA / OSH registers for contract work, the candidate r</t>
        </is>
      </c>
      <c r="F454" t="inlineStr">
        <is>
          <t>In progress</t>
        </is>
      </c>
      <c r="H454">
        <f>IF(G454&lt;&gt;"",G454,F454)</f>
        <v/>
      </c>
      <c r="I454" t="n">
        <v>0</v>
      </c>
      <c r="J454" t="n">
        <v>0</v>
      </c>
      <c r="K454" t="n">
        <v>0</v>
      </c>
      <c r="L454" s="5" t="inlineStr"/>
      <c r="M454" s="5" t="n"/>
    </row>
    <row r="455">
      <c r="A455" t="inlineStr">
        <is>
          <t>YX-SEC-37</t>
        </is>
      </c>
      <c r="B455" t="inlineStr">
        <is>
          <t>P02</t>
        </is>
      </c>
      <c r="C455" t="inlineStr">
        <is>
          <t>YX-SEC</t>
        </is>
      </c>
      <c r="D455" t="inlineStr">
        <is>
          <t>2</t>
        </is>
      </c>
      <c r="E455" s="5" t="inlineStr">
        <is>
          <t>Residency per region (G9 + S16). Each legal entity's people data (records, files, backups, search indexes, analytics snapshots, AI processing) stays in its data region; UAE and KSA entities are hosted in-country including DR. In a multi-region tenant only the directory card (Public and Internal fields) may be copied to the home region; Personal, Confidential and Special data are read from the entity's region at request time by users whose grants cover that entity, and Special data never leaves its region. Cross-region reports return in-region aggregates with YX-SEC-14 suppression. Every cross-</t>
        </is>
      </c>
      <c r="F455" t="inlineStr">
        <is>
          <t>In progress</t>
        </is>
      </c>
      <c r="H455">
        <f>IF(G455&lt;&gt;"",G455,F455)</f>
        <v/>
      </c>
      <c r="I455" t="n">
        <v>0</v>
      </c>
      <c r="J455" t="n">
        <v>0</v>
      </c>
      <c r="K455" t="n">
        <v>0</v>
      </c>
      <c r="L455" s="5" t="inlineStr"/>
      <c r="M455" s="5" t="n"/>
    </row>
    <row r="456">
      <c r="A456" t="inlineStr">
        <is>
          <t>YX-SEC-38</t>
        </is>
      </c>
      <c r="B456" t="inlineStr">
        <is>
          <t>P02</t>
        </is>
      </c>
      <c r="C456" t="inlineStr">
        <is>
          <t>YX-SEC</t>
        </is>
      </c>
      <c r="D456" t="inlineStr">
        <is>
          <t>2</t>
        </is>
      </c>
      <c r="E456" s="5" t="inlineStr">
        <is>
          <t>Region move privacy (G9 + S16). A tenant or entity region move (P21 YX-GLB-11) needs a System Admin request with a recorded legal basis and YukthiX approval; the tenant's DPA transfer annex and sub-processor notice are updated before copying; employee privacy notices are updated (and employees told where the notice or law requires) before cut-over; access during the move is limited to the migration service; source data is deleted after verification and the deletion certificate is given to the tenant; legal holds move with the data and are never dropped; a move out of an in-country region is re</t>
        </is>
      </c>
      <c r="F456" t="inlineStr">
        <is>
          <t>Tested, code not linked</t>
        </is>
      </c>
      <c r="H456">
        <f>IF(G456&lt;&gt;"",G456,F456)</f>
        <v/>
      </c>
      <c r="I456" t="n">
        <v>0</v>
      </c>
      <c r="J456" t="n">
        <v>1</v>
      </c>
      <c r="K456" t="n">
        <v>1</v>
      </c>
      <c r="L456" s="5" t="inlineStr">
        <is>
          <t>exam-app-org:packages/yx-ui/src/screens/platform-b/platform-b.test.tsx</t>
        </is>
      </c>
      <c r="M456" s="5" t="n"/>
    </row>
    <row r="457">
      <c r="A457" t="inlineStr">
        <is>
          <t>YX-WF-01</t>
        </is>
      </c>
      <c r="B457" t="inlineStr">
        <is>
          <t>P03</t>
        </is>
      </c>
      <c r="C457" t="inlineStr">
        <is>
          <t>YX-WF</t>
        </is>
      </c>
      <c r="D457" t="inlineStr">
        <is>
          <t>4</t>
        </is>
      </c>
      <c r="E457" s="5" t="inlineStr">
        <is>
          <t>Every request type has a default policy; a request can never be left without a route.</t>
        </is>
      </c>
      <c r="F457" t="inlineStr">
        <is>
          <t>UI prototype only</t>
        </is>
      </c>
      <c r="H457">
        <f>IF(G457&lt;&gt;"",G457,F457)</f>
        <v/>
      </c>
      <c r="I457" t="n">
        <v>0</v>
      </c>
      <c r="J457" t="n">
        <v>0</v>
      </c>
      <c r="K457" t="n">
        <v>1</v>
      </c>
      <c r="L457" s="5" t="inlineStr"/>
      <c r="M457" s="5" t="n"/>
    </row>
    <row r="458">
      <c r="A458" t="inlineStr">
        <is>
          <t>YX-WF-02</t>
        </is>
      </c>
      <c r="B458" t="inlineStr">
        <is>
          <t>P03</t>
        </is>
      </c>
      <c r="C458" t="inlineStr">
        <is>
          <t>YX-WF</t>
        </is>
      </c>
      <c r="D458" t="inlineStr">
        <is>
          <t>4</t>
        </is>
      </c>
      <c r="E458" s="5" t="inlineStr">
        <is>
          <t>Policy, steps and resolved approvers are snapshotted at submit; configuration edits affect only new requests.</t>
        </is>
      </c>
      <c r="F458" t="inlineStr">
        <is>
          <t>Not started</t>
        </is>
      </c>
      <c r="H458">
        <f>IF(G458&lt;&gt;"",G458,F458)</f>
        <v/>
      </c>
      <c r="I458" t="n">
        <v>0</v>
      </c>
      <c r="J458" t="n">
        <v>0</v>
      </c>
      <c r="K458" t="n">
        <v>0</v>
      </c>
      <c r="L458" s="5" t="inlineStr"/>
      <c r="M458" s="5" t="n"/>
    </row>
    <row r="459">
      <c r="A459" t="inlineStr">
        <is>
          <t>YX-WF-03</t>
        </is>
      </c>
      <c r="B459" t="inlineStr">
        <is>
          <t>P03</t>
        </is>
      </c>
      <c r="C459" t="inlineStr">
        <is>
          <t>YX-WF</t>
        </is>
      </c>
      <c r="D459" t="inlineStr">
        <is>
          <t>4</t>
        </is>
      </c>
      <c r="E459" s="5" t="inlineStr">
        <is>
          <t>Policies are evaluated in priority order on the frozen payload; the first match wins; the matched policy is recorded on the request.</t>
        </is>
      </c>
      <c r="F459" t="inlineStr">
        <is>
          <t>Not started</t>
        </is>
      </c>
      <c r="H459">
        <f>IF(G459&lt;&gt;"",G459,F459)</f>
        <v/>
      </c>
      <c r="I459" t="n">
        <v>0</v>
      </c>
      <c r="J459" t="n">
        <v>0</v>
      </c>
      <c r="K459" t="n">
        <v>0</v>
      </c>
      <c r="L459" s="5" t="inlineStr"/>
      <c r="M459" s="5" t="n"/>
    </row>
    <row r="460">
      <c r="A460" t="inlineStr">
        <is>
          <t>YX-WF-04</t>
        </is>
      </c>
      <c r="B460" t="inlineStr">
        <is>
          <t>P03</t>
        </is>
      </c>
      <c r="C460" t="inlineStr">
        <is>
          <t>YX-WF</t>
        </is>
      </c>
      <c r="D460" t="inlineStr">
        <is>
          <t>4</t>
        </is>
      </c>
      <c r="E460" s="5" t="inlineStr">
        <is>
          <t>A requester is never their own approver; if removal empties a step, the fallback resolver applies (P02 YX-SEC-11).</t>
        </is>
      </c>
      <c r="F460" t="inlineStr">
        <is>
          <t>Not started</t>
        </is>
      </c>
      <c r="H460">
        <f>IF(G460&lt;&gt;"",G460,F460)</f>
        <v/>
      </c>
      <c r="I460" t="n">
        <v>0</v>
      </c>
      <c r="J460" t="n">
        <v>0</v>
      </c>
      <c r="K460" t="n">
        <v>0</v>
      </c>
      <c r="L460" s="5" t="inlineStr"/>
      <c r="M460" s="5" t="n"/>
    </row>
    <row r="461">
      <c r="A461" t="inlineStr">
        <is>
          <t>YX-WF-05</t>
        </is>
      </c>
      <c r="B461" t="inlineStr">
        <is>
          <t>P03</t>
        </is>
      </c>
      <c r="C461" t="inlineStr">
        <is>
          <t>YX-WF</t>
        </is>
      </c>
      <c r="D461" t="inlineStr">
        <is>
          <t>4</t>
        </is>
      </c>
      <c r="E461" s="5" t="inlineStr">
        <is>
          <t>Maker ≠ checker request types (payroll run, bank file, statutory payment) follow P02 YX-SEC-12 including the single-user exception.</t>
        </is>
      </c>
      <c r="F461" t="inlineStr">
        <is>
          <t>Not started</t>
        </is>
      </c>
      <c r="H461">
        <f>IF(G461&lt;&gt;"",G461,F461)</f>
        <v/>
      </c>
      <c r="I461" t="n">
        <v>0</v>
      </c>
      <c r="J461" t="n">
        <v>0</v>
      </c>
      <c r="K461" t="n">
        <v>0</v>
      </c>
      <c r="L461" s="5" t="inlineStr"/>
      <c r="M461" s="5" t="n"/>
    </row>
    <row r="462">
      <c r="A462" t="inlineStr">
        <is>
          <t>YX-WF-06</t>
        </is>
      </c>
      <c r="B462" t="inlineStr">
        <is>
          <t>P03</t>
        </is>
      </c>
      <c r="C462" t="inlineStr">
        <is>
          <t>YX-WF</t>
        </is>
      </c>
      <c r="D462" t="inlineStr">
        <is>
          <t>4</t>
        </is>
      </c>
      <c r="E462" s="5" t="inlineStr">
        <is>
          <t>Inactive or departed approvers are re-resolved; their open tasks move to the new approver or fallback, with a timeline entry.</t>
        </is>
      </c>
      <c r="F462" t="inlineStr">
        <is>
          <t>Not started</t>
        </is>
      </c>
      <c r="H462">
        <f>IF(G462&lt;&gt;"",G462,F462)</f>
        <v/>
      </c>
      <c r="I462" t="n">
        <v>0</v>
      </c>
      <c r="J462" t="n">
        <v>0</v>
      </c>
      <c r="K462" t="n">
        <v>0</v>
      </c>
      <c r="L462" s="5" t="inlineStr"/>
      <c r="M462" s="5" t="n"/>
    </row>
    <row r="463">
      <c r="A463" t="inlineStr">
        <is>
          <t>YX-WF-07</t>
        </is>
      </c>
      <c r="B463" t="inlineStr">
        <is>
          <t>P03</t>
        </is>
      </c>
      <c r="C463" t="inlineStr">
        <is>
          <t>YX-WF</t>
        </is>
      </c>
      <c r="D463" t="inlineStr">
        <is>
          <t>4</t>
        </is>
      </c>
      <c r="E463" s="5" t="inlineStr">
        <is>
          <t>Delegation acts on behalf of the delegator, never chains, and the delegate's own P02 field restrictions still apply.</t>
        </is>
      </c>
      <c r="F463" t="inlineStr">
        <is>
          <t>UI prototype only</t>
        </is>
      </c>
      <c r="H463">
        <f>IF(G463&lt;&gt;"",G463,F463)</f>
        <v/>
      </c>
      <c r="I463" t="n">
        <v>0</v>
      </c>
      <c r="J463" t="n">
        <v>0</v>
      </c>
      <c r="K463" t="n">
        <v>1</v>
      </c>
      <c r="L463" s="5" t="inlineStr"/>
      <c r="M463" s="5" t="n"/>
    </row>
    <row r="464">
      <c r="A464" t="inlineStr">
        <is>
          <t>YX-WF-08</t>
        </is>
      </c>
      <c r="B464" t="inlineStr">
        <is>
          <t>P03</t>
        </is>
      </c>
      <c r="C464" t="inlineStr">
        <is>
          <t>YX-WF</t>
        </is>
      </c>
      <c r="D464" t="inlineStr">
        <is>
          <t>4</t>
        </is>
      </c>
      <c r="E464" s="5" t="inlineStr">
        <is>
          <t>Reject and send-back require a reason; approve-with-changes requires a reason per change and is allowed only when the request type permits it.</t>
        </is>
      </c>
      <c r="F464" t="inlineStr">
        <is>
          <t>Not started</t>
        </is>
      </c>
      <c r="H464">
        <f>IF(G464&lt;&gt;"",G464,F464)</f>
        <v/>
      </c>
      <c r="I464" t="n">
        <v>0</v>
      </c>
      <c r="J464" t="n">
        <v>0</v>
      </c>
      <c r="K464" t="n">
        <v>0</v>
      </c>
      <c r="L464" s="5" t="inlineStr"/>
      <c r="M464" s="5" t="n"/>
    </row>
    <row r="465">
      <c r="A465" t="inlineStr">
        <is>
          <t>YX-WF-09</t>
        </is>
      </c>
      <c r="B465" t="inlineStr">
        <is>
          <t>P03</t>
        </is>
      </c>
      <c r="C465" t="inlineStr">
        <is>
          <t>YX-WF</t>
        </is>
      </c>
      <c r="D465" t="inlineStr">
        <is>
          <t>4</t>
        </is>
      </c>
      <c r="E465" s="5" t="inlineStr">
        <is>
          <t>SLAs count working time on the approver's location calendar; reminders and escalation follow the step's settings; auto-actions only for types the tenant enabled.</t>
        </is>
      </c>
      <c r="F465" t="inlineStr">
        <is>
          <t>Not started</t>
        </is>
      </c>
      <c r="H465">
        <f>IF(G465&lt;&gt;"",G465,F465)</f>
        <v/>
      </c>
      <c r="I465" t="n">
        <v>0</v>
      </c>
      <c r="J465" t="n">
        <v>0</v>
      </c>
      <c r="K465" t="n">
        <v>0</v>
      </c>
      <c r="L465" s="5" t="inlineStr"/>
      <c r="M465" s="5" t="n"/>
    </row>
    <row r="466">
      <c r="A466" t="inlineStr">
        <is>
          <t>YX-WF-10</t>
        </is>
      </c>
      <c r="B466" t="inlineStr">
        <is>
          <t>P03</t>
        </is>
      </c>
      <c r="C466" t="inlineStr">
        <is>
          <t>YX-WF</t>
        </is>
      </c>
      <c r="D466" t="inlineStr">
        <is>
          <t>4</t>
        </is>
      </c>
      <c r="E466" s="5" t="inlineStr">
        <is>
          <t>Approval effects (ledger postings, record updates) run exactly once, in the same transaction as the final decision, or as an idempotent job with retry.</t>
        </is>
      </c>
      <c r="F466" t="inlineStr">
        <is>
          <t>Not started</t>
        </is>
      </c>
      <c r="H466">
        <f>IF(G466&lt;&gt;"",G466,F466)</f>
        <v/>
      </c>
      <c r="I466" t="n">
        <v>0</v>
      </c>
      <c r="J466" t="n">
        <v>0</v>
      </c>
      <c r="K466" t="n">
        <v>0</v>
      </c>
      <c r="L466" s="5" t="inlineStr"/>
      <c r="M466" s="5" t="n"/>
    </row>
    <row r="467">
      <c r="A467" t="inlineStr">
        <is>
          <t>YX-WF-11</t>
        </is>
      </c>
      <c r="B467" t="inlineStr">
        <is>
          <t>P03</t>
        </is>
      </c>
      <c r="C467" t="inlineStr">
        <is>
          <t>YX-WF</t>
        </is>
      </c>
      <c r="D467" t="inlineStr">
        <is>
          <t>4</t>
        </is>
      </c>
      <c r="E467" s="5" t="inlineStr">
        <is>
          <t>Late requests on frozen / locked dates (P08 Q4) are allowed up to the tenant's maximum lateness, with an extra HR approval step; the effect posts to the next payroll (arrears / LOP reversal). Reopening a locked period happens only per P08 Q3, never as a side effect of a request.</t>
        </is>
      </c>
      <c r="F467" t="inlineStr">
        <is>
          <t>Not started</t>
        </is>
      </c>
      <c r="H467">
        <f>IF(G467&lt;&gt;"",G467,F467)</f>
        <v/>
      </c>
      <c r="I467" t="n">
        <v>0</v>
      </c>
      <c r="J467" t="n">
        <v>0</v>
      </c>
      <c r="K467" t="n">
        <v>0</v>
      </c>
      <c r="L467" s="5" t="inlineStr"/>
      <c r="M467" s="5" t="n"/>
    </row>
    <row r="468">
      <c r="A468" t="inlineStr">
        <is>
          <t>YX-WF-12</t>
        </is>
      </c>
      <c r="B468" t="inlineStr">
        <is>
          <t>P03</t>
        </is>
      </c>
      <c r="C468" t="inlineStr">
        <is>
          <t>YX-WF</t>
        </is>
      </c>
      <c r="D468" t="inlineStr">
        <is>
          <t>4</t>
        </is>
      </c>
      <c r="E468" s="5" t="inlineStr">
        <is>
          <t>Every action (who, on behalf of whom, channel, reason, changes) is stored and shown in the request timeline.</t>
        </is>
      </c>
      <c r="F468" t="inlineStr">
        <is>
          <t>Not started</t>
        </is>
      </c>
      <c r="H468">
        <f>IF(G468&lt;&gt;"",G468,F468)</f>
        <v/>
      </c>
      <c r="I468" t="n">
        <v>0</v>
      </c>
      <c r="J468" t="n">
        <v>0</v>
      </c>
      <c r="K468" t="n">
        <v>0</v>
      </c>
      <c r="L468" s="5" t="inlineStr"/>
      <c r="M468" s="5" t="n"/>
    </row>
    <row r="469">
      <c r="A469" t="inlineStr">
        <is>
          <t>YX-WF-13</t>
        </is>
      </c>
      <c r="B469" t="inlineStr">
        <is>
          <t>P03</t>
        </is>
      </c>
      <c r="C469" t="inlineStr">
        <is>
          <t>YX-WF</t>
        </is>
      </c>
      <c r="D469" t="inlineStr">
        <is>
          <t>4</t>
        </is>
      </c>
      <c r="E469" s="5" t="inlineStr">
        <is>
          <t>Out-of-app approval links are signed, single-use, expire (default 72 h), work only for low-risk types, and re-check permission at click time.</t>
        </is>
      </c>
      <c r="F469" t="inlineStr">
        <is>
          <t>Not started</t>
        </is>
      </c>
      <c r="H469">
        <f>IF(G469&lt;&gt;"",G469,F469)</f>
        <v/>
      </c>
      <c r="I469" t="n">
        <v>0</v>
      </c>
      <c r="J469" t="n">
        <v>0</v>
      </c>
      <c r="K469" t="n">
        <v>0</v>
      </c>
      <c r="L469" s="5" t="inlineStr"/>
      <c r="M469" s="5" t="n"/>
    </row>
    <row r="470">
      <c r="A470" t="inlineStr">
        <is>
          <t>YX-WF-14</t>
        </is>
      </c>
      <c r="B470" t="inlineStr">
        <is>
          <t>P03</t>
        </is>
      </c>
      <c r="C470" t="inlineStr">
        <is>
          <t>YX-WF</t>
        </is>
      </c>
      <c r="D470" t="inlineStr">
        <is>
          <t>4</t>
        </is>
      </c>
      <c r="E470" s="5" t="inlineStr">
        <is>
          <t>Status and pending counts shown anywhere (home, queue, mobile, dashboards) come from the same task query (UI brief principle 2).</t>
        </is>
      </c>
      <c r="F470" t="inlineStr">
        <is>
          <t>Not started</t>
        </is>
      </c>
      <c r="H470">
        <f>IF(G470&lt;&gt;"",G470,F470)</f>
        <v/>
      </c>
      <c r="I470" t="n">
        <v>0</v>
      </c>
      <c r="J470" t="n">
        <v>0</v>
      </c>
      <c r="K470" t="n">
        <v>0</v>
      </c>
      <c r="L470" s="5" t="inlineStr"/>
      <c r="M470" s="5" t="n"/>
    </row>
    <row r="471">
      <c r="A471" t="inlineStr">
        <is>
          <t>YX-WF-15</t>
        </is>
      </c>
      <c r="B471" t="inlineStr">
        <is>
          <t>P03</t>
        </is>
      </c>
      <c r="C471" t="inlineStr">
        <is>
          <t>YX-WF</t>
        </is>
      </c>
      <c r="D471" t="inlineStr">
        <is>
          <t>4</t>
        </is>
      </c>
      <c r="E471" s="5" t="inlineStr">
        <is>
          <t>On resubmission after send-back, the engine compares condition fields with the frozen payload: unchanged → resume at the sending step; changed → re-evaluate policies and restart at step 1 with a fresh snapshot.</t>
        </is>
      </c>
      <c r="F471" t="inlineStr">
        <is>
          <t>Not started</t>
        </is>
      </c>
      <c r="H471">
        <f>IF(G471&lt;&gt;"",G471,F471)</f>
        <v/>
      </c>
      <c r="I471" t="n">
        <v>0</v>
      </c>
      <c r="J471" t="n">
        <v>0</v>
      </c>
      <c r="K471" t="n">
        <v>0</v>
      </c>
      <c r="L471" s="5" t="inlineStr"/>
      <c r="M471" s="5" t="n"/>
    </row>
    <row r="472">
      <c r="A472" t="inlineStr">
        <is>
          <t>YX-WF-16</t>
        </is>
      </c>
      <c r="B472" t="inlineStr">
        <is>
          <t>P03</t>
        </is>
      </c>
      <c r="C472" t="inlineStr">
        <is>
          <t>YX-WF</t>
        </is>
      </c>
      <c r="D472" t="inlineStr">
        <is>
          <t>4</t>
        </is>
      </c>
      <c r="E472" s="5" t="inlineStr">
        <is>
          <t>Editing a policy requires workflow.policy.manage plus the owner permission of sensitive request types; saves require a Simulate run, create a new policy version and are audited.</t>
        </is>
      </c>
      <c r="F472" t="inlineStr">
        <is>
          <t>Tested, code not linked</t>
        </is>
      </c>
      <c r="H472">
        <f>IF(G472&lt;&gt;"",G472,F472)</f>
        <v/>
      </c>
      <c r="I472" t="n">
        <v>0</v>
      </c>
      <c r="J472" t="n">
        <v>1</v>
      </c>
      <c r="K472" t="n">
        <v>2</v>
      </c>
      <c r="L472" s="5" t="inlineStr">
        <is>
          <t>exam-app-org:packages/yx-ui/src/screens/settings/settings.test.tsx</t>
        </is>
      </c>
      <c r="M472" s="5" t="n"/>
    </row>
    <row r="473">
      <c r="A473" t="inlineStr">
        <is>
          <t>YX-WF-17</t>
        </is>
      </c>
      <c r="B473" t="inlineStr">
        <is>
          <t>P03</t>
        </is>
      </c>
      <c r="C473" t="inlineStr">
        <is>
          <t>YX-WF</t>
        </is>
      </c>
      <c r="D473" t="inlineStr">
        <is>
          <t>4</t>
        </is>
      </c>
      <c r="E473" s="5" t="inlineStr">
        <is>
          <t>Duplicate-approver auto-approval (Q6) never applies across a maker ≠ checker boundary (YX-WF-05): the checker step always needs its own decision.</t>
        </is>
      </c>
      <c r="F473" t="inlineStr">
        <is>
          <t>Not started</t>
        </is>
      </c>
      <c r="H473">
        <f>IF(G473&lt;&gt;"",G473,F473)</f>
        <v/>
      </c>
      <c r="I473" t="n">
        <v>0</v>
      </c>
      <c r="J473" t="n">
        <v>0</v>
      </c>
      <c r="K473" t="n">
        <v>0</v>
      </c>
      <c r="L473" s="5" t="inlineStr"/>
      <c r="M473" s="5" t="n"/>
    </row>
    <row r="474">
      <c r="A474" t="inlineStr">
        <is>
          <t>YX-WF-18</t>
        </is>
      </c>
      <c r="B474" t="inlineStr">
        <is>
          <t>P03</t>
        </is>
      </c>
      <c r="C474" t="inlineStr">
        <is>
          <t>YX-WF</t>
        </is>
      </c>
      <c r="D474" t="inlineStr">
        <is>
          <t>4</t>
        </is>
      </c>
      <c r="E474" s="5" t="inlineStr">
        <is>
          <t>A request may be raised on behalf of a subject employee by a holder of request.raise_on_behalf (P02 YX-SEC-27), only for request types the company enabled for that role (HR only / HR + managers). Policies, conditions and resolvers evaluate on the subject; the timeline shows "raised by X on behalf of Y"; the subject is notified (kiosk / WhatsApp / SMS); YX-WF-04 removes both the subject and the proxy raiser from every approval step.</t>
        </is>
      </c>
      <c r="F474" t="inlineStr">
        <is>
          <t>UI prototype only</t>
        </is>
      </c>
      <c r="H474">
        <f>IF(G474&lt;&gt;"",G474,F474)</f>
        <v/>
      </c>
      <c r="I474" t="n">
        <v>0</v>
      </c>
      <c r="J474" t="n">
        <v>0</v>
      </c>
      <c r="K474" t="n">
        <v>2</v>
      </c>
      <c r="L474" s="5" t="inlineStr"/>
      <c r="M474" s="5" t="n"/>
    </row>
    <row r="475">
      <c r="A475" t="inlineStr">
        <is>
          <t>YX-WF-19</t>
        </is>
      </c>
      <c r="B475" t="inlineStr">
        <is>
          <t>P03</t>
        </is>
      </c>
      <c r="C475" t="inlineStr">
        <is>
          <t>YX-WF</t>
        </is>
      </c>
      <c r="D475" t="inlineStr">
        <is>
          <t>4</t>
        </is>
      </c>
      <c r="E475" s="5" t="inlineStr">
        <is>
          <t>Access request is a registered request type, raised by the Request access button on the permission-denied state (APX-D §6.3): the requester asks for a permission or a record scope (subject = resource / permission, reason required). It routes to the HR Admin in scope of the record's owner (role owner), then System Admin as fallback; it is never offered for restricted areas (YX-SEC-10), which show "Not found". On approval the effect grants a time-boxed scope through P02 (end date required where the role allows; revoked automatically at expiry); request, decision, grant and expiry are audited (P0</t>
        </is>
      </c>
      <c r="F475" t="inlineStr">
        <is>
          <t>Not started</t>
        </is>
      </c>
      <c r="H475">
        <f>IF(G475&lt;&gt;"",G475,F475)</f>
        <v/>
      </c>
      <c r="I475" t="n">
        <v>0</v>
      </c>
      <c r="J475" t="n">
        <v>0</v>
      </c>
      <c r="K475" t="n">
        <v>0</v>
      </c>
      <c r="L475" s="5" t="inlineStr"/>
      <c r="M475" s="5" t="n"/>
    </row>
    <row r="476">
      <c r="A476" t="inlineStr">
        <is>
          <t>YX-NTF-01</t>
        </is>
      </c>
      <c r="B476" t="inlineStr">
        <is>
          <t>P04</t>
        </is>
      </c>
      <c r="C476" t="inlineStr">
        <is>
          <t>YX-NTF</t>
        </is>
      </c>
      <c r="D476" t="inlineStr">
        <is>
          <t>1</t>
        </is>
      </c>
      <c r="E476" s="5" t="inlineStr">
        <is>
          <t>Events are written through a transactional outbox; a notification is never sent for a rolled-back change and never lost for a committed one.</t>
        </is>
      </c>
      <c r="F476" t="inlineStr">
        <is>
          <t>Verify (step done, not linked)</t>
        </is>
      </c>
      <c r="H476">
        <f>IF(G476&lt;&gt;"",G476,F476)</f>
        <v/>
      </c>
      <c r="I476" t="n">
        <v>0</v>
      </c>
      <c r="J476" t="n">
        <v>0</v>
      </c>
      <c r="K476" t="n">
        <v>0</v>
      </c>
      <c r="L476" s="5" t="inlineStr"/>
      <c r="M476" s="5" t="n"/>
    </row>
    <row r="477">
      <c r="A477" t="inlineStr">
        <is>
          <t>YX-NTF-02</t>
        </is>
      </c>
      <c r="B477" t="inlineStr">
        <is>
          <t>P04</t>
        </is>
      </c>
      <c r="C477" t="inlineStr">
        <is>
          <t>YX-NTF</t>
        </is>
      </c>
      <c r="D477" t="inlineStr">
        <is>
          <t>1</t>
        </is>
      </c>
      <c r="E477" s="5" t="inlineStr">
        <is>
          <t>Each (event, recipient, channel) is delivered at most once (idempotency key), across retries and restarts.</t>
        </is>
      </c>
      <c r="F477" t="inlineStr">
        <is>
          <t>Built + tested</t>
        </is>
      </c>
      <c r="H477">
        <f>IF(G477&lt;&gt;"",G477,F477)</f>
        <v/>
      </c>
      <c r="I477" t="n">
        <v>6</v>
      </c>
      <c r="J477" t="n">
        <v>2</v>
      </c>
      <c r="K477" t="n">
        <v>0</v>
      </c>
      <c r="L477" s="5" t="inlineStr">
        <is>
          <t>exam-app-login:apps/api/prisma/migrations/20261006700000_sms_channel/migration.sql
exam-app-login:apps/api/src/auth/otp-sender.ts
exam-app-login:apps/api/src/sms-channel/sms-channel.service.ts</t>
        </is>
      </c>
      <c r="M477" s="5" t="n"/>
    </row>
    <row r="478">
      <c r="A478" t="inlineStr">
        <is>
          <t>YX-NTF-03</t>
        </is>
      </c>
      <c r="B478" t="inlineStr">
        <is>
          <t>P04</t>
        </is>
      </c>
      <c r="C478" t="inlineStr">
        <is>
          <t>YX-NTF</t>
        </is>
      </c>
      <c r="D478" t="inlineStr">
        <is>
          <t>1</t>
        </is>
      </c>
      <c r="E478" s="5" t="inlineStr">
        <is>
          <t>Audience visibility is re-checked with P02 at send time; a recipient who can't see the subject gets nothing.</t>
        </is>
      </c>
      <c r="F478" t="inlineStr">
        <is>
          <t>Verify (step done, not linked)</t>
        </is>
      </c>
      <c r="H478">
        <f>IF(G478&lt;&gt;"",G478,F478)</f>
        <v/>
      </c>
      <c r="I478" t="n">
        <v>0</v>
      </c>
      <c r="J478" t="n">
        <v>0</v>
      </c>
      <c r="K478" t="n">
        <v>0</v>
      </c>
      <c r="L478" s="5" t="inlineStr"/>
      <c r="M478" s="5" t="n"/>
    </row>
    <row r="479">
      <c r="A479" t="inlineStr">
        <is>
          <t>YX-NTF-04</t>
        </is>
      </c>
      <c r="B479" t="inlineStr">
        <is>
          <t>P04</t>
        </is>
      </c>
      <c r="C479" t="inlineStr">
        <is>
          <t>YX-NTF</t>
        </is>
      </c>
      <c r="D479" t="inlineStr">
        <is>
          <t>1</t>
        </is>
      </c>
      <c r="E479" s="5" t="inlineStr">
        <is>
          <t>External channels never include Confidential or Special values; templates may only use variables marked external-safe for that type. Sole exception: the company-enabled password-protected payslip PDF attached to email (YX-NTF-15); no other channel, document or value is excepted.</t>
        </is>
      </c>
      <c r="F479" t="inlineStr">
        <is>
          <t>Verify (step done, not linked)</t>
        </is>
      </c>
      <c r="H479">
        <f>IF(G479&lt;&gt;"",G479,F479)</f>
        <v/>
      </c>
      <c r="I479" t="n">
        <v>0</v>
      </c>
      <c r="J479" t="n">
        <v>0</v>
      </c>
      <c r="K479" t="n">
        <v>1</v>
      </c>
      <c r="L479" s="5" t="inlineStr"/>
      <c r="M479" s="5" t="n"/>
    </row>
    <row r="480">
      <c r="A480" t="inlineStr">
        <is>
          <t>YX-NTF-05</t>
        </is>
      </c>
      <c r="B480" t="inlineStr">
        <is>
          <t>P04</t>
        </is>
      </c>
      <c r="C480" t="inlineStr">
        <is>
          <t>YX-NTF</t>
        </is>
      </c>
      <c r="D480" t="inlineStr">
        <is>
          <t>1</t>
        </is>
      </c>
      <c r="E480" s="5" t="inlineStr">
        <is>
          <t>Mandatory notification types can't be disabled by users; others follow user preferences, then tenant policy, then defaults.</t>
        </is>
      </c>
      <c r="F480" t="inlineStr">
        <is>
          <t>Verify (step done, not linked)</t>
        </is>
      </c>
      <c r="H480">
        <f>IF(G480&lt;&gt;"",G480,F480)</f>
        <v/>
      </c>
      <c r="I480" t="n">
        <v>0</v>
      </c>
      <c r="J480" t="n">
        <v>0</v>
      </c>
      <c r="K480" t="n">
        <v>1</v>
      </c>
      <c r="L480" s="5" t="inlineStr"/>
      <c r="M480" s="5" t="n"/>
    </row>
    <row r="481">
      <c r="A481" t="inlineStr">
        <is>
          <t>YX-NTF-06</t>
        </is>
      </c>
      <c r="B481" t="inlineStr">
        <is>
          <t>P04</t>
        </is>
      </c>
      <c r="C481" t="inlineStr">
        <is>
          <t>YX-NTF</t>
        </is>
      </c>
      <c r="D481" t="inlineStr">
        <is>
          <t>1</t>
        </is>
      </c>
      <c r="E481" s="5" t="inlineStr">
        <is>
          <t>Quiet hours apply per recipient time zone to push, WhatsApp and SMS; only urgent types and OTP messages (YX-NTF-13) bypass them.</t>
        </is>
      </c>
      <c r="F481" t="inlineStr">
        <is>
          <t>Verify (step done, not linked)</t>
        </is>
      </c>
      <c r="H481">
        <f>IF(G481&lt;&gt;"",G481,F481)</f>
        <v/>
      </c>
      <c r="I481" t="n">
        <v>0</v>
      </c>
      <c r="J481" t="n">
        <v>0</v>
      </c>
      <c r="K481" t="n">
        <v>0</v>
      </c>
      <c r="L481" s="5" t="inlineStr"/>
      <c r="M481" s="5" t="n"/>
    </row>
    <row r="482">
      <c r="A482" t="inlineStr">
        <is>
          <t>YX-NTF-07</t>
        </is>
      </c>
      <c r="B482" t="inlineStr">
        <is>
          <t>P04</t>
        </is>
      </c>
      <c r="C482" t="inlineStr">
        <is>
          <t>YX-NTF</t>
        </is>
      </c>
      <c r="D482" t="inlineStr">
        <is>
          <t>1</t>
        </is>
      </c>
      <c r="E482" s="5" t="inlineStr">
        <is>
          <t>WhatsApp business-initiated messages use approved templates only; SMS uses DLT-registered templates; a send without a valid approved template falls back to another enabled channel and logs why.</t>
        </is>
      </c>
      <c r="F482" t="inlineStr">
        <is>
          <t>Built + tested</t>
        </is>
      </c>
      <c r="H482">
        <f>IF(G482&lt;&gt;"",G482,F482)</f>
        <v/>
      </c>
      <c r="I482" t="n">
        <v>8</v>
      </c>
      <c r="J482" t="n">
        <v>8</v>
      </c>
      <c r="K482" t="n">
        <v>0</v>
      </c>
      <c r="L482" s="5" t="inlineStr">
        <is>
          <t>exam-app-login:apps/api/prisma/migrations/20261006700000_sms_channel/migration.sql
exam-app-login:apps/api/src/auth/auth.service.spec.ts
exam-app-login:apps/api/src/auth/otp.service.spec.ts</t>
        </is>
      </c>
      <c r="M482" s="5" t="n"/>
    </row>
    <row r="483">
      <c r="A483" t="inlineStr">
        <is>
          <t>YX-NTF-08</t>
        </is>
      </c>
      <c r="B483" t="inlineStr">
        <is>
          <t>P04</t>
        </is>
      </c>
      <c r="C483" t="inlineStr">
        <is>
          <t>YX-NTF</t>
        </is>
      </c>
      <c r="D483" t="inlineStr">
        <is>
          <t>1</t>
        </is>
      </c>
      <c r="E483" s="5" t="inlineStr">
        <is>
          <t>Rendering uses the recipient's language (fallback tenant default → English) and locale formats (₹ grouping, dates).</t>
        </is>
      </c>
      <c r="F483" t="inlineStr">
        <is>
          <t>Verify (step done, not linked)</t>
        </is>
      </c>
      <c r="H483">
        <f>IF(G483&lt;&gt;"",G483,F483)</f>
        <v/>
      </c>
      <c r="I483" t="n">
        <v>0</v>
      </c>
      <c r="J483" t="n">
        <v>0</v>
      </c>
      <c r="K483" t="n">
        <v>0</v>
      </c>
      <c r="L483" s="5" t="inlineStr"/>
      <c r="M483" s="5" t="n"/>
    </row>
    <row r="484">
      <c r="A484" t="inlineStr">
        <is>
          <t>YX-NTF-09</t>
        </is>
      </c>
      <c r="B484" t="inlineStr">
        <is>
          <t>P04</t>
        </is>
      </c>
      <c r="C484" t="inlineStr">
        <is>
          <t>YX-NTF</t>
        </is>
      </c>
      <c r="D484" t="inlineStr">
        <is>
          <t>1</t>
        </is>
      </c>
      <c r="E484" s="5" t="inlineStr">
        <is>
          <t>In-app items for the same group key within a window collapse into one grouped item with a count; counts equal the source query (P03 YX-WF-14).</t>
        </is>
      </c>
      <c r="F484" t="inlineStr">
        <is>
          <t>Verify (step done, not linked)</t>
        </is>
      </c>
      <c r="H484">
        <f>IF(G484&lt;&gt;"",G484,F484)</f>
        <v/>
      </c>
      <c r="I484" t="n">
        <v>0</v>
      </c>
      <c r="J484" t="n">
        <v>0</v>
      </c>
      <c r="K484" t="n">
        <v>0</v>
      </c>
      <c r="L484" s="5" t="inlineStr"/>
      <c r="M484" s="5" t="n"/>
    </row>
    <row r="485">
      <c r="A485" t="inlineStr">
        <is>
          <t>YX-NTF-10</t>
        </is>
      </c>
      <c r="B485" t="inlineStr">
        <is>
          <t>P04</t>
        </is>
      </c>
      <c r="C485" t="inlineStr">
        <is>
          <t>YX-NTF</t>
        </is>
      </c>
      <c r="D485" t="inlineStr">
        <is>
          <t>1</t>
        </is>
      </c>
      <c r="E485" s="5" t="inlineStr">
        <is>
          <t>Every delivery attempt is logged with status and provider id; failures retry with backoff, then surface in an admin delivery log.</t>
        </is>
      </c>
      <c r="F485" t="inlineStr">
        <is>
          <t>Built + tested</t>
        </is>
      </c>
      <c r="H485">
        <f>IF(G485&lt;&gt;"",G485,F485)</f>
        <v/>
      </c>
      <c r="I485" t="n">
        <v>8</v>
      </c>
      <c r="J485" t="n">
        <v>4</v>
      </c>
      <c r="K485" t="n">
        <v>0</v>
      </c>
      <c r="L485" s="5" t="inlineStr">
        <is>
          <t>exam-app-login:apps/api/prisma/migrations/20261006700000_sms_channel/migration.sql
exam-app-login:apps/api/src/sms-channel/sms-callbacks.spec.ts
exam-app-login:apps/api/src/sms-channel/sms-callbacks.ts</t>
        </is>
      </c>
      <c r="M485" s="5" t="n"/>
    </row>
    <row r="486">
      <c r="A486" t="inlineStr">
        <is>
          <t>YX-NTF-11</t>
        </is>
      </c>
      <c r="B486" t="inlineStr">
        <is>
          <t>P04</t>
        </is>
      </c>
      <c r="C486" t="inlineStr">
        <is>
          <t>YX-NTF</t>
        </is>
      </c>
      <c r="D486" t="inlineStr">
        <is>
          <t>1</t>
        </is>
      </c>
      <c r="E486" s="5" t="inlineStr">
        <is>
          <t>Bounces, WhatsApp blocks and SMS opt-outs update the channel status for that address; the engine stops using it until the address changes.</t>
        </is>
      </c>
      <c r="F486" t="inlineStr">
        <is>
          <t>Built + tested</t>
        </is>
      </c>
      <c r="H486">
        <f>IF(G486&lt;&gt;"",G486,F486)</f>
        <v/>
      </c>
      <c r="I486" t="n">
        <v>2</v>
      </c>
      <c r="J486" t="n">
        <v>2</v>
      </c>
      <c r="K486" t="n">
        <v>0</v>
      </c>
      <c r="L486" s="5" t="inlineStr">
        <is>
          <t>exam-app-login:apps/api/src/sms-channel/sms-channel.service.ts
exam-app-login:apps/api/test/sms-channel.e2e-spec.ts
exam-app-org:apps/api/src/sms-channel/sms-channel.service.ts</t>
        </is>
      </c>
      <c r="M486" s="5" t="n"/>
    </row>
    <row r="487">
      <c r="A487" t="inlineStr">
        <is>
          <t>YX-NTF-12</t>
        </is>
      </c>
      <c r="B487" t="inlineStr">
        <is>
          <t>P04</t>
        </is>
      </c>
      <c r="C487" t="inlineStr">
        <is>
          <t>YX-NTF</t>
        </is>
      </c>
      <c r="D487" t="inlineStr">
        <is>
          <t>1</t>
        </is>
      </c>
      <c r="E487" s="5" t="inlineStr">
        <is>
          <t>Per-tenant SMS usage is metered for billing (included quota + overage, or separate billing) and can be capped by the tenant; WhatsApp message counts are logged for the tenant's own reference (Meta bills the tenant directly).</t>
        </is>
      </c>
      <c r="F487" t="inlineStr">
        <is>
          <t>Built, no test cites it</t>
        </is>
      </c>
      <c r="H487">
        <f>IF(G487&lt;&gt;"",G487,F487)</f>
        <v/>
      </c>
      <c r="I487" t="n">
        <v>4</v>
      </c>
      <c r="J487" t="n">
        <v>0</v>
      </c>
      <c r="K487" t="n">
        <v>0</v>
      </c>
      <c r="L487" s="5" t="inlineStr">
        <is>
          <t>exam-app-login:apps/api/prisma/migrations/20261006700000_sms_channel/migration.sql
exam-app-login:apps/api/src/sms-channel/sms-channel.service.ts
exam-app-org:apps/api/prisma/migrations/20261006700000_sms_channel/migration.sql</t>
        </is>
      </c>
      <c r="M487" s="5" t="n"/>
    </row>
    <row r="488">
      <c r="A488" t="inlineStr">
        <is>
          <t>YX-NTF-13</t>
        </is>
      </c>
      <c r="B488" t="inlineStr">
        <is>
          <t>P04</t>
        </is>
      </c>
      <c r="C488" t="inlineStr">
        <is>
          <t>YX-NTF</t>
        </is>
      </c>
      <c r="D488" t="inlineStr">
        <is>
          <t>1</t>
        </is>
      </c>
      <c r="E488" s="5" t="inlineStr">
        <is>
          <t>OTP / transactional-authentication messages (§4.5a) bypass quiet hours, digests and grouping, are sent immediately via SMS or WhatsApp authentication templates, and SMS OTPs count toward the tenant's SMS quota.</t>
        </is>
      </c>
      <c r="F488" t="inlineStr">
        <is>
          <t>Built, no test cites it</t>
        </is>
      </c>
      <c r="H488">
        <f>IF(G488&lt;&gt;"",G488,F488)</f>
        <v/>
      </c>
      <c r="I488" t="n">
        <v>8</v>
      </c>
      <c r="J488" t="n">
        <v>0</v>
      </c>
      <c r="K488" t="n">
        <v>1</v>
      </c>
      <c r="L488" s="5" t="inlineStr">
        <is>
          <t>exam-app-login:apps/api/prisma/migrations/20261006300000_otp_sign_in/migration.sql
exam-app-login:apps/api/src/auth/otp-sender.ts
exam-app-login:apps/api/src/auth/otp.service.ts</t>
        </is>
      </c>
      <c r="M488" s="5" t="n"/>
    </row>
    <row r="489">
      <c r="A489" t="inlineStr">
        <is>
          <t>YX-NTF-14</t>
        </is>
      </c>
      <c r="B489" t="inlineStr">
        <is>
          <t>P04</t>
        </is>
      </c>
      <c r="C489" t="inlineStr">
        <is>
          <t>YX-NTF</t>
        </is>
      </c>
      <c r="D489" t="inlineStr">
        <is>
          <t>1</t>
        </is>
      </c>
      <c r="E489" s="5" t="inlineStr">
        <is>
          <t>WhatsApp and SMS are sent to a recipient only with an active opt-in for that channel and number in channel_consents (source, consent text version, time; Meta and TRAI-DLT requirement). Without one, the message goes by in-app, push and email instead and the fallback is logged; mandatory and transactional types are never dropped. An OTP goes by SMS / WhatsApp only when the person asked for it on that channel or has an active opt-in. A STOP reply, the user's toggle, HR or a provider opt-out sets withdrawn_at and stops that channel (YX-NTF-11).</t>
        </is>
      </c>
      <c r="F489" t="inlineStr">
        <is>
          <t>Built + tested</t>
        </is>
      </c>
      <c r="H489">
        <f>IF(G489&lt;&gt;"",G489,F489)</f>
        <v/>
      </c>
      <c r="I489" t="n">
        <v>6</v>
      </c>
      <c r="J489" t="n">
        <v>4</v>
      </c>
      <c r="K489" t="n">
        <v>1</v>
      </c>
      <c r="L489" s="5" t="inlineStr">
        <is>
          <t>exam-app-login:apps/api/prisma/migrations/20261006700000_sms_channel/migration.sql
exam-app-login:apps/api/src/auth/otp.service.ts
exam-app-login:apps/api/src/sms-channel/sms-channel.service.ts</t>
        </is>
      </c>
      <c r="M489" s="5" t="n"/>
    </row>
    <row r="490">
      <c r="A490" t="inlineStr">
        <is>
          <t>YX-NTF-15</t>
        </is>
      </c>
      <c r="B490" t="inlineStr">
        <is>
          <t>P04</t>
        </is>
      </c>
      <c r="C490" t="inlineStr">
        <is>
          <t>YX-NTF</t>
        </is>
      </c>
      <c r="D490" t="inlineStr">
        <is>
          <t>1</t>
        </is>
      </c>
      <c r="E490" s="5" t="inlineStr">
        <is>
          <t>Payslip PDF by email (B19): only when the legal entity's payslip_email_policies is enabled (default off); the PDF is AES-256 password-protected with the company's chosen scheme; the email states the scheme, never the password, and no amount; it goes only to the employee's verified address of the configured type, never CC / BCC; missing scheme inputs → link-only email; every send is logged and audited with the document hash. WhatsApp, SMS, push, Slack and Teams never carry the PDF (link only).</t>
        </is>
      </c>
      <c r="F490" t="inlineStr">
        <is>
          <t>Verify (step done, not linked)</t>
        </is>
      </c>
      <c r="H490">
        <f>IF(G490&lt;&gt;"",G490,F490)</f>
        <v/>
      </c>
      <c r="I490" t="n">
        <v>0</v>
      </c>
      <c r="J490" t="n">
        <v>0</v>
      </c>
      <c r="K490" t="n">
        <v>0</v>
      </c>
      <c r="L490" s="5" t="inlineStr"/>
      <c r="M490" s="5" t="n"/>
    </row>
    <row r="491">
      <c r="A491" t="inlineStr">
        <is>
          <t>YX-NTF-16</t>
        </is>
      </c>
      <c r="B491" t="inlineStr">
        <is>
          <t>P04</t>
        </is>
      </c>
      <c r="C491" t="inlineStr">
        <is>
          <t>YX-NTF</t>
        </is>
      </c>
      <c r="D491" t="inlineStr">
        <is>
          <t>1</t>
        </is>
      </c>
      <c r="E491" s="5" t="inlineStr">
        <is>
          <t>Slack / Teams apps (B9): act only for users linked by SSO / OAuth (chat_links); unlinked users get no personal data; approve / reject only for request types marked chat-safe in the P03 registry, with P03 permissions and self-approval re-checked at the click; chat check-in only where the M02 rules allow a chat punch; all writes go through the public API layer (P11 YX-API-02); messages follow YX-NTF-04 and sensitive answers are an in-app link; exit or unlink revokes access at once.</t>
        </is>
      </c>
      <c r="F491" t="inlineStr">
        <is>
          <t>Verify (step done, not linked)</t>
        </is>
      </c>
      <c r="H491">
        <f>IF(G491&lt;&gt;"",G491,F491)</f>
        <v/>
      </c>
      <c r="I491" t="n">
        <v>0</v>
      </c>
      <c r="J491" t="n">
        <v>0</v>
      </c>
      <c r="K491" t="n">
        <v>0</v>
      </c>
      <c r="L491" s="5" t="inlineStr"/>
      <c r="M491" s="5" t="n"/>
    </row>
    <row r="492">
      <c r="A492" t="inlineStr">
        <is>
          <t>YX-NTF-17</t>
        </is>
      </c>
      <c r="B492" t="inlineStr">
        <is>
          <t>P04</t>
        </is>
      </c>
      <c r="C492" t="inlineStr">
        <is>
          <t>YX-NTF</t>
        </is>
      </c>
      <c r="D492" t="inlineStr">
        <is>
          <t>1</t>
        </is>
      </c>
      <c r="E492" s="5" t="inlineStr">
        <is>
          <t>UI strings (B18): every user-facing string comes from the message catalogue (CI fails on hard-coded strings); employee-facing desk, mobile and portal screens ship in English, Hindi, Tamil and Telugu, admin screens English first; missing translations fall back per string to the tenant default then English and are logged; published translations pass native review and the glossary check; tenant label overrides never change statutory or legal terms.</t>
        </is>
      </c>
      <c r="F492" t="inlineStr">
        <is>
          <t>Verify (step done, not linked)</t>
        </is>
      </c>
      <c r="H492">
        <f>IF(G492&lt;&gt;"",G492,F492)</f>
        <v/>
      </c>
      <c r="I492" t="n">
        <v>0</v>
      </c>
      <c r="J492" t="n">
        <v>0</v>
      </c>
      <c r="K492" t="n">
        <v>0</v>
      </c>
      <c r="L492" s="5" t="inlineStr"/>
      <c r="M492" s="5" t="n"/>
    </row>
    <row r="493">
      <c r="A493" t="inlineStr">
        <is>
          <t>YX-DOC-01</t>
        </is>
      </c>
      <c r="B493" t="inlineStr">
        <is>
          <t>P05</t>
        </is>
      </c>
      <c r="C493" t="inlineStr">
        <is>
          <t>YX-DOC</t>
        </is>
      </c>
      <c r="D493" t="inlineStr">
        <is>
          <t>6+</t>
        </is>
      </c>
      <c r="E493" s="5" t="inlineStr">
        <is>
          <t>Files are private; access is only through short-lived signed links issued after a P02 permission check; Confidential/Special downloads are audited.</t>
        </is>
      </c>
      <c r="F493" t="inlineStr">
        <is>
          <t>Not started</t>
        </is>
      </c>
      <c r="H493">
        <f>IF(G493&lt;&gt;"",G493,F493)</f>
        <v/>
      </c>
      <c r="I493" t="n">
        <v>0</v>
      </c>
      <c r="J493" t="n">
        <v>0</v>
      </c>
      <c r="K493" t="n">
        <v>0</v>
      </c>
      <c r="L493" s="5" t="inlineStr"/>
      <c r="M493" s="5" t="n"/>
    </row>
    <row r="494">
      <c r="A494" t="inlineStr">
        <is>
          <t>YX-DOC-02</t>
        </is>
      </c>
      <c r="B494" t="inlineStr">
        <is>
          <t>P05</t>
        </is>
      </c>
      <c r="C494" t="inlineStr">
        <is>
          <t>YX-DOC</t>
        </is>
      </c>
      <c r="D494" t="inlineStr">
        <is>
          <t>6+</t>
        </is>
      </c>
      <c r="E494" s="5" t="inlineStr">
        <is>
          <t>A file is usable only after passing type/size validation and virus scan; failed files are quarantined and the uploader is told why.</t>
        </is>
      </c>
      <c r="F494" t="inlineStr">
        <is>
          <t>Not started</t>
        </is>
      </c>
      <c r="H494">
        <f>IF(G494&lt;&gt;"",G494,F494)</f>
        <v/>
      </c>
      <c r="I494" t="n">
        <v>0</v>
      </c>
      <c r="J494" t="n">
        <v>0</v>
      </c>
      <c r="K494" t="n">
        <v>0</v>
      </c>
      <c r="L494" s="5" t="inlineStr"/>
      <c r="M494" s="5" t="n"/>
    </row>
    <row r="495">
      <c r="A495" t="inlineStr">
        <is>
          <t>YX-DOC-03</t>
        </is>
      </c>
      <c r="B495" t="inlineStr">
        <is>
          <t>P05</t>
        </is>
      </c>
      <c r="C495" t="inlineStr">
        <is>
          <t>YX-DOC</t>
        </is>
      </c>
      <c r="D495" t="inlineStr">
        <is>
          <t>6+</t>
        </is>
      </c>
      <c r="E495" s="5" t="inlineStr">
        <is>
          <t>Files are stored in the tenant's region (P02 YX-SEC-19) under tenant-prefixed keys, encrypted at rest.</t>
        </is>
      </c>
      <c r="F495" t="inlineStr">
        <is>
          <t>Not started</t>
        </is>
      </c>
      <c r="H495">
        <f>IF(G495&lt;&gt;"",G495,F495)</f>
        <v/>
      </c>
      <c r="I495" t="n">
        <v>0</v>
      </c>
      <c r="J495" t="n">
        <v>0</v>
      </c>
      <c r="K495" t="n">
        <v>0</v>
      </c>
      <c r="L495" s="5" t="inlineStr"/>
      <c r="M495" s="5" t="n"/>
    </row>
    <row r="496">
      <c r="A496" t="inlineStr">
        <is>
          <t>YX-DOC-04</t>
        </is>
      </c>
      <c r="B496" t="inlineStr">
        <is>
          <t>P05</t>
        </is>
      </c>
      <c r="C496" t="inlineStr">
        <is>
          <t>YX-DOC</t>
        </is>
      </c>
      <c r="D496" t="inlineStr">
        <is>
          <t>6+</t>
        </is>
      </c>
      <c r="E496" s="5" t="inlineStr">
        <is>
          <t>Each document has a type; its sensitivity class, verification need, expiry and retention come from the type.</t>
        </is>
      </c>
      <c r="F496" t="inlineStr">
        <is>
          <t>Not started</t>
        </is>
      </c>
      <c r="H496">
        <f>IF(G496&lt;&gt;"",G496,F496)</f>
        <v/>
      </c>
      <c r="I496" t="n">
        <v>0</v>
      </c>
      <c r="J496" t="n">
        <v>0</v>
      </c>
      <c r="K496" t="n">
        <v>0</v>
      </c>
      <c r="L496" s="5" t="inlineStr"/>
      <c r="M496" s="5" t="n"/>
    </row>
    <row r="497">
      <c r="A497" t="inlineStr">
        <is>
          <t>YX-DOC-05</t>
        </is>
      </c>
      <c r="B497" t="inlineStr">
        <is>
          <t>P05</t>
        </is>
      </c>
      <c r="C497" t="inlineStr">
        <is>
          <t>YX-DOC</t>
        </is>
      </c>
      <c r="D497" t="inlineStr">
        <is>
          <t>6+</t>
        </is>
      </c>
      <c r="E497" s="5" t="inlineStr">
        <is>
          <t>Re-upload creates a new version; earlier versions remain for HR until retention ends.</t>
        </is>
      </c>
      <c r="F497" t="inlineStr">
        <is>
          <t>Not started</t>
        </is>
      </c>
      <c r="H497">
        <f>IF(G497&lt;&gt;"",G497,F497)</f>
        <v/>
      </c>
      <c r="I497" t="n">
        <v>0</v>
      </c>
      <c r="J497" t="n">
        <v>0</v>
      </c>
      <c r="K497" t="n">
        <v>0</v>
      </c>
      <c r="L497" s="5" t="inlineStr"/>
      <c r="M497" s="5" t="n"/>
    </row>
    <row r="498">
      <c r="A498" t="inlineStr">
        <is>
          <t>YX-DOC-06</t>
        </is>
      </c>
      <c r="B498" t="inlineStr">
        <is>
          <t>P05</t>
        </is>
      </c>
      <c r="C498" t="inlineStr">
        <is>
          <t>YX-DOC</t>
        </is>
      </c>
      <c r="D498" t="inlineStr">
        <is>
          <t>6+</t>
        </is>
      </c>
      <c r="E498" s="5" t="inlineStr">
        <is>
          <t>Documents with an expiry date raise reminders before expiry and move to "expired" automatically (P04 scheduler).</t>
        </is>
      </c>
      <c r="F498" t="inlineStr">
        <is>
          <t>Not started</t>
        </is>
      </c>
      <c r="H498">
        <f>IF(G498&lt;&gt;"",G498,F498)</f>
        <v/>
      </c>
      <c r="I498" t="n">
        <v>0</v>
      </c>
      <c r="J498" t="n">
        <v>0</v>
      </c>
      <c r="K498" t="n">
        <v>0</v>
      </c>
      <c r="L498" s="5" t="inlineStr"/>
      <c r="M498" s="5" t="n"/>
    </row>
    <row r="499">
      <c r="A499" t="inlineStr">
        <is>
          <t>YX-DOC-07</t>
        </is>
      </c>
      <c r="B499" t="inlineStr">
        <is>
          <t>P05</t>
        </is>
      </c>
      <c r="C499" t="inlineStr">
        <is>
          <t>YX-DOC</t>
        </is>
      </c>
      <c r="D499" t="inlineStr">
        <is>
          <t>6+</t>
        </is>
      </c>
      <c r="E499" s="5" t="inlineStr">
        <is>
          <t>Letter generation fails with a list of missing required fields; no silent blanks.</t>
        </is>
      </c>
      <c r="F499" t="inlineStr">
        <is>
          <t>UI prototype only</t>
        </is>
      </c>
      <c r="H499">
        <f>IF(G499&lt;&gt;"",G499,F499)</f>
        <v/>
      </c>
      <c r="I499" t="n">
        <v>0</v>
      </c>
      <c r="J499" t="n">
        <v>0</v>
      </c>
      <c r="K499" t="n">
        <v>1</v>
      </c>
      <c r="L499" s="5" t="inlineStr"/>
      <c r="M499" s="5" t="n"/>
    </row>
    <row r="500">
      <c r="A500" t="inlineStr">
        <is>
          <t>YX-DOC-08</t>
        </is>
      </c>
      <c r="B500" t="inlineStr">
        <is>
          <t>P05</t>
        </is>
      </c>
      <c r="C500" t="inlineStr">
        <is>
          <t>YX-DOC</t>
        </is>
      </c>
      <c r="D500" t="inlineStr">
        <is>
          <t>6+</t>
        </is>
      </c>
      <c r="E500" s="5" t="inlineStr">
        <is>
          <t>Merge fields respect P02: authors can only place, and issuers only render, fields they may see.</t>
        </is>
      </c>
      <c r="F500" t="inlineStr">
        <is>
          <t>Not started</t>
        </is>
      </c>
      <c r="H500">
        <f>IF(G500&lt;&gt;"",G500,F500)</f>
        <v/>
      </c>
      <c r="I500" t="n">
        <v>0</v>
      </c>
      <c r="J500" t="n">
        <v>0</v>
      </c>
      <c r="K500" t="n">
        <v>0</v>
      </c>
      <c r="L500" s="5" t="inlineStr"/>
      <c r="M500" s="5" t="n"/>
    </row>
    <row r="501">
      <c r="A501" t="inlineStr">
        <is>
          <t>YX-DOC-09</t>
        </is>
      </c>
      <c r="B501" t="inlineStr">
        <is>
          <t>P05</t>
        </is>
      </c>
      <c r="C501" t="inlineStr">
        <is>
          <t>YX-DOC</t>
        </is>
      </c>
      <c r="D501" t="inlineStr">
        <is>
          <t>6+</t>
        </is>
      </c>
      <c r="E501" s="5" t="inlineStr">
        <is>
          <t>Issued letters are immutable (hash stored); corrections create a new issue that supersedes the old; reference numbers are gap-free per entity and type.</t>
        </is>
      </c>
      <c r="F501" t="inlineStr">
        <is>
          <t>Not started</t>
        </is>
      </c>
      <c r="H501">
        <f>IF(G501&lt;&gt;"",G501,F501)</f>
        <v/>
      </c>
      <c r="I501" t="n">
        <v>0</v>
      </c>
      <c r="J501" t="n">
        <v>0</v>
      </c>
      <c r="K501" t="n">
        <v>0</v>
      </c>
      <c r="L501" s="5" t="inlineStr"/>
      <c r="M501" s="5" t="n"/>
    </row>
    <row r="502">
      <c r="A502" t="inlineStr">
        <is>
          <t>YX-DOC-10</t>
        </is>
      </c>
      <c r="B502" t="inlineStr">
        <is>
          <t>P05</t>
        </is>
      </c>
      <c r="C502" t="inlineStr">
        <is>
          <t>YX-DOC</t>
        </is>
      </c>
      <c r="D502" t="inlineStr">
        <is>
          <t>6+</t>
        </is>
      </c>
      <c r="E502" s="5" t="inlineStr">
        <is>
          <t>Letter types marked approval-required go through P03 before issue.</t>
        </is>
      </c>
      <c r="F502" t="inlineStr">
        <is>
          <t>Not started</t>
        </is>
      </c>
      <c r="H502">
        <f>IF(G502&lt;&gt;"",G502,F502)</f>
        <v/>
      </c>
      <c r="I502" t="n">
        <v>0</v>
      </c>
      <c r="J502" t="n">
        <v>0</v>
      </c>
      <c r="K502" t="n">
        <v>0</v>
      </c>
      <c r="L502" s="5" t="inlineStr"/>
      <c r="M502" s="5" t="n"/>
    </row>
    <row r="503">
      <c r="A503" t="inlineStr">
        <is>
          <t>YX-DOC-11</t>
        </is>
      </c>
      <c r="B503" t="inlineStr">
        <is>
          <t>P05</t>
        </is>
      </c>
      <c r="C503" t="inlineStr">
        <is>
          <t>YX-DOC</t>
        </is>
      </c>
      <c r="D503" t="inlineStr">
        <is>
          <t>6+</t>
        </is>
      </c>
      <c r="E503" s="5" t="inlineStr">
        <is>
          <t>Issued letters carry a verification code/QR unless the tenant switched it off for that letter type (default on); the public verify page shows only company, letter type, name and date, and whether the letter is current or superseded.</t>
        </is>
      </c>
      <c r="F503" t="inlineStr">
        <is>
          <t>UI prototype only</t>
        </is>
      </c>
      <c r="H503">
        <f>IF(G503&lt;&gt;"",G503,F503)</f>
        <v/>
      </c>
      <c r="I503" t="n">
        <v>0</v>
      </c>
      <c r="J503" t="n">
        <v>0</v>
      </c>
      <c r="K503" t="n">
        <v>1</v>
      </c>
      <c r="L503" s="5" t="inlineStr"/>
      <c r="M503" s="5" t="n"/>
    </row>
    <row r="504">
      <c r="A504" t="inlineStr">
        <is>
          <t>YX-DOC-12</t>
        </is>
      </c>
      <c r="B504" t="inlineStr">
        <is>
          <t>P05</t>
        </is>
      </c>
      <c r="C504" t="inlineStr">
        <is>
          <t>YX-DOC</t>
        </is>
      </c>
      <c r="D504" t="inlineStr">
        <is>
          <t>6+</t>
        </is>
      </c>
      <c r="E504" s="5" t="inlineStr">
        <is>
          <t>Signing/acceptance stores evidence (time, IP, device, OTP channel or provider certificate, document hash) and seals the signed PDF with a completion page.</t>
        </is>
      </c>
      <c r="F504" t="inlineStr">
        <is>
          <t>Not started</t>
        </is>
      </c>
      <c r="H504">
        <f>IF(G504&lt;&gt;"",G504,F504)</f>
        <v/>
      </c>
      <c r="I504" t="n">
        <v>0</v>
      </c>
      <c r="J504" t="n">
        <v>0</v>
      </c>
      <c r="K504" t="n">
        <v>0</v>
      </c>
      <c r="L504" s="5" t="inlineStr"/>
      <c r="M504" s="5" t="n"/>
    </row>
    <row r="505">
      <c r="A505" t="inlineStr">
        <is>
          <t>YX-DOC-13</t>
        </is>
      </c>
      <c r="B505" t="inlineStr">
        <is>
          <t>P05</t>
        </is>
      </c>
      <c r="C505" t="inlineStr">
        <is>
          <t>YX-DOC</t>
        </is>
      </c>
      <c r="D505" t="inlineStr">
        <is>
          <t>6+</t>
        </is>
      </c>
      <c r="E505" s="5" t="inlineStr">
        <is>
          <t>Retention rules delete or anonymise files after their period unless a legal hold applies; every deletion is logged.</t>
        </is>
      </c>
      <c r="F505" t="inlineStr">
        <is>
          <t>Not started</t>
        </is>
      </c>
      <c r="H505">
        <f>IF(G505&lt;&gt;"",G505,F505)</f>
        <v/>
      </c>
      <c r="I505" t="n">
        <v>0</v>
      </c>
      <c r="J505" t="n">
        <v>0</v>
      </c>
      <c r="K505" t="n">
        <v>0</v>
      </c>
      <c r="L505" s="5" t="inlineStr"/>
      <c r="M505" s="5" t="n"/>
    </row>
    <row r="506">
      <c r="A506" t="inlineStr">
        <is>
          <t>YX-DOC-14</t>
        </is>
      </c>
      <c r="B506" t="inlineStr">
        <is>
          <t>P05</t>
        </is>
      </c>
      <c r="C506" t="inlineStr">
        <is>
          <t>YX-DOC</t>
        </is>
      </c>
      <c r="D506" t="inlineStr">
        <is>
          <t>6+</t>
        </is>
      </c>
      <c r="E506" s="5" t="inlineStr">
        <is>
          <t>Letters render with embedded fonts supporting all launch languages (English, Hindi, Tamil, Telugu).</t>
        </is>
      </c>
      <c r="F506" t="inlineStr">
        <is>
          <t>Not started</t>
        </is>
      </c>
      <c r="H506">
        <f>IF(G506&lt;&gt;"",G506,F506)</f>
        <v/>
      </c>
      <c r="I506" t="n">
        <v>0</v>
      </c>
      <c r="J506" t="n">
        <v>0</v>
      </c>
      <c r="K506" t="n">
        <v>0</v>
      </c>
      <c r="L506" s="5" t="inlineStr"/>
      <c r="M506" s="5" t="n"/>
    </row>
    <row r="507">
      <c r="A507" t="inlineStr">
        <is>
          <t>YX-DOC-15</t>
        </is>
      </c>
      <c r="B507" t="inlineStr">
        <is>
          <t>P05</t>
        </is>
      </c>
      <c r="C507" t="inlineStr">
        <is>
          <t>YX-DOC</t>
        </is>
      </c>
      <c r="D507" t="inlineStr">
        <is>
          <t>6+</t>
        </is>
      </c>
      <c r="E507" s="5" t="inlineStr">
        <is>
          <t>Every letter template is stored as .docx (uploaded or produced by the in-app editor) and rendered by the single fill → LibreOffice pipeline; a template can be activated only after its placeholders validate against the field registry and a sample preview has been viewed.</t>
        </is>
      </c>
      <c r="F507" t="inlineStr">
        <is>
          <t>Not started</t>
        </is>
      </c>
      <c r="H507">
        <f>IF(G507&lt;&gt;"",G507,F507)</f>
        <v/>
      </c>
      <c r="I507" t="n">
        <v>0</v>
      </c>
      <c r="J507" t="n">
        <v>0</v>
      </c>
      <c r="K507" t="n">
        <v>0</v>
      </c>
      <c r="L507" s="5" t="inlineStr"/>
      <c r="M507" s="5" t="n"/>
    </row>
    <row r="508">
      <c r="A508" t="inlineStr">
        <is>
          <t>YX-DOC-16</t>
        </is>
      </c>
      <c r="B508" t="inlineStr">
        <is>
          <t>P05</t>
        </is>
      </c>
      <c r="C508" t="inlineStr">
        <is>
          <t>YX-DOC</t>
        </is>
      </c>
      <c r="D508" t="inlineStr">
        <is>
          <t>6+</t>
        </is>
      </c>
      <c r="E508" s="5" t="inlineStr">
        <is>
          <t>After exit, the employee's login converts to an alumni account (OTP to personal email/mobile) that can only read and download their own payslips, Form 16 and issued letters, for 7 years from the exit date; all other access ends on the last working day.</t>
        </is>
      </c>
      <c r="F508" t="inlineStr">
        <is>
          <t>UI prototype only</t>
        </is>
      </c>
      <c r="H508">
        <f>IF(G508&lt;&gt;"",G508,F508)</f>
        <v/>
      </c>
      <c r="I508" t="n">
        <v>0</v>
      </c>
      <c r="J508" t="n">
        <v>0</v>
      </c>
      <c r="K508" t="n">
        <v>2</v>
      </c>
      <c r="L508" s="5" t="inlineStr"/>
      <c r="M508" s="5" t="n"/>
    </row>
    <row r="509">
      <c r="A509" t="inlineStr">
        <is>
          <t>YX-DOC-17</t>
        </is>
      </c>
      <c r="B509" t="inlineStr">
        <is>
          <t>P05</t>
        </is>
      </c>
      <c r="C509" t="inlineStr">
        <is>
          <t>YX-DOC</t>
        </is>
      </c>
      <c r="D509" t="inlineStr">
        <is>
          <t>6+</t>
        </is>
      </c>
      <c r="E509" s="5" t="inlineStr">
        <is>
          <t>Documents of verification-required types (default: PAN, Aadhaar, bank proof, education, experience) are not used by payroll, payouts or statutory filings until verified; automated partner checks (PAN verification, bank penny-drop, P10 Q6, on by default) mark the document verified on success, and HR manual verification covers other types and failed checks; payroll pre-flight lists employees with unverified or rejected proofs.</t>
        </is>
      </c>
      <c r="F509" t="inlineStr">
        <is>
          <t>Not started</t>
        </is>
      </c>
      <c r="H509">
        <f>IF(G509&lt;&gt;"",G509,F509)</f>
        <v/>
      </c>
      <c r="I509" t="n">
        <v>0</v>
      </c>
      <c r="J509" t="n">
        <v>0</v>
      </c>
      <c r="K509" t="n">
        <v>0</v>
      </c>
      <c r="L509" s="5" t="inlineStr"/>
      <c r="M509" s="5" t="n"/>
    </row>
    <row r="510">
      <c r="A510" t="inlineStr">
        <is>
          <t>YX-DOC-18</t>
        </is>
      </c>
      <c r="B510" t="inlineStr">
        <is>
          <t>P05</t>
        </is>
      </c>
      <c r="C510" t="inlineStr">
        <is>
          <t>YX-DOC</t>
        </is>
      </c>
      <c r="D510" t="inlineStr">
        <is>
          <t>6+</t>
        </is>
      </c>
      <c r="E510" s="5" t="inlineStr">
        <is>
          <t>Attachments of Special-class document types (e.g. medical certificate: Special, HR-verified, retained with the leave record it supports) are never shown to approvers who lack the Special class for that person; they see "certificate attached · verified / pending" only. The file stays reachable by the owner, HR verifiers and roles granted the class, and each view is audited (P02 YX-SEC-09).</t>
        </is>
      </c>
      <c r="F510" t="inlineStr">
        <is>
          <t>UI prototype only</t>
        </is>
      </c>
      <c r="H510">
        <f>IF(G510&lt;&gt;"",G510,F510)</f>
        <v/>
      </c>
      <c r="I510" t="n">
        <v>0</v>
      </c>
      <c r="J510" t="n">
        <v>0</v>
      </c>
      <c r="K510" t="n">
        <v>1</v>
      </c>
      <c r="L510" s="5" t="inlineStr"/>
      <c r="M510" s="5" t="n"/>
    </row>
    <row r="511">
      <c r="A511" t="inlineStr">
        <is>
          <t>YX-DOC-19</t>
        </is>
      </c>
      <c r="B511" t="inlineStr">
        <is>
          <t>P05</t>
        </is>
      </c>
      <c r="C511" t="inlineStr">
        <is>
          <t>YX-DOC</t>
        </is>
      </c>
      <c r="D511" t="inlineStr">
        <is>
          <t>6+</t>
        </is>
      </c>
      <c r="E511" s="5" t="inlineStr">
        <is>
          <t>After a death in service, each registered nominee (or a legal heir HR verifies) gets a nominee login on the alumni pattern (YX-DOC-16: OTP to the nominee's own email / mobile, read-only, audited) limited to the documents HR releases for claims: F&amp;F statement, Form 16, service / relieving letter, nominee claim cover letters and the claim forms. The employee's own login is revoked immediately; nominee access ends when HR closes the claims or after the YX-DOC-16 period.</t>
        </is>
      </c>
      <c r="F511" t="inlineStr">
        <is>
          <t>UI prototype only</t>
        </is>
      </c>
      <c r="H511">
        <f>IF(G511&lt;&gt;"",G511,F511)</f>
        <v/>
      </c>
      <c r="I511" t="n">
        <v>0</v>
      </c>
      <c r="J511" t="n">
        <v>0</v>
      </c>
      <c r="K511" t="n">
        <v>1</v>
      </c>
      <c r="L511" s="5" t="inlineStr"/>
      <c r="M511" s="5" t="n"/>
    </row>
    <row r="512">
      <c r="A512" t="inlineStr">
        <is>
          <t>YX-HIS-01</t>
        </is>
      </c>
      <c r="B512" t="inlineStr">
        <is>
          <t>P06</t>
        </is>
      </c>
      <c r="C512" t="inlineStr">
        <is>
          <t>YX-HIS</t>
        </is>
      </c>
      <c r="D512" t="inlineStr">
        <is>
          <t>2</t>
        </is>
      </c>
      <c r="E512" s="5" t="inlineStr">
        <is>
          <t>Dated facts are written only through changes; no direct edits of dated tables.</t>
        </is>
      </c>
      <c r="F512" t="inlineStr">
        <is>
          <t>Built + tested</t>
        </is>
      </c>
      <c r="H512">
        <f>IF(G512&lt;&gt;"",G512,F512)</f>
        <v/>
      </c>
      <c r="I512" t="n">
        <v>4</v>
      </c>
      <c r="J512" t="n">
        <v>1</v>
      </c>
      <c r="K512" t="n">
        <v>0</v>
      </c>
      <c r="L512" s="5" t="inlineStr">
        <is>
          <t>exam-app-org:apps/api/prisma/migrations/20261008000000_employee_history/migration.sql
exam-app-org:apps/api/prisma/schema.prisma
exam-app-org:apps/api/prisma/seed-employees.ts</t>
        </is>
      </c>
      <c r="M512" s="5" t="n"/>
    </row>
    <row r="513">
      <c r="A513" t="inlineStr">
        <is>
          <t>YX-HIS-02</t>
        </is>
      </c>
      <c r="B513" t="inlineStr">
        <is>
          <t>P06</t>
        </is>
      </c>
      <c r="C513" t="inlineStr">
        <is>
          <t>YX-HIS</t>
        </is>
      </c>
      <c r="D513" t="inlineStr">
        <is>
          <t>2</t>
        </is>
      </c>
      <c r="E513" s="5" t="inlineStr">
        <is>
          <t>Current rows of a dated fact never overlap for the same subject (DB constraint).</t>
        </is>
      </c>
      <c r="F513" t="inlineStr">
        <is>
          <t>Built + tested</t>
        </is>
      </c>
      <c r="H513">
        <f>IF(G513&lt;&gt;"",G513,F513)</f>
        <v/>
      </c>
      <c r="I513" t="n">
        <v>3</v>
      </c>
      <c r="J513" t="n">
        <v>3</v>
      </c>
      <c r="K513" t="n">
        <v>0</v>
      </c>
      <c r="L513" s="5" t="inlineStr">
        <is>
          <t>exam-app-org:apps/api/prisma/migrations/20261007000000_org_structure/migration.sql
exam-app-org:apps/api/prisma/migrations/20261008000000_employee_history/migration.sql
exam-app-org:apps/api/src/employee-history/employee-history.service.ts</t>
        </is>
      </c>
      <c r="M513" s="5" t="n"/>
    </row>
    <row r="514">
      <c r="A514" t="inlineStr">
        <is>
          <t>YX-HIS-03</t>
        </is>
      </c>
      <c r="B514" t="inlineStr">
        <is>
          <t>P06</t>
        </is>
      </c>
      <c r="C514" t="inlineStr">
        <is>
          <t>YX-HIS</t>
        </is>
      </c>
      <c r="D514" t="inlineStr">
        <is>
          <t>2</t>
        </is>
      </c>
      <c r="E514" s="5" t="inlineStr">
        <is>
          <t>Facts that need continuity (assignment, compensation, statutory settings) have no gaps between joining and exit.</t>
        </is>
      </c>
      <c r="F514" t="inlineStr">
        <is>
          <t>Built, no test cites it</t>
        </is>
      </c>
      <c r="H514">
        <f>IF(G514&lt;&gt;"",G514,F514)</f>
        <v/>
      </c>
      <c r="I514" t="n">
        <v>1</v>
      </c>
      <c r="J514" t="n">
        <v>0</v>
      </c>
      <c r="K514" t="n">
        <v>0</v>
      </c>
      <c r="L514" s="5" t="inlineStr">
        <is>
          <t>exam-app-org:apps/api/src/employee-history/employee-history.service.ts</t>
        </is>
      </c>
      <c r="M514" s="5" t="n"/>
    </row>
    <row r="515">
      <c r="A515" t="inlineStr">
        <is>
          <t>YX-HIS-04</t>
        </is>
      </c>
      <c r="B515" t="inlineStr">
        <is>
          <t>P06</t>
        </is>
      </c>
      <c r="C515" t="inlineStr">
        <is>
          <t>YX-HIS</t>
        </is>
      </c>
      <c r="D515" t="inlineStr">
        <is>
          <t>2</t>
        </is>
      </c>
      <c r="E515" s="5" t="inlineStr">
        <is>
          <t>Effective dates are calendar dates in the employee's location; scheduled changes apply at the start of that day in that time zone.</t>
        </is>
      </c>
      <c r="F515" t="inlineStr">
        <is>
          <t>Built + tested</t>
        </is>
      </c>
      <c r="H515">
        <f>IF(G515&lt;&gt;"",G515,F515)</f>
        <v/>
      </c>
      <c r="I515" t="n">
        <v>5</v>
      </c>
      <c r="J515" t="n">
        <v>2</v>
      </c>
      <c r="K515" t="n">
        <v>0</v>
      </c>
      <c r="L515" s="5" t="inlineStr">
        <is>
          <t>exam-app-org:apps/api/prisma/migrations/20261007000000_org_structure/migration.sql
exam-app-org:apps/api/src/employee-history/employee-history.service.ts
exam-app-org:apps/api/src/employee-history/history-rules.spec.ts</t>
        </is>
      </c>
      <c r="M515" s="5" t="n"/>
    </row>
    <row r="516">
      <c r="A516" t="inlineStr">
        <is>
          <t>YX-HIS-05</t>
        </is>
      </c>
      <c r="B516" t="inlineStr">
        <is>
          <t>P06</t>
        </is>
      </c>
      <c r="C516" t="inlineStr">
        <is>
          <t>YX-HIS</t>
        </is>
      </c>
      <c r="D516" t="inlineStr">
        <is>
          <t>2</t>
        </is>
      </c>
      <c r="E516" s="5" t="inlineStr">
        <is>
          <t>Applying a change closes and opens rows in one transaction and emits employee.change.effective; the daily job is idempotent.</t>
        </is>
      </c>
      <c r="F516" t="inlineStr">
        <is>
          <t>Built + tested</t>
        </is>
      </c>
      <c r="H516">
        <f>IF(G516&lt;&gt;"",G516,F516)</f>
        <v/>
      </c>
      <c r="I516" t="n">
        <v>2</v>
      </c>
      <c r="J516" t="n">
        <v>1</v>
      </c>
      <c r="K516" t="n">
        <v>0</v>
      </c>
      <c r="L516" s="5" t="inlineStr">
        <is>
          <t>exam-app-org:apps/api/prisma/migrations/20261008000000_employee_history/migration.sql
exam-app-org:apps/api/src/employee-history/employee-history.service.ts
exam-app-org:apps/api/test/employee-history.e2e-spec.ts</t>
        </is>
      </c>
      <c r="M516" s="5" t="n"/>
    </row>
    <row r="517">
      <c r="A517" t="inlineStr">
        <is>
          <t>YX-HIS-06</t>
        </is>
      </c>
      <c r="B517" t="inlineStr">
        <is>
          <t>P06</t>
        </is>
      </c>
      <c r="C517" t="inlineStr">
        <is>
          <t>YX-HIS</t>
        </is>
      </c>
      <c r="D517" t="inlineStr">
        <is>
          <t>2</t>
        </is>
      </c>
      <c r="E517" s="5" t="inlineStr">
        <is>
          <t>A new change dated before a scheduled change rebases the later one; the user sees the recalculated values before confirming.</t>
        </is>
      </c>
      <c r="F517" t="inlineStr">
        <is>
          <t>Built + tested</t>
        </is>
      </c>
      <c r="H517">
        <f>IF(G517&lt;&gt;"",G517,F517)</f>
        <v/>
      </c>
      <c r="I517" t="n">
        <v>3</v>
      </c>
      <c r="J517" t="n">
        <v>3</v>
      </c>
      <c r="K517" t="n">
        <v>1</v>
      </c>
      <c r="L517" s="5" t="inlineStr">
        <is>
          <t>exam-app-org:apps/api/src/employee-history/dto.ts
exam-app-org:apps/api/src/employee-history/employee-history.service.ts
exam-app-org:apps/api/src/employee-history/history-rules.spec.ts</t>
        </is>
      </c>
      <c r="M517" s="5" t="n"/>
    </row>
    <row r="518">
      <c r="A518" t="inlineStr">
        <is>
          <t>YX-HIS-07</t>
        </is>
      </c>
      <c r="B518" t="inlineStr">
        <is>
          <t>P06</t>
        </is>
      </c>
      <c r="C518" t="inlineStr">
        <is>
          <t>YX-HIS</t>
        </is>
      </c>
      <c r="D518" t="inlineStr">
        <is>
          <t>2</t>
        </is>
      </c>
      <c r="E518" s="5" t="inlineStr">
        <is>
          <t>Retro changes supersede, never delete; superseded rows stay queryable with who, when and why.</t>
        </is>
      </c>
      <c r="F518" t="inlineStr">
        <is>
          <t>Built + tested</t>
        </is>
      </c>
      <c r="H518">
        <f>IF(G518&lt;&gt;"",G518,F518)</f>
        <v/>
      </c>
      <c r="I518" t="n">
        <v>5</v>
      </c>
      <c r="J518" t="n">
        <v>3</v>
      </c>
      <c r="K518" t="n">
        <v>0</v>
      </c>
      <c r="L518" s="5" t="inlineStr">
        <is>
          <t>exam-app-org:apps/api/prisma/migrations/20261008000000_employee_history/migration.sql
exam-app-org:apps/api/prisma/schema.prisma
exam-app-org:apps/api/src/employee-history/employee-history.service.ts</t>
        </is>
      </c>
      <c r="M518" s="5" t="n"/>
    </row>
    <row r="519">
      <c r="A519" t="inlineStr">
        <is>
          <t>YX-HIS-08</t>
        </is>
      </c>
      <c r="B519" t="inlineStr">
        <is>
          <t>P06</t>
        </is>
      </c>
      <c r="C519" t="inlineStr">
        <is>
          <t>YX-HIS</t>
        </is>
      </c>
      <c r="D519" t="inlineStr">
        <is>
          <t>2</t>
        </is>
      </c>
      <c r="E519" s="5" t="inlineStr">
        <is>
          <t>Issued payslips are never altered by corrections; differences flow to the next payroll as arrears/recoveries (Q4).</t>
        </is>
      </c>
      <c r="F519" t="inlineStr">
        <is>
          <t>In progress</t>
        </is>
      </c>
      <c r="H519">
        <f>IF(G519&lt;&gt;"",G519,F519)</f>
        <v/>
      </c>
      <c r="I519" t="n">
        <v>0</v>
      </c>
      <c r="J519" t="n">
        <v>0</v>
      </c>
      <c r="K519" t="n">
        <v>0</v>
      </c>
      <c r="L519" s="5" t="inlineStr"/>
      <c r="M519" s="5" t="n"/>
    </row>
    <row r="520">
      <c r="A520" t="inlineStr">
        <is>
          <t>YX-HIS-09</t>
        </is>
      </c>
      <c r="B520" t="inlineStr">
        <is>
          <t>P06</t>
        </is>
      </c>
      <c r="C520" t="inlineStr">
        <is>
          <t>YX-HIS</t>
        </is>
      </c>
      <c r="D520" t="inlineStr">
        <is>
          <t>2</t>
        </is>
      </c>
      <c r="E520" s="5" t="inlineStr">
        <is>
          <t>Payroll runs freeze their inputs (as-on snapshot + segments) so any payslip can be reproduced.</t>
        </is>
      </c>
      <c r="F520" t="inlineStr">
        <is>
          <t>In progress</t>
        </is>
      </c>
      <c r="H520">
        <f>IF(G520&lt;&gt;"",G520,F520)</f>
        <v/>
      </c>
      <c r="I520" t="n">
        <v>0</v>
      </c>
      <c r="J520" t="n">
        <v>0</v>
      </c>
      <c r="K520" t="n">
        <v>0</v>
      </c>
      <c r="L520" s="5" t="inlineStr"/>
      <c r="M520" s="5" t="n"/>
    </row>
    <row r="521">
      <c r="A521" t="inlineStr">
        <is>
          <t>YX-HIS-10</t>
        </is>
      </c>
      <c r="B521" t="inlineStr">
        <is>
          <t>P06</t>
        </is>
      </c>
      <c r="C521" t="inlineStr">
        <is>
          <t>YX-HIS</t>
        </is>
      </c>
      <c r="D521" t="inlineStr">
        <is>
          <t>2</t>
        </is>
      </c>
      <c r="E521" s="5" t="inlineStr">
        <is>
          <t>As-on and segment queries respect tenant RLS and P02 visibility, including P02's time-bound manager access.</t>
        </is>
      </c>
      <c r="F521" t="inlineStr">
        <is>
          <t>Built + tested</t>
        </is>
      </c>
      <c r="H521">
        <f>IF(G521&lt;&gt;"",G521,F521)</f>
        <v/>
      </c>
      <c r="I521" t="n">
        <v>1</v>
      </c>
      <c r="J521" t="n">
        <v>1</v>
      </c>
      <c r="K521" t="n">
        <v>0</v>
      </c>
      <c r="L521" s="5" t="inlineStr">
        <is>
          <t>exam-app-org:apps/api/src/employee-history/employee-history.service.ts
exam-app-org:apps/api/test/employee-history.e2e-spec.ts</t>
        </is>
      </c>
      <c r="M521" s="5" t="n"/>
    </row>
    <row r="522">
      <c r="A522" t="inlineStr">
        <is>
          <t>YX-HIS-11</t>
        </is>
      </c>
      <c r="B522" t="inlineStr">
        <is>
          <t>P06</t>
        </is>
      </c>
      <c r="C522" t="inlineStr">
        <is>
          <t>YX-HIS</t>
        </is>
      </c>
      <c r="D522" t="inlineStr">
        <is>
          <t>2</t>
        </is>
      </c>
      <c r="E522" s="5" t="inlineStr">
        <is>
          <t>Every change shows an impact preview before approval (derived effects on calendars, statutory state, approvers, leave policy, payroll proration).</t>
        </is>
      </c>
      <c r="F522" t="inlineStr">
        <is>
          <t>Built + tested</t>
        </is>
      </c>
      <c r="H522">
        <f>IF(G522&lt;&gt;"",G522,F522)</f>
        <v/>
      </c>
      <c r="I522" t="n">
        <v>2</v>
      </c>
      <c r="J522" t="n">
        <v>2</v>
      </c>
      <c r="K522" t="n">
        <v>3</v>
      </c>
      <c r="L522" s="5" t="inlineStr">
        <is>
          <t>exam-app-org:apps/api/prisma/migrations/20261008000000_employee_history/migration.sql
exam-app-org:apps/api/src/employee-history/employee-history.service.ts
exam-app-org:apps/api/test/employee-history.e2e-spec.ts</t>
        </is>
      </c>
      <c r="M522" s="5" t="n"/>
    </row>
    <row r="523">
      <c r="A523" t="inlineStr">
        <is>
          <t>YX-HIS-12</t>
        </is>
      </c>
      <c r="B523" t="inlineStr">
        <is>
          <t>P06</t>
        </is>
      </c>
      <c r="C523" t="inlineStr">
        <is>
          <t>YX-HIS</t>
        </is>
      </c>
      <c r="D523" t="inlineStr">
        <is>
          <t>2</t>
        </is>
      </c>
      <c r="E523" s="5" t="inlineStr">
        <is>
          <t>Past-dated changes are classified by reach: open payroll period (normal approval), processed payroll (correction request incl. Payroll Admin), before the tenant's retro limit (default: FY start; System Admin override with reason).</t>
        </is>
      </c>
      <c r="F523" t="inlineStr">
        <is>
          <t>Built + tested</t>
        </is>
      </c>
      <c r="H523">
        <f>IF(G523&lt;&gt;"",G523,F523)</f>
        <v/>
      </c>
      <c r="I523" t="n">
        <v>7</v>
      </c>
      <c r="J523" t="n">
        <v>3</v>
      </c>
      <c r="K523" t="n">
        <v>2</v>
      </c>
      <c r="L523" s="5" t="inlineStr">
        <is>
          <t>exam-app-org:apps/api/prisma/migrations/20261008000000_employee_history/migration.sql
exam-app-org:apps/api/prisma/seed.ts
exam-app-org:apps/api/src/employee-history/dto.ts</t>
        </is>
      </c>
      <c r="M523" s="5" t="n"/>
    </row>
    <row r="524">
      <c r="A524" t="inlineStr">
        <is>
          <t>YX-HIS-13</t>
        </is>
      </c>
      <c r="B524" t="inlineStr">
        <is>
          <t>P06</t>
        </is>
      </c>
      <c r="C524" t="inlineStr">
        <is>
          <t>YX-HIS</t>
        </is>
      </c>
      <c r="D524" t="inlineStr">
        <is>
          <t>2</t>
        </is>
      </c>
      <c r="E524" s="5" t="inlineStr">
        <is>
          <t>Mid-period treatment follows the tenant's policy per change type (and optionally per component): segments (default), whole-month cut-off day N, or next-month + arrears; statutory computations always use the legally required basis.</t>
        </is>
      </c>
      <c r="F524" t="inlineStr">
        <is>
          <t>Built, no test cites it</t>
        </is>
      </c>
      <c r="H524">
        <f>IF(G524&lt;&gt;"",G524,F524)</f>
        <v/>
      </c>
      <c r="I524" t="n">
        <v>1</v>
      </c>
      <c r="J524" t="n">
        <v>0</v>
      </c>
      <c r="K524" t="n">
        <v>0</v>
      </c>
      <c r="L524" s="5" t="inlineStr">
        <is>
          <t>exam-app-org:apps/api/src/employee-history/employee-history.service.ts</t>
        </is>
      </c>
      <c r="M524" s="5" t="n"/>
    </row>
    <row r="525">
      <c r="A525" t="inlineStr">
        <is>
          <t>YX-HIS-14</t>
        </is>
      </c>
      <c r="B525" t="inlineStr">
        <is>
          <t>P06</t>
        </is>
      </c>
      <c r="C525" t="inlineStr">
        <is>
          <t>YX-HIS</t>
        </is>
      </c>
      <c r="D525" t="inlineStr">
        <is>
          <t>2</t>
        </is>
      </c>
      <c r="E525" s="5" t="inlineStr">
        <is>
          <t>Absence status (sabbatical, long LWP, maternity, long-term disability, suspension), gender and marital status are dated facts written only through changes. Absence rows carry start and expected return; the impact preview shows the effects (expected attendance, accrual pause, zero-wage months; PT gender slab and leave eligibility for gender; nominee re-prompt for marital status).</t>
        </is>
      </c>
      <c r="F525" t="inlineStr">
        <is>
          <t>In progress</t>
        </is>
      </c>
      <c r="H525">
        <f>IF(G525&lt;&gt;"",G525,F525)</f>
        <v/>
      </c>
      <c r="I525" t="n">
        <v>0</v>
      </c>
      <c r="J525" t="n">
        <v>0</v>
      </c>
      <c r="K525" t="n">
        <v>0</v>
      </c>
      <c r="L525" s="5" t="inlineStr"/>
      <c r="M525" s="5" t="n"/>
    </row>
    <row r="526">
      <c r="A526" t="inlineStr">
        <is>
          <t>YX-HIS-15</t>
        </is>
      </c>
      <c r="B526" t="inlineStr">
        <is>
          <t>P06</t>
        </is>
      </c>
      <c r="C526" t="inlineStr">
        <is>
          <t>YX-HIS</t>
        </is>
      </c>
      <c r="D526" t="inlineStr">
        <is>
          <t>2</t>
        </is>
      </c>
      <c r="E526" s="5" t="inlineStr">
        <is>
          <t>Lifecycle change types contract extension, conversion to permanent, retirement extension and re-employment are dated changes: extension moves contract_end_on / the superannuation date; conversion changes employment type (and its P01 YX-ORG-20 statutory defaults) from the effective date; re-employment after retirement follows P01 YX-ORG-19 with the retired re-employed type.</t>
        </is>
      </c>
      <c r="F526" t="inlineStr">
        <is>
          <t>In progress</t>
        </is>
      </c>
      <c r="H526">
        <f>IF(G526&lt;&gt;"",G526,F526)</f>
        <v/>
      </c>
      <c r="I526" t="n">
        <v>0</v>
      </c>
      <c r="J526" t="n">
        <v>0</v>
      </c>
      <c r="K526" t="n">
        <v>0</v>
      </c>
      <c r="L526" s="5" t="inlineStr"/>
      <c r="M526" s="5" t="n"/>
    </row>
    <row r="527">
      <c r="A527" t="inlineStr">
        <is>
          <t>YX-STAT-01</t>
        </is>
      </c>
      <c r="B527" t="inlineStr">
        <is>
          <t>P07</t>
        </is>
      </c>
      <c r="C527" t="inlineStr">
        <is>
          <t>YX-STAT</t>
        </is>
      </c>
      <c r="D527" t="inlineStr">
        <is>
          <t>4, 5</t>
        </is>
      </c>
      <c r="E527" s="5" t="inlineStr">
        <is>
          <t>No statutory rate, slab, ceiling, due date or list is hard-coded; all come from published rule sets.</t>
        </is>
      </c>
      <c r="F527" t="inlineStr">
        <is>
          <t>UI prototype only</t>
        </is>
      </c>
      <c r="H527">
        <f>IF(G527&lt;&gt;"",G527,F527)</f>
        <v/>
      </c>
      <c r="I527" t="n">
        <v>0</v>
      </c>
      <c r="J527" t="n">
        <v>0</v>
      </c>
      <c r="K527" t="n">
        <v>1</v>
      </c>
      <c r="L527" s="5" t="inlineStr"/>
      <c r="M527" s="5" t="n"/>
    </row>
    <row r="528">
      <c r="A528" t="inlineStr">
        <is>
          <t>YX-STAT-02</t>
        </is>
      </c>
      <c r="B528" t="inlineStr">
        <is>
          <t>P07</t>
        </is>
      </c>
      <c r="C528" t="inlineStr">
        <is>
          <t>YX-STAT</t>
        </is>
      </c>
      <c r="D528" t="inlineStr">
        <is>
          <t>4, 5</t>
        </is>
      </c>
      <c r="E528" s="5" t="inlineStr">
        <is>
          <t>Rule sets are effective-dated and versioned; a published version is never edited, only superseded or withdrawn by a new version.</t>
        </is>
      </c>
      <c r="F528" t="inlineStr">
        <is>
          <t>Not started</t>
        </is>
      </c>
      <c r="H528">
        <f>IF(G528&lt;&gt;"",G528,F528)</f>
        <v/>
      </c>
      <c r="I528" t="n">
        <v>0</v>
      </c>
      <c r="J528" t="n">
        <v>0</v>
      </c>
      <c r="K528" t="n">
        <v>0</v>
      </c>
      <c r="L528" s="5" t="inlineStr"/>
      <c r="M528" s="5" t="n"/>
    </row>
    <row r="529">
      <c r="A529" t="inlineStr">
        <is>
          <t>YX-STAT-03</t>
        </is>
      </c>
      <c r="B529" t="inlineStr">
        <is>
          <t>P07</t>
        </is>
      </c>
      <c r="C529" t="inlineStr">
        <is>
          <t>YX-STAT</t>
        </is>
      </c>
      <c r="D529" t="inlineStr">
        <is>
          <t>4, 5</t>
        </is>
      </c>
      <c r="E529" s="5" t="inlineStr">
        <is>
          <t>Every rule set cites its legal source (notification/circular/URL + stored copy).</t>
        </is>
      </c>
      <c r="F529" t="inlineStr">
        <is>
          <t>Not started</t>
        </is>
      </c>
      <c r="H529">
        <f>IF(G529&lt;&gt;"",G529,F529)</f>
        <v/>
      </c>
      <c r="I529" t="n">
        <v>0</v>
      </c>
      <c r="J529" t="n">
        <v>0</v>
      </c>
      <c r="K529" t="n">
        <v>0</v>
      </c>
      <c r="L529" s="5" t="inlineStr"/>
      <c r="M529" s="5" t="n"/>
    </row>
    <row r="530">
      <c r="A530" t="inlineStr">
        <is>
          <t>YX-STAT-04</t>
        </is>
      </c>
      <c r="B530" t="inlineStr">
        <is>
          <t>P07</t>
        </is>
      </c>
      <c r="C530" t="inlineStr">
        <is>
          <t>YX-STAT</t>
        </is>
      </c>
      <c r="D530" t="inlineStr">
        <is>
          <t>4, 5</t>
        </is>
      </c>
      <c r="E530" s="5" t="inlineStr">
        <is>
          <t>Publishing requires passing shape validation and golden test cases, and a second person's review.</t>
        </is>
      </c>
      <c r="F530" t="inlineStr">
        <is>
          <t>UI prototype only</t>
        </is>
      </c>
      <c r="H530">
        <f>IF(G530&lt;&gt;"",G530,F530)</f>
        <v/>
      </c>
      <c r="I530" t="n">
        <v>0</v>
      </c>
      <c r="J530" t="n">
        <v>0</v>
      </c>
      <c r="K530" t="n">
        <v>1</v>
      </c>
      <c r="L530" s="5" t="inlineStr"/>
      <c r="M530" s="5" t="n"/>
    </row>
    <row r="531">
      <c r="A531" t="inlineStr">
        <is>
          <t>YX-STAT-05</t>
        </is>
      </c>
      <c r="B531" t="inlineStr">
        <is>
          <t>P07</t>
        </is>
      </c>
      <c r="C531" t="inlineStr">
        <is>
          <t>YX-STAT</t>
        </is>
      </c>
      <c r="D531" t="inlineStr">
        <is>
          <t>4, 5</t>
        </is>
      </c>
      <c r="E531" s="5" t="inlineStr">
        <is>
          <t>Evaluations use the rule set valid on the period date (P06) and record the version used; payroll snapshots store these references.</t>
        </is>
      </c>
      <c r="F531" t="inlineStr">
        <is>
          <t>Not started</t>
        </is>
      </c>
      <c r="H531">
        <f>IF(G531&lt;&gt;"",G531,F531)</f>
        <v/>
      </c>
      <c r="I531" t="n">
        <v>0</v>
      </c>
      <c r="J531" t="n">
        <v>0</v>
      </c>
      <c r="K531" t="n">
        <v>0</v>
      </c>
      <c r="L531" s="5" t="inlineStr"/>
      <c r="M531" s="5" t="n"/>
    </row>
    <row r="532">
      <c r="A532" t="inlineStr">
        <is>
          <t>YX-STAT-06</t>
        </is>
      </c>
      <c r="B532" t="inlineStr">
        <is>
          <t>P07</t>
        </is>
      </c>
      <c r="C532" t="inlineStr">
        <is>
          <t>YX-STAT</t>
        </is>
      </c>
      <c r="D532" t="inlineStr">
        <is>
          <t>4, 5</t>
        </is>
      </c>
      <c r="E532" s="5" t="inlineStr">
        <is>
          <t>Tenants cannot override statutory rates; they choose only legal options recorded per legal entity with effective dates.</t>
        </is>
      </c>
      <c r="F532" t="inlineStr">
        <is>
          <t>Not started</t>
        </is>
      </c>
      <c r="H532">
        <f>IF(G532&lt;&gt;"",G532,F532)</f>
        <v/>
      </c>
      <c r="I532" t="n">
        <v>0</v>
      </c>
      <c r="J532" t="n">
        <v>0</v>
      </c>
      <c r="K532" t="n">
        <v>0</v>
      </c>
      <c r="L532" s="5" t="inlineStr"/>
      <c r="M532" s="5" t="n"/>
    </row>
    <row r="533">
      <c r="A533" t="inlineStr">
        <is>
          <t>YX-STAT-07</t>
        </is>
      </c>
      <c r="B533" t="inlineStr">
        <is>
          <t>P07</t>
        </is>
      </c>
      <c r="C533" t="inlineStr">
        <is>
          <t>YX-STAT</t>
        </is>
      </c>
      <c r="D533" t="inlineStr">
        <is>
          <t>4, 5</t>
        </is>
      </c>
      <c r="E533" s="5" t="inlineStr">
        <is>
          <t>Past-dated publications flag affected processed payrolls per tenant and produce an arrears/recovery proposal (never silent recalculation).</t>
        </is>
      </c>
      <c r="F533" t="inlineStr">
        <is>
          <t>Not started</t>
        </is>
      </c>
      <c r="H533">
        <f>IF(G533&lt;&gt;"",G533,F533)</f>
        <v/>
      </c>
      <c r="I533" t="n">
        <v>0</v>
      </c>
      <c r="J533" t="n">
        <v>0</v>
      </c>
      <c r="K533" t="n">
        <v>0</v>
      </c>
      <c r="L533" s="5" t="inlineStr"/>
      <c r="M533" s="5" t="n"/>
    </row>
    <row r="534">
      <c r="A534" t="inlineStr">
        <is>
          <t>YX-STAT-08</t>
        </is>
      </c>
      <c r="B534" t="inlineStr">
        <is>
          <t>P07</t>
        </is>
      </c>
      <c r="C534" t="inlineStr">
        <is>
          <t>YX-STAT</t>
        </is>
      </c>
      <c r="D534" t="inlineStr">
        <is>
          <t>4, 5</t>
        </is>
      </c>
      <c r="E534" s="5" t="inlineStr">
        <is>
          <t>Rule changes notify affected tenants' Payroll Admins and HR Admins in-app and by email at publication, with a plain summary and impact count, plus a reminder before the effective date; the targeted, time-boxed banner follows YX-STAT-12.</t>
        </is>
      </c>
      <c r="F534" t="inlineStr">
        <is>
          <t>Not started</t>
        </is>
      </c>
      <c r="H534">
        <f>IF(G534&lt;&gt;"",G534,F534)</f>
        <v/>
      </c>
      <c r="I534" t="n">
        <v>0</v>
      </c>
      <c r="J534" t="n">
        <v>0</v>
      </c>
      <c r="K534" t="n">
        <v>0</v>
      </c>
      <c r="L534" s="5" t="inlineStr"/>
      <c r="M534" s="5" t="n"/>
    </row>
    <row r="535">
      <c r="A535" t="inlineStr">
        <is>
          <t>YX-STAT-09</t>
        </is>
      </c>
      <c r="B535" t="inlineStr">
        <is>
          <t>P07</t>
        </is>
      </c>
      <c r="C535" t="inlineStr">
        <is>
          <t>YX-STAT</t>
        </is>
      </c>
      <c r="D535" t="inlineStr">
        <is>
          <t>4, 5</t>
        </is>
      </c>
      <c r="E535" s="5" t="inlineStr">
        <is>
          <t>Minimum wage is checked at salary change and payroll pre-flight using the employee's location state, zone and skill category; the applicable minimum is max(state minimum wage, national floor wage) (YX-STAT-22).</t>
        </is>
      </c>
      <c r="F535" t="inlineStr">
        <is>
          <t>Not started</t>
        </is>
      </c>
      <c r="H535">
        <f>IF(G535&lt;&gt;"",G535,F535)</f>
        <v/>
      </c>
      <c r="I535" t="n">
        <v>0</v>
      </c>
      <c r="J535" t="n">
        <v>0</v>
      </c>
      <c r="K535" t="n">
        <v>0</v>
      </c>
      <c r="L535" s="5" t="inlineStr"/>
      <c r="M535" s="5" t="n"/>
    </row>
    <row r="536">
      <c r="A536" t="inlineStr">
        <is>
          <t>YX-STAT-10</t>
        </is>
      </c>
      <c r="B536" t="inlineStr">
        <is>
          <t>P07</t>
        </is>
      </c>
      <c r="C536" t="inlineStr">
        <is>
          <t>YX-STAT</t>
        </is>
      </c>
      <c r="D536" t="inlineStr">
        <is>
          <t>4, 5</t>
        </is>
      </c>
      <c r="E536" s="5" t="inlineStr">
        <is>
          <t>Statutory reference data lives in the statutory schema without tenant key; the statutory schema and platform catalogue tables (e.g. P09 standard metric definitions) are the only tables exempt from YX-ORG-14 and are read-only to the application's tenant role; tenant custom rows always carry organization_id.</t>
        </is>
      </c>
      <c r="F536" t="inlineStr">
        <is>
          <t>Not started</t>
        </is>
      </c>
      <c r="H536">
        <f>IF(G536&lt;&gt;"",G536,F536)</f>
        <v/>
      </c>
      <c r="I536" t="n">
        <v>0</v>
      </c>
      <c r="J536" t="n">
        <v>0</v>
      </c>
      <c r="K536" t="n">
        <v>0</v>
      </c>
      <c r="L536" s="5" t="inlineStr"/>
      <c r="M536" s="5" t="n"/>
    </row>
    <row r="537">
      <c r="A537" t="inlineStr">
        <is>
          <t>YX-STAT-11</t>
        </is>
      </c>
      <c r="B537" t="inlineStr">
        <is>
          <t>P07</t>
        </is>
      </c>
      <c r="C537" t="inlineStr">
        <is>
          <t>YX-STAT</t>
        </is>
      </c>
      <c r="D537" t="inlineStr">
        <is>
          <t>4, 5</t>
        </is>
      </c>
      <c r="E537" s="5" t="inlineStr">
        <is>
          <t>PT computations enforce the constitutional ₹2,500 annual cap per employee per employer (avoiding Frappe IN-D6).</t>
        </is>
      </c>
      <c r="F537" t="inlineStr">
        <is>
          <t>Not started</t>
        </is>
      </c>
      <c r="H537">
        <f>IF(G537&lt;&gt;"",G537,F537)</f>
        <v/>
      </c>
      <c r="I537" t="n">
        <v>0</v>
      </c>
      <c r="J537" t="n">
        <v>0</v>
      </c>
      <c r="K537" t="n">
        <v>0</v>
      </c>
      <c r="L537" s="5" t="inlineStr"/>
      <c r="M537" s="5" t="n"/>
    </row>
    <row r="538">
      <c r="A538" t="inlineStr">
        <is>
          <t>YX-STAT-12</t>
        </is>
      </c>
      <c r="B538" t="inlineStr">
        <is>
          <t>P07</t>
        </is>
      </c>
      <c r="C538" t="inlineStr">
        <is>
          <t>YX-STAT</t>
        </is>
      </c>
      <c r="D538" t="inlineStr">
        <is>
          <t>4, 5</t>
        </is>
      </c>
      <c r="E538" s="5" t="inlineStr">
        <is>
          <t>Statutory-update banners are targeted (only admins of affected entities/states; employee tax-centre banner only for employee-affecting changes), time-boxed (publication → effective date + 7 days), dismissible per user and grouped when several are pending.</t>
        </is>
      </c>
      <c r="F538" t="inlineStr">
        <is>
          <t>Not started</t>
        </is>
      </c>
      <c r="H538">
        <f>IF(G538&lt;&gt;"",G538,F538)</f>
        <v/>
      </c>
      <c r="I538" t="n">
        <v>0</v>
      </c>
      <c r="J538" t="n">
        <v>0</v>
      </c>
      <c r="K538" t="n">
        <v>0</v>
      </c>
      <c r="L538" s="5" t="inlineStr"/>
      <c r="M538" s="5" t="n"/>
    </row>
    <row r="539">
      <c r="A539" t="inlineStr">
        <is>
          <t>YX-STAT-13</t>
        </is>
      </c>
      <c r="B539" t="inlineStr">
        <is>
          <t>P07</t>
        </is>
      </c>
      <c r="C539" t="inlineStr">
        <is>
          <t>YX-STAT</t>
        </is>
      </c>
      <c r="D539" t="inlineStr">
        <is>
          <t>4, 5</t>
        </is>
      </c>
      <c r="E539" s="5" t="inlineStr">
        <is>
          <t>Statutory defaults per employment-type category (PF, ESI, PT, LWF, bonus, gratuity applicability) come from P07 rule sets, not code or tenant data; P01 YX-ORG-20 applies them, and a tenant override is accepted only where the rule set marks the item as a legal option. Rule sets whose content is not yet confirmed are published only with a "verify status" flag shown to tenants; the Labour Codes (in force 21 Nov 2025) are not flagged — fixed-term gratuity (pro-rata after 1 year) is enforced law (YX-STAT-20).</t>
        </is>
      </c>
      <c r="F539" t="inlineStr">
        <is>
          <t>Not started</t>
        </is>
      </c>
      <c r="H539">
        <f>IF(G539&lt;&gt;"",G539,F539)</f>
        <v/>
      </c>
      <c r="I539" t="n">
        <v>0</v>
      </c>
      <c r="J539" t="n">
        <v>0</v>
      </c>
      <c r="K539" t="n">
        <v>0</v>
      </c>
      <c r="L539" s="5" t="inlineStr"/>
      <c r="M539" s="5" t="n"/>
    </row>
    <row r="540">
      <c r="A540" t="inlineStr">
        <is>
          <t>YX-STAT-14</t>
        </is>
      </c>
      <c r="B540" t="inlineStr">
        <is>
          <t>P07</t>
        </is>
      </c>
      <c r="C540" t="inlineStr">
        <is>
          <t>YX-STAT</t>
        </is>
      </c>
      <c r="D540" t="inlineStr">
        <is>
          <t>4, 5</t>
        </is>
      </c>
      <c r="E540" s="5" t="inlineStr">
        <is>
          <t>Interest, late fees, damages and penalties are dated penalty parameters per statute (TDS s.201(1A) / 234E / 271H, PF s.7Q / 14B, ESI interest / damages, PT late fees per state), never hard-coded; M03 computes challan interest / fee from them (YX-TAX-14), and the compliance calendar shows an estimated penalty for due / overdue items, labelled as an estimate with the rule version (fixes U45; GAP A9); once a late or supplementary PF / ESI payment is made, the amount becomes a payable line with its calculation (YX-STAT-26).</t>
        </is>
      </c>
      <c r="F540" t="inlineStr">
        <is>
          <t>UI prototype only</t>
        </is>
      </c>
      <c r="H540">
        <f>IF(G540&lt;&gt;"",G540,F540)</f>
        <v/>
      </c>
      <c r="I540" t="n">
        <v>0</v>
      </c>
      <c r="J540" t="n">
        <v>0</v>
      </c>
      <c r="K540" t="n">
        <v>1</v>
      </c>
      <c r="L540" s="5" t="inlineStr"/>
      <c r="M540" s="5" t="n"/>
    </row>
    <row r="541">
      <c r="A541" t="inlineStr">
        <is>
          <t>YX-STAT-15</t>
        </is>
      </c>
      <c r="B541" t="inlineStr">
        <is>
          <t>P07</t>
        </is>
      </c>
      <c r="C541" t="inlineStr">
        <is>
          <t>YX-STAT</t>
        </is>
      </c>
      <c r="D541" t="inlineStr">
        <is>
          <t>4, 5</t>
        </is>
      </c>
      <c r="E541" s="5" t="inlineStr">
        <is>
          <t>Non-salary TDS is data (A8): sections (194C, 194J(a), 194J(b)), rates by deductee type, single-payment and aggregate-per-FY thresholds, the s.206AA no-PAN rate, s.197 certificate semantics (rate within validity and limit), the GST-exclusion rule, challan / return section and reason codes, and Form 140 / Form 131 formats and due dates (26Q / Form 16A up to 31 Mar 2026) come from dated IN.TDS rule sets, never code; a change of section numbering or form names (the Income-tax Act 2025 from 1 Apr 2026, YX-STAT-24) is a new rule-set version, not a release.</t>
        </is>
      </c>
      <c r="F541" t="inlineStr">
        <is>
          <t>Not started</t>
        </is>
      </c>
      <c r="H541">
        <f>IF(G541&lt;&gt;"",G541,F541)</f>
        <v/>
      </c>
      <c r="I541" t="n">
        <v>0</v>
      </c>
      <c r="J541" t="n">
        <v>0</v>
      </c>
      <c r="K541" t="n">
        <v>0</v>
      </c>
      <c r="L541" s="5" t="inlineStr"/>
      <c r="M541" s="5" t="n"/>
    </row>
    <row r="542">
      <c r="A542" t="inlineStr">
        <is>
          <t>YX-STAT-16</t>
        </is>
      </c>
      <c r="B542" t="inlineStr">
        <is>
          <t>P07</t>
        </is>
      </c>
      <c r="C542" t="inlineStr">
        <is>
          <t>YX-STAT</t>
        </is>
      </c>
      <c r="D542" t="inlineStr">
        <is>
          <t>4, 5</t>
        </is>
      </c>
      <c r="E542" s="5" t="inlineStr">
        <is>
          <t>Register formats are dated data (A9): IN.REGISTERS holds, per state and establishment type, the required register types and their format versions with valid_from / valid_to and family (labour-code unified or legacy S&amp;E / Factories); a register is always generated in the format valid on its period date, legacy and labour-code formats may overlap where a state requires both in transition, and a state that has not notified its rules under the Codes keeps its legacy formats as a transitional rule set, flagged in the compliance calendar (YX-STAT-20).</t>
        </is>
      </c>
      <c r="F542" t="inlineStr">
        <is>
          <t>Not started</t>
        </is>
      </c>
      <c r="H542">
        <f>IF(G542&lt;&gt;"",G542,F542)</f>
        <v/>
      </c>
      <c r="I542" t="n">
        <v>0</v>
      </c>
      <c r="J542" t="n">
        <v>0</v>
      </c>
      <c r="K542" t="n">
        <v>0</v>
      </c>
      <c r="L542" s="5" t="inlineStr"/>
      <c r="M542" s="5" t="n"/>
    </row>
    <row r="543">
      <c r="A543" t="inlineStr">
        <is>
          <t>YX-STAT-17</t>
        </is>
      </c>
      <c r="B543" t="inlineStr">
        <is>
          <t>P07</t>
        </is>
      </c>
      <c r="C543" t="inlineStr">
        <is>
          <t>YX-STAT</t>
        </is>
      </c>
      <c r="D543" t="inlineStr">
        <is>
          <t>4, 5</t>
        </is>
      </c>
      <c r="E543" s="5" t="inlineStr">
        <is>
          <t>Advisory feed (B17): every advisory cites its source, passes maker ≠ checker review, and is shown only to the compliance owner, HR Admin and Payroll Admin of tenants with entities / locations in its jurisdictions (urgent ones notified immediately, others in a weekly digest); an advisory and the rule-set versions it caused link to each other; tenants can mark it reviewed with a note (audited).</t>
        </is>
      </c>
      <c r="F543" t="inlineStr">
        <is>
          <t>Not started</t>
        </is>
      </c>
      <c r="H543">
        <f>IF(G543&lt;&gt;"",G543,F543)</f>
        <v/>
      </c>
      <c r="I543" t="n">
        <v>0</v>
      </c>
      <c r="J543" t="n">
        <v>0</v>
      </c>
      <c r="K543" t="n">
        <v>0</v>
      </c>
      <c r="L543" s="5" t="inlineStr"/>
      <c r="M543" s="5" t="n"/>
    </row>
    <row r="544">
      <c r="A544" t="inlineStr">
        <is>
          <t>YX-STAT-18</t>
        </is>
      </c>
      <c r="B544" t="inlineStr">
        <is>
          <t>P07</t>
        </is>
      </c>
      <c r="C544" t="inlineStr">
        <is>
          <t>YX-STAT</t>
        </is>
      </c>
      <c r="D544" t="inlineStr">
        <is>
          <t>4, 5</t>
        </is>
      </c>
      <c r="E544" s="5" t="inlineStr">
        <is>
          <t>ESOP perquisite (C4): the perquisite at exercise uses FMV per the dated IN.TDS rules (listed: exchange opening / closing average on the exercise date; unlisted: merchant-banker valuation dated within the allowed window before exercise, rejected if older); for an eligible startup with the deferral option recorded, TDS is deferred to the earliest trigger event (end of the deferral period, exit, sale) and then deducted by the rule's due date at exercise-year rates; the valuation report is stored as a document and cited on Form 12BA.</t>
        </is>
      </c>
      <c r="F544" t="inlineStr">
        <is>
          <t>Not started</t>
        </is>
      </c>
      <c r="H544">
        <f>IF(G544&lt;&gt;"",G544,F544)</f>
        <v/>
      </c>
      <c r="I544" t="n">
        <v>0</v>
      </c>
      <c r="J544" t="n">
        <v>0</v>
      </c>
      <c r="K544" t="n">
        <v>0</v>
      </c>
      <c r="L544" s="5" t="inlineStr"/>
      <c r="M544" s="5" t="n"/>
    </row>
    <row r="545">
      <c r="A545" t="inlineStr">
        <is>
          <t>YX-STAT-19</t>
        </is>
      </c>
      <c r="B545" t="inlineStr">
        <is>
          <t>P07</t>
        </is>
      </c>
      <c r="C545" t="inlineStr">
        <is>
          <t>YX-STAT</t>
        </is>
      </c>
      <c r="D545" t="inlineStr">
        <is>
          <t>4, 5</t>
        </is>
      </c>
      <c r="E545" s="5" t="inlineStr">
        <is>
          <t>New country packs (C4): a pack (e.g. UAE, a GCC country, US 1099 reporting) is added only as pack data + calculators + golden cases through the same evaluator APIs, with each rule set flagged "verify status" until confirmed by a local partner; no module code branches on country.</t>
        </is>
      </c>
      <c r="F545" t="inlineStr">
        <is>
          <t>Not started</t>
        </is>
      </c>
      <c r="H545">
        <f>IF(G545&lt;&gt;"",G545,F545)</f>
        <v/>
      </c>
      <c r="I545" t="n">
        <v>0</v>
      </c>
      <c r="J545" t="n">
        <v>0</v>
      </c>
      <c r="K545" t="n">
        <v>0</v>
      </c>
      <c r="L545" s="5" t="inlineStr"/>
      <c r="M545" s="5" t="n"/>
    </row>
    <row r="546">
      <c r="A546" t="inlineStr">
        <is>
          <t>YX-STAT-20</t>
        </is>
      </c>
      <c r="B546" t="inlineStr">
        <is>
          <t>P07</t>
        </is>
      </c>
      <c r="C546" t="inlineStr">
        <is>
          <t>YX-STAT</t>
        </is>
      </c>
      <c r="D546" t="inlineStr">
        <is>
          <t>4, 5</t>
        </is>
      </c>
      <c r="E546" s="5" t="inlineStr">
        <is>
          <t>Labour Codes as dated law (C1): IN.WAGES-CODE, IN.SS-CODE, IN.OSH and IN.IR rule sets are valid from 21 Nov 2025 and the old-Act versions of the subject statutes end on 20 Nov 2025; a period ending before 21 Nov 2025 uses the old Acts; a period straddling the date is split by days into P06 segments unless a rule set states another basis; where a government has not notified its rules under a Code, the old rules continue as a transitional rule set, flagged in Settings › Statutory rules and the compliance calendar until replaced. No Labour Code rule carries a "verify status" flag.</t>
        </is>
      </c>
      <c r="F546" t="inlineStr">
        <is>
          <t>Not started</t>
        </is>
      </c>
      <c r="H546">
        <f>IF(G546&lt;&gt;"",G546,F546)</f>
        <v/>
      </c>
      <c r="I546" t="n">
        <v>0</v>
      </c>
      <c r="J546" t="n">
        <v>0</v>
      </c>
      <c r="K546" t="n">
        <v>0</v>
      </c>
      <c r="L546" s="5" t="inlineStr"/>
      <c r="M546" s="5" t="n"/>
    </row>
    <row r="547">
      <c r="A547" t="inlineStr">
        <is>
          <t>YX-STAT-21</t>
        </is>
      </c>
      <c r="B547" t="inlineStr">
        <is>
          <t>P07</t>
        </is>
      </c>
      <c r="C547" t="inlineStr">
        <is>
          <t>YX-STAT</t>
        </is>
      </c>
      <c r="D547" t="inlineStr">
        <is>
          <t>4, 5</t>
        </is>
      </c>
      <c r="E547" s="5" t="inlineStr">
        <is>
          <t>Code wage definition (C1): for every payslip from 21 Nov 2025 the evaluator computes Code "wages" (basic + DA + retaining allowance) and adds back the amount by which the Code's exclusions exceed 50 % of total remuneration; the add-back wage is the base for PF, ESI, gratuity, bonus and leave encashment; M03 shows it at pre-run (YX-PAY-47) and in the payslip explanation.</t>
        </is>
      </c>
      <c r="F547" t="inlineStr">
        <is>
          <t>UI prototype only</t>
        </is>
      </c>
      <c r="H547">
        <f>IF(G547&lt;&gt;"",G547,F547)</f>
        <v/>
      </c>
      <c r="I547" t="n">
        <v>0</v>
      </c>
      <c r="J547" t="n">
        <v>0</v>
      </c>
      <c r="K547" t="n">
        <v>1</v>
      </c>
      <c r="L547" s="5" t="inlineStr"/>
      <c r="M547" s="5" t="n"/>
    </row>
    <row r="548">
      <c r="A548" t="inlineStr">
        <is>
          <t>YX-STAT-22</t>
        </is>
      </c>
      <c r="B548" t="inlineStr">
        <is>
          <t>P07</t>
        </is>
      </c>
      <c r="C548" t="inlineStr">
        <is>
          <t>YX-STAT</t>
        </is>
      </c>
      <c r="D548" t="inlineStr">
        <is>
          <t>4, 5</t>
        </is>
      </c>
      <c r="E548" s="5" t="inlineStr">
        <is>
          <t>National floor wage (C1): the floor wage is a dated central IN.WAGES-CODE value; the minimum-wage check (YX-STAT-09) uses max(state minimum wage for the zone and skill category, floor wage), and where a state rate is below the floor the tenant view shows the floor applied.</t>
        </is>
      </c>
      <c r="F548" t="inlineStr">
        <is>
          <t>Not started</t>
        </is>
      </c>
      <c r="H548">
        <f>IF(G548&lt;&gt;"",G548,F548)</f>
        <v/>
      </c>
      <c r="I548" t="n">
        <v>0</v>
      </c>
      <c r="J548" t="n">
        <v>0</v>
      </c>
      <c r="K548" t="n">
        <v>0</v>
      </c>
      <c r="L548" s="5" t="inlineStr"/>
      <c r="M548" s="5" t="n"/>
    </row>
    <row r="549">
      <c r="A549" t="inlineStr">
        <is>
          <t>YX-STAT-23</t>
        </is>
      </c>
      <c r="B549" t="inlineStr">
        <is>
          <t>P07</t>
        </is>
      </c>
      <c r="C549" t="inlineStr">
        <is>
          <t>YX-STAT</t>
        </is>
      </c>
      <c r="D549" t="inlineStr">
        <is>
          <t>4, 5</t>
        </is>
      </c>
      <c r="E549" s="5" t="inlineStr">
        <is>
          <t>IR and OSH duties (C1): IN.IR holds retrenchment compensation (15 days' average pay per completed year of continuous service), notice or pay in lieu, the Worker Re-skilling Fund contribution (15 days' last-drawn wages per retrenched worker, remittance as a calendar item), the 300-worker thresholds for prior government permission (lay-off, retrenchment, closure) and for standing orders, and the 20-worker threshold for a grievance redressal committee; IN.OSH holds the mandatory appointment letter for every worker, the free annual health check-up for workers aged 40+ where prescribed, and the con</t>
        </is>
      </c>
      <c r="F549" t="inlineStr">
        <is>
          <t>Not started</t>
        </is>
      </c>
      <c r="H549">
        <f>IF(G549&lt;&gt;"",G549,F549)</f>
        <v/>
      </c>
      <c r="I549" t="n">
        <v>0</v>
      </c>
      <c r="J549" t="n">
        <v>0</v>
      </c>
      <c r="K549" t="n">
        <v>0</v>
      </c>
      <c r="L549" s="5" t="inlineStr"/>
      <c r="M549" s="5" t="n"/>
    </row>
    <row r="550">
      <c r="A550" t="inlineStr">
        <is>
          <t>YX-STAT-24</t>
        </is>
      </c>
      <c r="B550" t="inlineStr">
        <is>
          <t>P07</t>
        </is>
      </c>
      <c r="C550" t="inlineStr">
        <is>
          <t>YX-STAT</t>
        </is>
      </c>
      <c r="D550" t="inlineStr">
        <is>
          <t>4, 5</t>
        </is>
      </c>
      <c r="E550" s="5" t="inlineStr">
        <is>
          <t>Income-tax law version (C2): every IN.TDS rule set, calculator version, form definition and calendar rule carries a law version (IT-1961, IT-2025); periods and returns up to the tax year ending 31 Mar 2026 use IT-1961 (Form 16 / 16A, 24Q / 26Q / 27Q, 15G / 15H), including later corrections of those quarters; from 1 Apr 2026 IT-2025 (Form 130 / 131, Form 138 / 140 / 144, Form 121). Section references come only from the reviewed law cross-walk, and an IT-2025 rule set citing a subject whose cross-walk row is unfilled fails validation (no guessed section numbers).</t>
        </is>
      </c>
      <c r="F550" t="inlineStr">
        <is>
          <t>Not started</t>
        </is>
      </c>
      <c r="H550">
        <f>IF(G550&lt;&gt;"",G550,F550)</f>
        <v/>
      </c>
      <c r="I550" t="n">
        <v>0</v>
      </c>
      <c r="J550" t="n">
        <v>0</v>
      </c>
      <c r="K550" t="n">
        <v>0</v>
      </c>
      <c r="L550" s="5" t="inlineStr"/>
      <c r="M550" s="5" t="n"/>
    </row>
    <row r="551">
      <c r="A551" t="inlineStr">
        <is>
          <t>YX-STAT-25</t>
        </is>
      </c>
      <c r="B551" t="inlineStr">
        <is>
          <t>P07</t>
        </is>
      </c>
      <c r="C551" t="inlineStr">
        <is>
          <t>YX-STAT</t>
        </is>
      </c>
      <c r="D551" t="inlineStr">
        <is>
          <t>4, 5</t>
        </is>
      </c>
      <c r="E551" s="5" t="inlineStr">
        <is>
          <t>Employment injury as dated data (J6): the ESIC accident-report form and time limit (IN.ESI; prescribed time per ESI regs, verify), the reportable-accident thresholds and the accident-notice form, authority and time (IN.OSH, transitional IN.FACTORIES per state), and the employees' compensation formula, wage ceiling, age-factor table, minimums, waiting period, due date, commissioner-deposit cases, interest and penalty (IN.EC: EC Act 1923 up to 20 Nov 2025, Code on Social Security from 21 Nov 2025) are dated rule sets chosen by the accident date, each with golden cases; M08 and M03 read them thro</t>
        </is>
      </c>
      <c r="F551" t="inlineStr">
        <is>
          <t>Not started</t>
        </is>
      </c>
      <c r="H551">
        <f>IF(G551&lt;&gt;"",G551,F551)</f>
        <v/>
      </c>
      <c r="I551" t="n">
        <v>0</v>
      </c>
      <c r="J551" t="n">
        <v>0</v>
      </c>
      <c r="K551" t="n">
        <v>0</v>
      </c>
      <c r="L551" s="5" t="inlineStr"/>
      <c r="M551" s="5" t="n"/>
    </row>
    <row r="552">
      <c r="A552" t="inlineStr">
        <is>
          <t>YX-STAT-26</t>
        </is>
      </c>
      <c r="B552" t="inlineStr">
        <is>
          <t>P07</t>
        </is>
      </c>
      <c r="C552" t="inlineStr">
        <is>
          <t>YX-STAT</t>
        </is>
      </c>
      <c r="D552" t="inlineStr">
        <is>
          <t>4, 5</t>
        </is>
      </c>
      <c r="E552" s="5" t="inlineStr">
        <is>
          <t>Post-filing PF / ESI corrections (J20): IN.PF and IN.ESI hold the correction paths for a filed month — the supplementary / arrear ECR format and when it applies, the ESI past-period contribution method, and the excess-remittance treatment (adjustment or refund request per portal rules) — as dated data; a filed return is never regenerated for re-upload. Interest (EPF s.7Q), damages (EPF s.14B, by delay band) and ESI interest / damages for a late or supplementary payment are computed from the dated penalty parameters as payable lines (days late, base, rate or band, amount, rule version), are emp</t>
        </is>
      </c>
      <c r="F552" t="inlineStr">
        <is>
          <t>UI prototype only</t>
        </is>
      </c>
      <c r="H552">
        <f>IF(G552&lt;&gt;"",G552,F552)</f>
        <v/>
      </c>
      <c r="I552" t="n">
        <v>0</v>
      </c>
      <c r="J552" t="n">
        <v>0</v>
      </c>
      <c r="K552" t="n">
        <v>1</v>
      </c>
      <c r="L552" s="5" t="inlineStr"/>
      <c r="M552" s="5" t="n"/>
    </row>
    <row r="553">
      <c r="A553" t="inlineStr">
        <is>
          <t>YX-STAT-27</t>
        </is>
      </c>
      <c r="B553" t="inlineStr">
        <is>
          <t>P07</t>
        </is>
      </c>
      <c r="C553" t="inlineStr">
        <is>
          <t>YX-STAT</t>
        </is>
      </c>
      <c r="D553" t="inlineStr">
        <is>
          <t>4, 5</t>
        </is>
      </c>
      <c r="E553" s="5" t="inlineStr">
        <is>
          <t>Establishment coverage monitor (J1): each statute carries a dated coverage rule set (threshold, headcount basis, counting rule e.g. "any day in the preceding 12 months", sticky flag for PF "once covered always covered"); a daily job evaluates each entity / establishment's headcount from M01 (plus M13 contract labour where the law counts it) into establishment_coverage; within the company's alert margin (starter: 2 heads or 90 % of the threshold) it raises statutory.coverage.approaching, on crossing statutory.coverage.crossed with the duties that start (registration, returns, committees, crèche</t>
        </is>
      </c>
      <c r="F553" t="inlineStr">
        <is>
          <t>Not started</t>
        </is>
      </c>
      <c r="H553">
        <f>IF(G553&lt;&gt;"",G553,F553)</f>
        <v/>
      </c>
      <c r="I553" t="n">
        <v>0</v>
      </c>
      <c r="J553" t="n">
        <v>0</v>
      </c>
      <c r="K553" t="n">
        <v>0</v>
      </c>
      <c r="L553" s="5" t="inlineStr"/>
      <c r="M553" s="5" t="n"/>
    </row>
    <row r="554">
      <c r="A554" t="inlineStr">
        <is>
          <t>YX-STAT-28</t>
        </is>
      </c>
      <c r="B554" t="inlineStr">
        <is>
          <t>P07</t>
        </is>
      </c>
      <c r="C554" t="inlineStr">
        <is>
          <t>YX-STAT</t>
        </is>
      </c>
      <c r="D554" t="inlineStr">
        <is>
          <t>4, 5</t>
        </is>
      </c>
      <c r="E554" s="5" t="inlineStr">
        <is>
          <t>PT / LWF on a mid-period state change (J25): each state's IN.PT / IN.LWF rule set carries liability_basis (state of employment on the period's last day / in the deduction month / pro-rata by days, per that state's law; verify per state) and period_type (monthly / half-yearly / annual); for an employee who changed work state within a period the evaluator returns exactly one liable state per deduction slot, so no slot is deducted twice or not at all; annual / half-yearly caps are checked per state per employee across the year.</t>
        </is>
      </c>
      <c r="F554" t="inlineStr">
        <is>
          <t>Not started</t>
        </is>
      </c>
      <c r="H554">
        <f>IF(G554&lt;&gt;"",G554,F554)</f>
        <v/>
      </c>
      <c r="I554" t="n">
        <v>0</v>
      </c>
      <c r="J554" t="n">
        <v>0</v>
      </c>
      <c r="K554" t="n">
        <v>0</v>
      </c>
      <c r="L554" s="5" t="inlineStr"/>
      <c r="M554" s="5" t="n"/>
    </row>
    <row r="555">
      <c r="A555" t="inlineStr">
        <is>
          <t>YX-STAT-29</t>
        </is>
      </c>
      <c r="B555" t="inlineStr">
        <is>
          <t>P07</t>
        </is>
      </c>
      <c r="C555" t="inlineStr">
        <is>
          <t>YX-STAT</t>
        </is>
      </c>
      <c r="D555" t="inlineStr">
        <is>
          <t>4, 5</t>
        </is>
      </c>
      <c r="E555" s="5" t="inlineStr">
        <is>
          <t>ELI scheme (R5): new dated statute IN.ELI (employment-linked incentive; all dates, amounts, wage bands, first-time-employee definition, additional-employee baseline and instalment rules marked verify) holds eligibility conditions for first-time and additional employees, per-employee employer incentive slabs, the ECR fields that evidence it, and the UAN activation (face authentication via UMANG) and Aadhaar-bank seeding prerequisites.</t>
        </is>
      </c>
      <c r="F555" t="inlineStr">
        <is>
          <t>Not started</t>
        </is>
      </c>
      <c r="H555">
        <f>IF(G555&lt;&gt;"",G555,F555)</f>
        <v/>
      </c>
      <c r="I555" t="n">
        <v>0</v>
      </c>
      <c r="J555" t="n">
        <v>0</v>
      </c>
      <c r="K555" t="n">
        <v>0</v>
      </c>
      <c r="L555" s="5" t="inlineStr"/>
      <c r="M555" s="5" t="n"/>
    </row>
    <row r="556">
      <c r="A556" t="inlineStr">
        <is>
          <t>YX-STAT-30</t>
        </is>
      </c>
      <c r="B556" t="inlineStr">
        <is>
          <t>P07</t>
        </is>
      </c>
      <c r="C556" t="inlineStr">
        <is>
          <t>YX-STAT</t>
        </is>
      </c>
      <c r="D556" t="inlineStr">
        <is>
          <t>4, 5</t>
        </is>
      </c>
      <c r="E556" s="5" t="inlineStr">
        <is>
          <t>ESI PwD wage ceiling (R8): the IN.ESI coverage ceiling is conditioned on disability: ₹21,000 general, ₹25,000 for an employee with a disability (verify), read from the employee's consented disability status (field owned by M01); without consent the general ceiling applies.</t>
        </is>
      </c>
      <c r="F556" t="inlineStr">
        <is>
          <t>UI prototype only</t>
        </is>
      </c>
      <c r="H556">
        <f>IF(G556&lt;&gt;"",G556,F556)</f>
        <v/>
      </c>
      <c r="I556" t="n">
        <v>0</v>
      </c>
      <c r="J556" t="n">
        <v>0</v>
      </c>
      <c r="K556" t="n">
        <v>1</v>
      </c>
      <c r="L556" s="5" t="inlineStr"/>
      <c r="M556" s="5" t="n"/>
    </row>
    <row r="557">
      <c r="A557" t="inlineStr">
        <is>
          <t>YX-STAT-31</t>
        </is>
      </c>
      <c r="B557" t="inlineStr">
        <is>
          <t>P07</t>
        </is>
      </c>
      <c r="C557" t="inlineStr">
        <is>
          <t>YX-STAT</t>
        </is>
      </c>
      <c r="D557" t="inlineStr">
        <is>
          <t>4, 5</t>
        </is>
      </c>
      <c r="E557" s="5" t="inlineStr">
        <is>
          <t>Piece-rate and tips wage rules (V1, V6): IN.WAGES-CODE / state minimum-wage rule sets hold the piece-rate guarantee (piece-rate earnings topped up to the time-rate minimum for the days worked) and the OT basis for piece-rated workers (verify per state); IN.WAGES-CODE, IN.PF, IN.ESI and IN.TDS hold the treatment of tips and service-charge distributions (paid through payroll vs directly by customers; wage or not; taxable as salary) as dated parameters marked verify.</t>
        </is>
      </c>
      <c r="F557" t="inlineStr">
        <is>
          <t>Not started</t>
        </is>
      </c>
      <c r="H557">
        <f>IF(G557&lt;&gt;"",G557,F557)</f>
        <v/>
      </c>
      <c r="I557" t="n">
        <v>0</v>
      </c>
      <c r="J557" t="n">
        <v>0</v>
      </c>
      <c r="K557" t="n">
        <v>0</v>
      </c>
      <c r="L557" s="5" t="inlineStr"/>
      <c r="M557" s="5" t="n"/>
    </row>
    <row r="558">
      <c r="A558" t="inlineStr">
        <is>
          <t>YX-STAT-32</t>
        </is>
      </c>
      <c r="B558" t="inlineStr">
        <is>
          <t>P07</t>
        </is>
      </c>
      <c r="C558" t="inlineStr">
        <is>
          <t>YX-STAT</t>
        </is>
      </c>
      <c r="D558" t="inlineStr">
        <is>
          <t>4, 5</t>
        </is>
      </c>
      <c r="E558" s="5" t="inlineStr">
        <is>
          <t>Industrial-relations money rules (J4): IN.IR holds lay-off compensation (50 % of basic + DA for laid-off days, maximum days per year, exclusions; verify) and check-off rules (deduction only with the worker's written authorisation, remittance time limit to the union; verify per state rules); IN.TDS holds the VRS exemption (₹5,00,000 once per lifetime with scheme conditions; section per law version, YX-STAT-24; verify).</t>
        </is>
      </c>
      <c r="F558" t="inlineStr">
        <is>
          <t>Not started</t>
        </is>
      </c>
      <c r="H558">
        <f>IF(G558&lt;&gt;"",G558,F558)</f>
        <v/>
      </c>
      <c r="I558" t="n">
        <v>0</v>
      </c>
      <c r="J558" t="n">
        <v>0</v>
      </c>
      <c r="K558" t="n">
        <v>0</v>
      </c>
      <c r="L558" s="5" t="inlineStr"/>
      <c r="M558" s="5" t="n"/>
    </row>
    <row r="559">
      <c r="A559" t="inlineStr">
        <is>
          <t>YX-AUD-01</t>
        </is>
      </c>
      <c r="B559" t="inlineStr">
        <is>
          <t>P08</t>
        </is>
      </c>
      <c r="C559" t="inlineStr">
        <is>
          <t>YX-AUD</t>
        </is>
      </c>
      <c r="D559" t="inlineStr">
        <is>
          <t>5</t>
        </is>
      </c>
      <c r="E559" s="5" t="inlineStr">
        <is>
          <t>All categories in B2 are audited; audit writes are in the same transaction as the change they describe.</t>
        </is>
      </c>
      <c r="F559" t="inlineStr">
        <is>
          <t>Not started</t>
        </is>
      </c>
      <c r="H559">
        <f>IF(G559&lt;&gt;"",G559,F559)</f>
        <v/>
      </c>
      <c r="I559" t="n">
        <v>0</v>
      </c>
      <c r="J559" t="n">
        <v>0</v>
      </c>
      <c r="K559" t="n">
        <v>0</v>
      </c>
      <c r="L559" s="5" t="inlineStr"/>
      <c r="M559" s="5" t="n"/>
    </row>
    <row r="560">
      <c r="A560" t="inlineStr">
        <is>
          <t>YX-AUD-02</t>
        </is>
      </c>
      <c r="B560" t="inlineStr">
        <is>
          <t>P08</t>
        </is>
      </c>
      <c r="C560" t="inlineStr">
        <is>
          <t>YX-AUD</t>
        </is>
      </c>
      <c r="D560" t="inlineStr">
        <is>
          <t>5</t>
        </is>
      </c>
      <c r="E560" s="5" t="inlineStr">
        <is>
          <t>Audit rows are append-only at the database level (INSERT/SELECT grants only, UPDATE/DELETE blocked); actor details are snapshots.</t>
        </is>
      </c>
      <c r="F560" t="inlineStr">
        <is>
          <t>Not started</t>
        </is>
      </c>
      <c r="H560">
        <f>IF(G560&lt;&gt;"",G560,F560)</f>
        <v/>
      </c>
      <c r="I560" t="n">
        <v>0</v>
      </c>
      <c r="J560" t="n">
        <v>0</v>
      </c>
      <c r="K560" t="n">
        <v>0</v>
      </c>
      <c r="L560" s="5" t="inlineStr"/>
      <c r="M560" s="5" t="n"/>
    </row>
    <row r="561">
      <c r="A561" t="inlineStr">
        <is>
          <t>YX-AUD-03</t>
        </is>
      </c>
      <c r="B561" t="inlineStr">
        <is>
          <t>P08</t>
        </is>
      </c>
      <c r="C561" t="inlineStr">
        <is>
          <t>YX-AUD</t>
        </is>
      </c>
      <c r="D561" t="inlineStr">
        <is>
          <t>5</t>
        </is>
      </c>
      <c r="E561" s="5" t="inlineStr">
        <is>
          <t>A per-tenant hash chain links audit rows; a daily job verifies it and stores an anchor; verification failures alert YukthiX security and the tenant's System Admins.</t>
        </is>
      </c>
      <c r="F561" t="inlineStr">
        <is>
          <t>Not started</t>
        </is>
      </c>
      <c r="H561">
        <f>IF(G561&lt;&gt;"",G561,F561)</f>
        <v/>
      </c>
      <c r="I561" t="n">
        <v>0</v>
      </c>
      <c r="J561" t="n">
        <v>0</v>
      </c>
      <c r="K561" t="n">
        <v>0</v>
      </c>
      <c r="L561" s="5" t="inlineStr"/>
      <c r="M561" s="5" t="n"/>
    </row>
    <row r="562">
      <c r="A562" t="inlineStr">
        <is>
          <t>YX-AUD-04</t>
        </is>
      </c>
      <c r="B562" t="inlineStr">
        <is>
          <t>P08</t>
        </is>
      </c>
      <c r="C562" t="inlineStr">
        <is>
          <t>YX-AUD</t>
        </is>
      </c>
      <c r="D562" t="inlineStr">
        <is>
          <t>5</t>
        </is>
      </c>
      <c r="E562" s="5" t="inlineStr">
        <is>
          <t>Sensitive-view events are deduplicated per viewer × subject × class within 30 minutes.</t>
        </is>
      </c>
      <c r="F562" t="inlineStr">
        <is>
          <t>Not started</t>
        </is>
      </c>
      <c r="H562">
        <f>IF(G562&lt;&gt;"",G562,F562)</f>
        <v/>
      </c>
      <c r="I562" t="n">
        <v>0</v>
      </c>
      <c r="J562" t="n">
        <v>0</v>
      </c>
      <c r="K562" t="n">
        <v>0</v>
      </c>
      <c r="L562" s="5" t="inlineStr"/>
      <c r="M562" s="5" t="n"/>
    </row>
    <row r="563">
      <c r="A563" t="inlineStr">
        <is>
          <t>YX-AUD-05</t>
        </is>
      </c>
      <c r="B563" t="inlineStr">
        <is>
          <t>P08</t>
        </is>
      </c>
      <c r="C563" t="inlineStr">
        <is>
          <t>YX-AUD</t>
        </is>
      </c>
      <c r="D563" t="inlineStr">
        <is>
          <t>5</t>
        </is>
      </c>
      <c r="E563" s="5" t="inlineStr">
        <is>
          <t>Record activity timelines show business events only; system field churn is visible only in the audit log (U12).</t>
        </is>
      </c>
      <c r="F563" t="inlineStr">
        <is>
          <t>Not started</t>
        </is>
      </c>
      <c r="H563">
        <f>IF(G563&lt;&gt;"",G563,F563)</f>
        <v/>
      </c>
      <c r="I563" t="n">
        <v>0</v>
      </c>
      <c r="J563" t="n">
        <v>0</v>
      </c>
      <c r="K563" t="n">
        <v>0</v>
      </c>
      <c r="L563" s="5" t="inlineStr"/>
      <c r="M563" s="5" t="n"/>
    </row>
    <row r="564">
      <c r="A564" t="inlineStr">
        <is>
          <t>YX-AUD-06</t>
        </is>
      </c>
      <c r="B564" t="inlineStr">
        <is>
          <t>P08</t>
        </is>
      </c>
      <c r="C564" t="inlineStr">
        <is>
          <t>YX-AUD</t>
        </is>
      </c>
      <c r="D564" t="inlineStr">
        <is>
          <t>5</t>
        </is>
      </c>
      <c r="E564" s="5" t="inlineStr">
        <is>
          <t>Audit read access follows P02 scopes; restricted-area audit (POSH, disciplinary, grievance, whistleblower, medical) is visible only to that area's members; Confidential/Special values in diffs are masked for readers without that field permission.</t>
        </is>
      </c>
      <c r="F564" t="inlineStr">
        <is>
          <t>Not started</t>
        </is>
      </c>
      <c r="H564">
        <f>IF(G564&lt;&gt;"",G564,F564)</f>
        <v/>
      </c>
      <c r="I564" t="n">
        <v>0</v>
      </c>
      <c r="J564" t="n">
        <v>0</v>
      </c>
      <c r="K564" t="n">
        <v>0</v>
      </c>
      <c r="L564" s="5" t="inlineStr"/>
      <c r="M564" s="5" t="n"/>
    </row>
    <row r="565">
      <c r="A565" t="inlineStr">
        <is>
          <t>YX-AUD-07</t>
        </is>
      </c>
      <c r="B565" t="inlineStr">
        <is>
          <t>P08</t>
        </is>
      </c>
      <c r="C565" t="inlineStr">
        <is>
          <t>YX-AUD</t>
        </is>
      </c>
      <c r="D565" t="inlineStr">
        <is>
          <t>5</t>
        </is>
      </c>
      <c r="E565" s="5" t="inlineStr">
        <is>
          <t>Audit exports are themselves audited.</t>
        </is>
      </c>
      <c r="F565" t="inlineStr">
        <is>
          <t>Not started</t>
        </is>
      </c>
      <c r="H565">
        <f>IF(G565&lt;&gt;"",G565,F565)</f>
        <v/>
      </c>
      <c r="I565" t="n">
        <v>0</v>
      </c>
      <c r="J565" t="n">
        <v>0</v>
      </c>
      <c r="K565" t="n">
        <v>0</v>
      </c>
      <c r="L565" s="5" t="inlineStr"/>
      <c r="M565" s="5" t="n"/>
    </row>
    <row r="566">
      <c r="A566" t="inlineStr">
        <is>
          <t>YX-AUD-08</t>
        </is>
      </c>
      <c r="B566" t="inlineStr">
        <is>
          <t>P08</t>
        </is>
      </c>
      <c r="C566" t="inlineStr">
        <is>
          <t>YX-AUD</t>
        </is>
      </c>
      <c r="D566" t="inlineStr">
        <is>
          <t>5</t>
        </is>
      </c>
      <c r="E566" s="5" t="inlineStr">
        <is>
          <t>Audit is retained 8 years (last 13 months online, older partitions archived); the tenant can extend but never shorten below 8 years; the retention job writes a deletion record when it deletes; a legal hold on a case (M08 Q7) blocks archive/deletion of that case's audit entries.</t>
        </is>
      </c>
      <c r="F566" t="inlineStr">
        <is>
          <t>Not started</t>
        </is>
      </c>
      <c r="H566">
        <f>IF(G566&lt;&gt;"",G566,F566)</f>
        <v/>
      </c>
      <c r="I566" t="n">
        <v>0</v>
      </c>
      <c r="J566" t="n">
        <v>0</v>
      </c>
      <c r="K566" t="n">
        <v>0</v>
      </c>
      <c r="L566" s="5" t="inlineStr"/>
      <c r="M566" s="5" t="n"/>
    </row>
    <row r="567">
      <c r="A567" t="inlineStr">
        <is>
          <t>YX-AUD-09</t>
        </is>
      </c>
      <c r="B567" t="inlineStr">
        <is>
          <t>P08</t>
        </is>
      </c>
      <c r="C567" t="inlineStr">
        <is>
          <t>YX-AUD</t>
        </is>
      </c>
      <c r="D567" t="inlineStr">
        <is>
          <t>5</t>
        </is>
      </c>
      <c r="E567" s="5" t="inlineStr">
        <is>
          <t>Every irreversible action confirmed through the irreversible-action dialog (APX-D §6.4: publish payslips, release bank file, approve run / lock period, reopen, bulk changes and transfers, bulk approve, invalidate attempt and the other listed actions) stores in its audit event (metadata) the typed confirmation text (or, for bulk approve, the confirmed count), the impact-preview totals shown (people / records affected, amounts) and the reason where one was required, so the log shows exactly what the actor saw and confirmed.</t>
        </is>
      </c>
      <c r="F567" t="inlineStr">
        <is>
          <t>Not started</t>
        </is>
      </c>
      <c r="H567">
        <f>IF(G567&lt;&gt;"",G567,F567)</f>
        <v/>
      </c>
      <c r="I567" t="n">
        <v>0</v>
      </c>
      <c r="J567" t="n">
        <v>0</v>
      </c>
      <c r="K567" t="n">
        <v>0</v>
      </c>
      <c r="L567" s="5" t="inlineStr"/>
      <c r="M567" s="5" t="n"/>
    </row>
    <row r="568">
      <c r="A568" t="inlineStr">
        <is>
          <t>YX-LOCK-01</t>
        </is>
      </c>
      <c r="B568" t="inlineStr">
        <is>
          <t>P08</t>
        </is>
      </c>
      <c r="C568" t="inlineStr">
        <is>
          <t>YX-LOCK</t>
        </is>
      </c>
      <c r="D568" t="inlineStr">
        <is>
          <t>5</t>
        </is>
      </c>
      <c r="E568" s="5" t="inlineStr">
        <is>
          <t>Every write to attendance, leave (pay-affecting), payroll inputs and paid expenses checks the lock service in the same transaction.</t>
        </is>
      </c>
      <c r="F568" t="inlineStr">
        <is>
          <t>Not started</t>
        </is>
      </c>
      <c r="H568">
        <f>IF(G568&lt;&gt;"",G568,F568)</f>
        <v/>
      </c>
      <c r="I568" t="n">
        <v>0</v>
      </c>
      <c r="J568" t="n">
        <v>0</v>
      </c>
      <c r="K568" t="n">
        <v>0</v>
      </c>
      <c r="L568" s="5" t="inlineStr"/>
      <c r="M568" s="5" t="n"/>
    </row>
    <row r="569">
      <c r="A569" t="inlineStr">
        <is>
          <t>YX-LOCK-02</t>
        </is>
      </c>
      <c r="B569" t="inlineStr">
        <is>
          <t>P08</t>
        </is>
      </c>
      <c r="C569" t="inlineStr">
        <is>
          <t>YX-LOCK</t>
        </is>
      </c>
      <c r="D569" t="inlineStr">
        <is>
          <t>5</t>
        </is>
      </c>
      <c r="E569" s="5" t="inlineStr">
        <is>
          <t>Frozen and locked dates accept employee changes only as late requests with an extra HR approval step, within the tenant's maximum lateness (e.g. 60 days); after that, only HR corrections. The effect lands in the next payroll (arrears / LOP reversal). Device batches and night-shift punches follow YX-LOCK-09.</t>
        </is>
      </c>
      <c r="F569" t="inlineStr">
        <is>
          <t>Not started</t>
        </is>
      </c>
      <c r="H569">
        <f>IF(G569&lt;&gt;"",G569,F569)</f>
        <v/>
      </c>
      <c r="I569" t="n">
        <v>0</v>
      </c>
      <c r="J569" t="n">
        <v>0</v>
      </c>
      <c r="K569" t="n">
        <v>0</v>
      </c>
      <c r="L569" s="5" t="inlineStr"/>
      <c r="M569" s="5" t="n"/>
    </row>
    <row r="570">
      <c r="A570" t="inlineStr">
        <is>
          <t>YX-LOCK-03</t>
        </is>
      </c>
      <c r="B570" t="inlineStr">
        <is>
          <t>P08</t>
        </is>
      </c>
      <c r="C570" t="inlineStr">
        <is>
          <t>YX-LOCK</t>
        </is>
      </c>
      <c r="D570" t="inlineStr">
        <is>
          <t>5</t>
        </is>
      </c>
      <c r="E570" s="5" t="inlineStr">
        <is>
          <t>Locked and filed periods are never modified; late requests and corrections on them become P06 corrections with arrears/recoveries in the next payroll.</t>
        </is>
      </c>
      <c r="F570" t="inlineStr">
        <is>
          <t>Not started</t>
        </is>
      </c>
      <c r="H570">
        <f>IF(G570&lt;&gt;"",G570,F570)</f>
        <v/>
      </c>
      <c r="I570" t="n">
        <v>0</v>
      </c>
      <c r="J570" t="n">
        <v>0</v>
      </c>
      <c r="K570" t="n">
        <v>0</v>
      </c>
      <c r="L570" s="5" t="inlineStr"/>
      <c r="M570" s="5" t="n"/>
    </row>
    <row r="571">
      <c r="A571" t="inlineStr">
        <is>
          <t>YX-LOCK-04</t>
        </is>
      </c>
      <c r="B571" t="inlineStr">
        <is>
          <t>P08</t>
        </is>
      </c>
      <c r="C571" t="inlineStr">
        <is>
          <t>YX-LOCK</t>
        </is>
      </c>
      <c r="D571" t="inlineStr">
        <is>
          <t>5</t>
        </is>
      </c>
      <c r="E571" s="5" t="inlineStr">
        <is>
          <t>Payroll locks on approval (maker ≠ checker per P02); attendance and pay-affecting leave for the period lock with it.</t>
        </is>
      </c>
      <c r="F571" t="inlineStr">
        <is>
          <t>Not started</t>
        </is>
      </c>
      <c r="H571">
        <f>IF(G571&lt;&gt;"",G571,F571)</f>
        <v/>
      </c>
      <c r="I571" t="n">
        <v>0</v>
      </c>
      <c r="J571" t="n">
        <v>0</v>
      </c>
      <c r="K571" t="n">
        <v>0</v>
      </c>
      <c r="L571" s="5" t="inlineStr"/>
      <c r="M571" s="5" t="n"/>
    </row>
    <row r="572">
      <c r="A572" t="inlineStr">
        <is>
          <t>YX-LOCK-05</t>
        </is>
      </c>
      <c r="B572" t="inlineStr">
        <is>
          <t>P08</t>
        </is>
      </c>
      <c r="C572" t="inlineStr">
        <is>
          <t>YX-LOCK</t>
        </is>
      </c>
      <c r="D572" t="inlineStr">
        <is>
          <t>5</t>
        </is>
      </c>
      <c r="E572" s="5" t="inlineStr">
        <is>
          <t>Reopen is a high-risk request (reason + Payroll Admin + System Admin/owner approval) and is refused once the bank file is released, payslips are published or a return is filed.</t>
        </is>
      </c>
      <c r="F572" t="inlineStr">
        <is>
          <t>Tested, code not linked</t>
        </is>
      </c>
      <c r="H572">
        <f>IF(G572&lt;&gt;"",G572,F572)</f>
        <v/>
      </c>
      <c r="I572" t="n">
        <v>0</v>
      </c>
      <c r="J572" t="n">
        <v>1</v>
      </c>
      <c r="K572" t="n">
        <v>1</v>
      </c>
      <c r="L572" s="5" t="inlineStr">
        <is>
          <t>exam-app-org:packages/yx-ui/src/screens/time/time.test.tsx</t>
        </is>
      </c>
      <c r="M572" s="5" t="n"/>
    </row>
    <row r="573">
      <c r="A573" t="inlineStr">
        <is>
          <t>YX-LOCK-06</t>
        </is>
      </c>
      <c r="B573" t="inlineStr">
        <is>
          <t>P08</t>
        </is>
      </c>
      <c r="C573" t="inlineStr">
        <is>
          <t>YX-LOCK</t>
        </is>
      </c>
      <c r="D573" t="inlineStr">
        <is>
          <t>5</t>
        </is>
      </c>
      <c r="E573" s="5" t="inlineStr">
        <is>
          <t>A reopened payroll creates new payslip versions; previous versions are kept and marked revised.</t>
        </is>
      </c>
      <c r="F573" t="inlineStr">
        <is>
          <t>Not started</t>
        </is>
      </c>
      <c r="H573">
        <f>IF(G573&lt;&gt;"",G573,F573)</f>
        <v/>
      </c>
      <c r="I573" t="n">
        <v>0</v>
      </c>
      <c r="J573" t="n">
        <v>0</v>
      </c>
      <c r="K573" t="n">
        <v>0</v>
      </c>
      <c r="L573" s="5" t="inlineStr"/>
      <c r="M573" s="5" t="n"/>
    </row>
    <row r="574">
      <c r="A574" t="inlineStr">
        <is>
          <t>YX-LOCK-07</t>
        </is>
      </c>
      <c r="B574" t="inlineStr">
        <is>
          <t>P08</t>
        </is>
      </c>
      <c r="C574" t="inlineStr">
        <is>
          <t>YX-LOCK</t>
        </is>
      </c>
      <c r="D574" t="inlineStr">
        <is>
          <t>5</t>
        </is>
      </c>
      <c r="E574" s="5" t="inlineStr">
        <is>
          <t>Attendance exceptions are raised only for employees in Punch mode (working day without complete punches or attendance and not covered by approved leave / WFH / on-duty / holiday / weekly off) and, in Timesheet mode, for a missing approved timesheet; Assumed-present employees raise none (HR enters LOP manually). Expected status comes from employment status: no exceptions, nudges or late penalties for days an employee is suspended, on long leave (maternity / sabbatical / LWP), in an absconding process or pre-boarding. Exceptions are detected daily and notified: employee next day, manager weekly,</t>
        </is>
      </c>
      <c r="F574" t="inlineStr">
        <is>
          <t>Not started</t>
        </is>
      </c>
      <c r="H574">
        <f>IF(G574&lt;&gt;"",G574,F574)</f>
        <v/>
      </c>
      <c r="I574" t="n">
        <v>0</v>
      </c>
      <c r="J574" t="n">
        <v>0</v>
      </c>
      <c r="K574" t="n">
        <v>0</v>
      </c>
      <c r="L574" s="5" t="inlineStr"/>
      <c r="M574" s="5" t="n"/>
    </row>
    <row r="575">
      <c r="A575" t="inlineStr">
        <is>
          <t>YX-LOCK-08</t>
        </is>
      </c>
      <c r="B575" t="inlineStr">
        <is>
          <t>P08</t>
        </is>
      </c>
      <c r="C575" t="inlineStr">
        <is>
          <t>YX-LOCK</t>
        </is>
      </c>
      <c r="D575" t="inlineStr">
        <is>
          <t>5</t>
        </is>
      </c>
      <c r="E575" s="5" t="inlineStr">
        <is>
          <t>Where the group's attendance.missing_punch_effect is block (default), payroll cannot be approved while the period has open attendance exceptions; where it is warn, they are listed as warnings in the pre-flight and payroll may be approved. Blocking exceptions must be closed by the employee's approved request or by an HR resolution with reason (absent/LOP, leave deducted, present with approval), which is audited.</t>
        </is>
      </c>
      <c r="F575" t="inlineStr">
        <is>
          <t>Not started</t>
        </is>
      </c>
      <c r="H575">
        <f>IF(G575&lt;&gt;"",G575,F575)</f>
        <v/>
      </c>
      <c r="I575" t="n">
        <v>0</v>
      </c>
      <c r="J575" t="n">
        <v>0</v>
      </c>
      <c r="K575" t="n">
        <v>0</v>
      </c>
      <c r="L575" s="5" t="inlineStr"/>
      <c r="M575" s="5" t="n"/>
    </row>
    <row r="576">
      <c r="A576" t="inlineStr">
        <is>
          <t>YX-LOCK-09</t>
        </is>
      </c>
      <c r="B576" t="inlineStr">
        <is>
          <t>P08</t>
        </is>
      </c>
      <c r="C576" t="inlineStr">
        <is>
          <t>YX-LOCK</t>
        </is>
      </c>
      <c r="D576" t="inlineStr">
        <is>
          <t>5</t>
        </is>
      </c>
      <c r="E576" s="5" t="inlineStr">
        <is>
          <t>Exceptions to YX-LOCK-02: (a) punches for frozen/locked dates arriving in a late biometric batch are applied by an HR bulk device backfill correction (one audited action per batch, with reason; effects in the next payroll per YX-LOCK-03), not by per-employee late requests; (b) a punch for a shift that started before the freeze / lock point attaches to that shift without a late request when it falls within the shift's normal punch window.</t>
        </is>
      </c>
      <c r="F576" t="inlineStr">
        <is>
          <t>UI prototype only</t>
        </is>
      </c>
      <c r="H576">
        <f>IF(G576&lt;&gt;"",G576,F576)</f>
        <v/>
      </c>
      <c r="I576" t="n">
        <v>0</v>
      </c>
      <c r="J576" t="n">
        <v>0</v>
      </c>
      <c r="K576" t="n">
        <v>1</v>
      </c>
      <c r="L576" s="5" t="inlineStr"/>
      <c r="M576" s="5" t="n"/>
    </row>
    <row r="577">
      <c r="A577" t="inlineStr">
        <is>
          <t>YX-MET-01</t>
        </is>
      </c>
      <c r="B577" t="inlineStr">
        <is>
          <t>P09</t>
        </is>
      </c>
      <c r="C577" t="inlineStr">
        <is>
          <t>YX-MET</t>
        </is>
      </c>
      <c r="D577" t="inlineStr">
        <is>
          <t>6+</t>
        </is>
      </c>
      <c r="E577" s="5" t="inlineStr">
        <is>
          <t>Every number in dashboards, reports, exports, mobile cards (deferred to wave 6, §4.8) and AI answers comes from a registered metric or a record query through the metric layer; operational screen counts use the same definitions.</t>
        </is>
      </c>
      <c r="F577" t="inlineStr">
        <is>
          <t>Not started</t>
        </is>
      </c>
      <c r="H577">
        <f>IF(G577&lt;&gt;"",G577,F577)</f>
        <v/>
      </c>
      <c r="I577" t="n">
        <v>0</v>
      </c>
      <c r="J577" t="n">
        <v>0</v>
      </c>
      <c r="K577" t="n">
        <v>0</v>
      </c>
      <c r="L577" s="5" t="inlineStr"/>
      <c r="M577" s="5" t="n"/>
    </row>
    <row r="578">
      <c r="A578" t="inlineStr">
        <is>
          <t>YX-MET-02</t>
        </is>
      </c>
      <c r="B578" t="inlineStr">
        <is>
          <t>P09</t>
        </is>
      </c>
      <c r="C578" t="inlineStr">
        <is>
          <t>YX-MET</t>
        </is>
      </c>
      <c r="D578" t="inlineStr">
        <is>
          <t>6+</t>
        </is>
      </c>
      <c r="E578" s="5" t="inlineStr">
        <is>
          <t>Metrics are versioned with golden tests; a definition change bumps the version and appears in the catalogue changelog.</t>
        </is>
      </c>
      <c r="F578" t="inlineStr">
        <is>
          <t>Not started</t>
        </is>
      </c>
      <c r="H578">
        <f>IF(G578&lt;&gt;"",G578,F578)</f>
        <v/>
      </c>
      <c r="I578" t="n">
        <v>0</v>
      </c>
      <c r="J578" t="n">
        <v>0</v>
      </c>
      <c r="K578" t="n">
        <v>0</v>
      </c>
      <c r="L578" s="5" t="inlineStr"/>
      <c r="M578" s="5" t="n"/>
    </row>
    <row r="579">
      <c r="A579" t="inlineStr">
        <is>
          <t>YX-MET-03</t>
        </is>
      </c>
      <c r="B579" t="inlineStr">
        <is>
          <t>P09</t>
        </is>
      </c>
      <c r="C579" t="inlineStr">
        <is>
          <t>YX-MET</t>
        </is>
      </c>
      <c r="D579" t="inlineStr">
        <is>
          <t>6+</t>
        </is>
      </c>
      <c r="E579" s="5" t="inlineStr">
        <is>
          <t>All analytics queries apply tenant RLS, the viewer's P02 scope and field-class permissions.</t>
        </is>
      </c>
      <c r="F579" t="inlineStr">
        <is>
          <t>Not started</t>
        </is>
      </c>
      <c r="H579">
        <f>IF(G579&lt;&gt;"",G579,F579)</f>
        <v/>
      </c>
      <c r="I579" t="n">
        <v>0</v>
      </c>
      <c r="J579" t="n">
        <v>0</v>
      </c>
      <c r="K579" t="n">
        <v>0</v>
      </c>
      <c r="L579" s="5" t="inlineStr"/>
      <c r="M579" s="5" t="n"/>
    </row>
    <row r="580">
      <c r="A580" t="inlineStr">
        <is>
          <t>YX-MET-04</t>
        </is>
      </c>
      <c r="B580" t="inlineStr">
        <is>
          <t>P09</t>
        </is>
      </c>
      <c r="C580" t="inlineStr">
        <is>
          <t>YX-MET</t>
        </is>
      </c>
      <c r="D580" t="inlineStr">
        <is>
          <t>6+</t>
        </is>
      </c>
      <c r="E580" s="5" t="inlineStr">
        <is>
          <t>Breakdowns of Confidential/Special measures with groups below the tenant threshold (default 5, range 3–10) show "suppressed" (including in exports and subscriptions) for viewers without individual-level access to that data in that scope; viewers with individual access see all groups.</t>
        </is>
      </c>
      <c r="F580" t="inlineStr">
        <is>
          <t>UI prototype only</t>
        </is>
      </c>
      <c r="H580">
        <f>IF(G580&lt;&gt;"",G580,F580)</f>
        <v/>
      </c>
      <c r="I580" t="n">
        <v>0</v>
      </c>
      <c r="J580" t="n">
        <v>0</v>
      </c>
      <c r="K580" t="n">
        <v>3</v>
      </c>
      <c r="L580" s="5" t="inlineStr"/>
      <c r="M580" s="5" t="n"/>
    </row>
    <row r="581">
      <c r="A581" t="inlineStr">
        <is>
          <t>YX-MET-05</t>
        </is>
      </c>
      <c r="B581" t="inlineStr">
        <is>
          <t>P09</t>
        </is>
      </c>
      <c r="C581" t="inlineStr">
        <is>
          <t>YX-MET</t>
        </is>
      </c>
      <c r="D581" t="inlineStr">
        <is>
          <t>6+</t>
        </is>
      </c>
      <c r="E581" s="5" t="inlineStr">
        <is>
          <t>Every widget and report shows its scope and data freshness; there is no hidden default entity (U96).</t>
        </is>
      </c>
      <c r="F581" t="inlineStr">
        <is>
          <t>UI prototype only</t>
        </is>
      </c>
      <c r="H581">
        <f>IF(G581&lt;&gt;"",G581,F581)</f>
        <v/>
      </c>
      <c r="I581" t="n">
        <v>0</v>
      </c>
      <c r="J581" t="n">
        <v>0</v>
      </c>
      <c r="K581" t="n">
        <v>1</v>
      </c>
      <c r="L581" s="5" t="inlineStr"/>
      <c r="M581" s="5" t="n"/>
    </row>
    <row r="582">
      <c r="A582" t="inlineStr">
        <is>
          <t>YX-MET-06</t>
        </is>
      </c>
      <c r="B582" t="inlineStr">
        <is>
          <t>P09</t>
        </is>
      </c>
      <c r="C582" t="inlineStr">
        <is>
          <t>YX-MET</t>
        </is>
      </c>
      <c r="D582" t="inlineStr">
        <is>
          <t>6+</t>
        </is>
      </c>
      <c r="E582" s="5" t="inlineStr">
        <is>
          <t>Snapshots rebuild incrementally from the effective date of any back-dated change (P06).</t>
        </is>
      </c>
      <c r="F582" t="inlineStr">
        <is>
          <t>Not started</t>
        </is>
      </c>
      <c r="H582">
        <f>IF(G582&lt;&gt;"",G582,F582)</f>
        <v/>
      </c>
      <c r="I582" t="n">
        <v>0</v>
      </c>
      <c r="J582" t="n">
        <v>0</v>
      </c>
      <c r="K582" t="n">
        <v>0</v>
      </c>
      <c r="L582" s="5" t="inlineStr"/>
      <c r="M582" s="5" t="n"/>
    </row>
    <row r="583">
      <c r="A583" t="inlineStr">
        <is>
          <t>YX-MET-07</t>
        </is>
      </c>
      <c r="B583" t="inlineStr">
        <is>
          <t>P09</t>
        </is>
      </c>
      <c r="C583" t="inlineStr">
        <is>
          <t>YX-MET</t>
        </is>
      </c>
      <c r="D583" t="inlineStr">
        <is>
          <t>6+</t>
        </is>
      </c>
      <c r="E583" s="5" t="inlineStr">
        <is>
          <t>Shared dashboards/reports and subscriptions render with each viewer's or recipient's own permissions, never the author's.</t>
        </is>
      </c>
      <c r="F583" t="inlineStr">
        <is>
          <t>Not started</t>
        </is>
      </c>
      <c r="H583">
        <f>IF(G583&lt;&gt;"",G583,F583)</f>
        <v/>
      </c>
      <c r="I583" t="n">
        <v>0</v>
      </c>
      <c r="J583" t="n">
        <v>0</v>
      </c>
      <c r="K583" t="n">
        <v>0</v>
      </c>
      <c r="L583" s="5" t="inlineStr"/>
      <c r="M583" s="5" t="n"/>
    </row>
    <row r="584">
      <c r="A584" t="inlineStr">
        <is>
          <t>YX-MET-08</t>
        </is>
      </c>
      <c r="B584" t="inlineStr">
        <is>
          <t>P09</t>
        </is>
      </c>
      <c r="C584" t="inlineStr">
        <is>
          <t>YX-MET</t>
        </is>
      </c>
      <c r="D584" t="inlineStr">
        <is>
          <t>6+</t>
        </is>
      </c>
      <c r="E584" s="5" t="inlineStr">
        <is>
          <t>Scheduled deliveries attach files only when the content has no Confidential/Special data; otherwise email and WhatsApp carry a secure login link only (P04 Q6).</t>
        </is>
      </c>
      <c r="F584" t="inlineStr">
        <is>
          <t>Tested, code not linked</t>
        </is>
      </c>
      <c r="H584">
        <f>IF(G584&lt;&gt;"",G584,F584)</f>
        <v/>
      </c>
      <c r="I584" t="n">
        <v>0</v>
      </c>
      <c r="J584" t="n">
        <v>1</v>
      </c>
      <c r="K584" t="n">
        <v>1</v>
      </c>
      <c r="L584" s="5" t="inlineStr">
        <is>
          <t>exam-app-org:packages/yx-ui/src/screens/proctoring/proctoring.test.tsx</t>
        </is>
      </c>
      <c r="M584" s="5" t="n"/>
    </row>
    <row r="585">
      <c r="A585" t="inlineStr">
        <is>
          <t>YX-MET-09</t>
        </is>
      </c>
      <c r="B585" t="inlineStr">
        <is>
          <t>P09</t>
        </is>
      </c>
      <c r="C585" t="inlineStr">
        <is>
          <t>YX-MET</t>
        </is>
      </c>
      <c r="D585" t="inlineStr">
        <is>
          <t>6+</t>
        </is>
      </c>
      <c r="E585" s="5" t="inlineStr">
        <is>
          <t>Exports and scheduled deliveries are audited (P08).</t>
        </is>
      </c>
      <c r="F585" t="inlineStr">
        <is>
          <t>Not started</t>
        </is>
      </c>
      <c r="H585">
        <f>IF(G585&lt;&gt;"",G585,F585)</f>
        <v/>
      </c>
      <c r="I585" t="n">
        <v>0</v>
      </c>
      <c r="J585" t="n">
        <v>0</v>
      </c>
      <c r="K585" t="n">
        <v>0</v>
      </c>
      <c r="L585" s="5" t="inlineStr"/>
      <c r="M585" s="5" t="n"/>
    </row>
    <row r="586">
      <c r="A586" t="inlineStr">
        <is>
          <t>YX-MET-10</t>
        </is>
      </c>
      <c r="B586" t="inlineStr">
        <is>
          <t>P09</t>
        </is>
      </c>
      <c r="C586" t="inlineStr">
        <is>
          <t>YX-MET</t>
        </is>
      </c>
      <c r="D586" t="inlineStr">
        <is>
          <t>6+</t>
        </is>
      </c>
      <c r="E586" s="5" t="inlineStr">
        <is>
          <t>AI analytics answers only via governed metrics through the planner, showing the definitions and filters used; no free-form SQL.</t>
        </is>
      </c>
      <c r="F586" t="inlineStr">
        <is>
          <t>Not started</t>
        </is>
      </c>
      <c r="H586">
        <f>IF(G586&lt;&gt;"",G586,F586)</f>
        <v/>
      </c>
      <c r="I586" t="n">
        <v>0</v>
      </c>
      <c r="J586" t="n">
        <v>0</v>
      </c>
      <c r="K586" t="n">
        <v>0</v>
      </c>
      <c r="L586" s="5" t="inlineStr"/>
      <c r="M586" s="5" t="n"/>
    </row>
    <row r="587">
      <c r="A587" t="inlineStr">
        <is>
          <t>YX-MET-11</t>
        </is>
      </c>
      <c r="B587" t="inlineStr">
        <is>
          <t>P09</t>
        </is>
      </c>
      <c r="C587" t="inlineStr">
        <is>
          <t>YX-MET</t>
        </is>
      </c>
      <c r="D587" t="inlineStr">
        <is>
          <t>6+</t>
        </is>
      </c>
      <c r="E587" s="5" t="inlineStr">
        <is>
          <t>Tenant calculated metrics are expressions over governed metrics only; they inherit the most restrictive sensitivity of their inputs.</t>
        </is>
      </c>
      <c r="F587" t="inlineStr">
        <is>
          <t>Tested, code not linked</t>
        </is>
      </c>
      <c r="H587">
        <f>IF(G587&lt;&gt;"",G587,F587)</f>
        <v/>
      </c>
      <c r="I587" t="n">
        <v>0</v>
      </c>
      <c r="J587" t="n">
        <v>1</v>
      </c>
      <c r="K587" t="n">
        <v>1</v>
      </c>
      <c r="L587" s="5" t="inlineStr">
        <is>
          <t>exam-app-org:packages/yx-ui/src/screens/proctoring/proctoring.test.tsx</t>
        </is>
      </c>
      <c r="M587" s="5" t="n"/>
    </row>
    <row r="588">
      <c r="A588" t="inlineStr">
        <is>
          <t>YX-MET-12</t>
        </is>
      </c>
      <c r="B588" t="inlineStr">
        <is>
          <t>P09</t>
        </is>
      </c>
      <c r="C588" t="inlineStr">
        <is>
          <t>YX-MET</t>
        </is>
      </c>
      <c r="D588" t="inlineStr">
        <is>
          <t>6+</t>
        </is>
      </c>
      <c r="E588" s="5" t="inlineStr">
        <is>
          <t>Anonymous survey results (M09) apply the minimum group size to every viewer, including HR/Payroll Admins (no one has individual-level access to anonymous responses); teams below the minimum roll up into their parent group.</t>
        </is>
      </c>
      <c r="F588" t="inlineStr">
        <is>
          <t>Not started</t>
        </is>
      </c>
      <c r="H588">
        <f>IF(G588&lt;&gt;"",G588,F588)</f>
        <v/>
      </c>
      <c r="I588" t="n">
        <v>0</v>
      </c>
      <c r="J588" t="n">
        <v>0</v>
      </c>
      <c r="K588" t="n">
        <v>0</v>
      </c>
      <c r="L588" s="5" t="inlineStr"/>
      <c r="M588" s="5" t="n"/>
    </row>
    <row r="589">
      <c r="A589" t="inlineStr">
        <is>
          <t>YX-MET-13</t>
        </is>
      </c>
      <c r="B589" t="inlineStr">
        <is>
          <t>P09</t>
        </is>
      </c>
      <c r="C589" t="inlineStr">
        <is>
          <t>YX-MET</t>
        </is>
      </c>
      <c r="D589" t="inlineStr">
        <is>
          <t>6+</t>
        </is>
      </c>
      <c r="E589" s="5" t="inlineStr">
        <is>
          <t>Every standard report in the library (APX-C) is built on registered metrics or governed record queries through the metric layer; a standard report ships only with its catalogue row (owner, wave, audience, sensitivity, format, as-on / period), and each measure it shows is registered in the metric dictionary (11-analytics §5 or APX-C §2–§4).</t>
        </is>
      </c>
      <c r="F589" t="inlineStr">
        <is>
          <t>Not started</t>
        </is>
      </c>
      <c r="H589">
        <f>IF(G589&lt;&gt;"",G589,F589)</f>
        <v/>
      </c>
      <c r="I589" t="n">
        <v>0</v>
      </c>
      <c r="J589" t="n">
        <v>0</v>
      </c>
      <c r="K589" t="n">
        <v>0</v>
      </c>
      <c r="L589" s="5" t="inlineStr"/>
      <c r="M589" s="5" t="n"/>
    </row>
    <row r="590">
      <c r="A590" t="inlineStr">
        <is>
          <t>YX-MET-14</t>
        </is>
      </c>
      <c r="B590" t="inlineStr">
        <is>
          <t>P09</t>
        </is>
      </c>
      <c r="C590" t="inlineStr">
        <is>
          <t>YX-MET</t>
        </is>
      </c>
      <c r="D590" t="inlineStr">
        <is>
          <t>6+</t>
        </is>
      </c>
      <c r="E590" s="5" t="inlineStr">
        <is>
          <t>DEI (C3): diversity attributes come only from voluntary self-identification with "prefer not to say"; candidate self-ID is stored apart from the application and never shown to recruiters, interviewers or hiring managers; every DEI breakdown applies the small-group threshold to every viewer (HR included) for disability and for gender / age cells, rolling small cells into a combined group; the pay-gap metrics are Confidential.</t>
        </is>
      </c>
      <c r="F590" t="inlineStr">
        <is>
          <t>Not started</t>
        </is>
      </c>
      <c r="H590">
        <f>IF(G590&lt;&gt;"",G590,F590)</f>
        <v/>
      </c>
      <c r="I590" t="n">
        <v>0</v>
      </c>
      <c r="J590" t="n">
        <v>0</v>
      </c>
      <c r="K590" t="n">
        <v>0</v>
      </c>
      <c r="L590" s="5" t="inlineStr"/>
      <c r="M590" s="5" t="n"/>
    </row>
    <row r="591">
      <c r="A591" t="inlineStr">
        <is>
          <t>YX-MET-15</t>
        </is>
      </c>
      <c r="B591" t="inlineStr">
        <is>
          <t>P09</t>
        </is>
      </c>
      <c r="C591" t="inlineStr">
        <is>
          <t>YX-MET</t>
        </is>
      </c>
      <c r="D591" t="inlineStr">
        <is>
          <t>6+</t>
        </is>
      </c>
      <c r="E591" s="5" t="inlineStr">
        <is>
          <t>Tenant health (C8): the platform.tenant_health.* feed to YukthiX carries only counts, rates, scores and platform object IDs computed from usage metadata; it never carries employee or candidate names, HR record content or Confidential / Special values, and the tenant's admins can see the same scores.</t>
        </is>
      </c>
      <c r="F591" t="inlineStr">
        <is>
          <t>Not started</t>
        </is>
      </c>
      <c r="H591">
        <f>IF(G591&lt;&gt;"",G591,F591)</f>
        <v/>
      </c>
      <c r="I591" t="n">
        <v>0</v>
      </c>
      <c r="J591" t="n">
        <v>0</v>
      </c>
      <c r="K591" t="n">
        <v>0</v>
      </c>
      <c r="L591" s="5" t="inlineStr"/>
      <c r="M591" s="5" t="n"/>
    </row>
    <row r="592">
      <c r="A592" t="inlineStr">
        <is>
          <t>YX-MET-16</t>
        </is>
      </c>
      <c r="B592" t="inlineStr">
        <is>
          <t>P09</t>
        </is>
      </c>
      <c r="C592" t="inlineStr">
        <is>
          <t>YX-MET</t>
        </is>
      </c>
      <c r="D592" t="inlineStr">
        <is>
          <t>6+</t>
        </is>
      </c>
      <c r="E592" s="5" t="inlineStr">
        <is>
          <t>Attrition risk (B16): individual attrition-risk scores are Confidential, visible only to holders of analytics.attrition_risk.view, always shown with their contributing factors and model version, and never delivered in bulk exports or subscriptions to recipients without that grant; managers see band counts for their scope with suppression.</t>
        </is>
      </c>
      <c r="F592" t="inlineStr">
        <is>
          <t>Not started</t>
        </is>
      </c>
      <c r="H592">
        <f>IF(G592&lt;&gt;"",G592,F592)</f>
        <v/>
      </c>
      <c r="I592" t="n">
        <v>0</v>
      </c>
      <c r="J592" t="n">
        <v>0</v>
      </c>
      <c r="K592" t="n">
        <v>0</v>
      </c>
      <c r="L592" s="5" t="inlineStr"/>
      <c r="M592" s="5" t="n"/>
    </row>
    <row r="593">
      <c r="A593" t="inlineStr">
        <is>
          <t>YX-MET-17</t>
        </is>
      </c>
      <c r="B593" t="inlineStr">
        <is>
          <t>P09</t>
        </is>
      </c>
      <c r="C593" t="inlineStr">
        <is>
          <t>YX-MET</t>
        </is>
      </c>
      <c r="D593" t="inlineStr">
        <is>
          <t>6+</t>
        </is>
      </c>
      <c r="E593" s="5" t="inlineStr">
        <is>
          <t>AI quality (B13): every AI feature reports ai.eval.score, ai.drift.index, ai.bias.impact_ratio and ai.human_override_rate per model / prompt version through the metric layer; platform-level AI metrics are built from eval runs and anonymised counters only (no tenant content); a version below its registered thresholds is not promoted.</t>
        </is>
      </c>
      <c r="F593" t="inlineStr">
        <is>
          <t>Not started</t>
        </is>
      </c>
      <c r="H593">
        <f>IF(G593&lt;&gt;"",G593,F593)</f>
        <v/>
      </c>
      <c r="I593" t="n">
        <v>0</v>
      </c>
      <c r="J593" t="n">
        <v>0</v>
      </c>
      <c r="K593" t="n">
        <v>0</v>
      </c>
      <c r="L593" s="5" t="inlineStr"/>
      <c r="M593" s="5" t="n"/>
    </row>
    <row r="594">
      <c r="A594" t="inlineStr">
        <is>
          <t>YX-MET-18</t>
        </is>
      </c>
      <c r="B594" t="inlineStr">
        <is>
          <t>P09</t>
        </is>
      </c>
      <c r="C594" t="inlineStr">
        <is>
          <t>YX-MET</t>
        </is>
      </c>
      <c r="D594" t="inlineStr">
        <is>
          <t>6+</t>
        </is>
      </c>
      <c r="E594" s="5" t="inlineStr">
        <is>
          <t>Assessment fairness &amp; validity metrics (A13): assess.impact_ratio, assess.dif_grade, assess.predictive_validity and assess.fairness_findings.open, fed from T05 fairness_analyses / validity_studies, with the minimum-group suppression rule and an owner dashboard for test authors and HR analytics.</t>
        </is>
      </c>
      <c r="F594" t="inlineStr">
        <is>
          <t>Not started</t>
        </is>
      </c>
      <c r="H594">
        <f>IF(G594&lt;&gt;"",G594,F594)</f>
        <v/>
      </c>
      <c r="I594" t="n">
        <v>0</v>
      </c>
      <c r="J594" t="n">
        <v>0</v>
      </c>
      <c r="K594" t="n">
        <v>0</v>
      </c>
      <c r="L594" s="5" t="inlineStr"/>
      <c r="M594" s="5" t="n"/>
    </row>
    <row r="595">
      <c r="A595" t="inlineStr">
        <is>
          <t>YX-MET-19</t>
        </is>
      </c>
      <c r="B595" t="inlineStr">
        <is>
          <t>P09</t>
        </is>
      </c>
      <c r="C595" t="inlineStr">
        <is>
          <t>YX-MET</t>
        </is>
      </c>
      <c r="D595" t="inlineStr">
        <is>
          <t>6+</t>
        </is>
      </c>
      <c r="E595" s="5" t="inlineStr">
        <is>
          <t>Product analytics events (S1): product-analytics events are registered in code with their allowed properties and carry only event key, minute timestamp, product, module, screen ID, tenant pseudonym, pseudonymous user id, role template, surface, locale and size band; they never carry names, contact details, employee or candidate ids, record content, free text, amounts, search terms or any HR data. A CI check fails the build on an unregistered event or property; events are sent server-side, never through third-party scripts.</t>
        </is>
      </c>
      <c r="F595" t="inlineStr">
        <is>
          <t>Not started</t>
        </is>
      </c>
      <c r="H595">
        <f>IF(G595&lt;&gt;"",G595,F595)</f>
        <v/>
      </c>
      <c r="I595" t="n">
        <v>0</v>
      </c>
      <c r="J595" t="n">
        <v>0</v>
      </c>
      <c r="K595" t="n">
        <v>0</v>
      </c>
      <c r="L595" s="5" t="inlineStr"/>
      <c r="M595" s="5" t="n"/>
    </row>
    <row r="596">
      <c r="A596" t="inlineStr">
        <is>
          <t>YX-MET-20</t>
        </is>
      </c>
      <c r="B596" t="inlineStr">
        <is>
          <t>P09</t>
        </is>
      </c>
      <c r="C596" t="inlineStr">
        <is>
          <t>YX-MET</t>
        </is>
      </c>
      <c r="D596" t="inlineStr">
        <is>
          <t>6+</t>
        </is>
      </c>
      <c r="E596" s="5" t="inlineStr">
        <is>
          <t>Product analytics storage and access (S1): events live in the separate product_analytics schema, not joinable to tenant schemas; raw events are deleted after 13 months; only YukthiX staff with the product analytics role can read it (P14 YX-CONSOLE-08); a tenant that opts out of non-essential analytics emits no product-analytics events, while billing meters, security logs, the tenant-health feed and setup-hub progress continue.</t>
        </is>
      </c>
      <c r="F596" t="inlineStr">
        <is>
          <t>Not started</t>
        </is>
      </c>
      <c r="H596">
        <f>IF(G596&lt;&gt;"",G596,F596)</f>
        <v/>
      </c>
      <c r="I596" t="n">
        <v>0</v>
      </c>
      <c r="J596" t="n">
        <v>0</v>
      </c>
      <c r="K596" t="n">
        <v>0</v>
      </c>
      <c r="L596" s="5" t="inlineStr"/>
      <c r="M596" s="5" t="n"/>
    </row>
    <row r="597">
      <c r="A597" t="inlineStr">
        <is>
          <t>YX-MET-21</t>
        </is>
      </c>
      <c r="B597" t="inlineStr">
        <is>
          <t>P09</t>
        </is>
      </c>
      <c r="C597" t="inlineStr">
        <is>
          <t>YX-MET</t>
        </is>
      </c>
      <c r="D597" t="inlineStr">
        <is>
          <t>6+</t>
        </is>
      </c>
      <c r="E597" s="5" t="inlineStr">
        <is>
          <t>Product metrics (S1): funnel conversion (sign-up → first value → activated → paid), time to first value per product (HR first payslip preview, Assess first test invite sent, Hire first job posted), activation rate, trial conversion, cohort retention, feature adoption and quick-start completion are governed product.* metrics with versioned definitions and golden tests (YX-MET-02); growth dashboards and P20 reports use only these metrics.</t>
        </is>
      </c>
      <c r="F597" t="inlineStr">
        <is>
          <t>Not started</t>
        </is>
      </c>
      <c r="H597">
        <f>IF(G597&lt;&gt;"",G597,F597)</f>
        <v/>
      </c>
      <c r="I597" t="n">
        <v>0</v>
      </c>
      <c r="J597" t="n">
        <v>0</v>
      </c>
      <c r="K597" t="n">
        <v>0</v>
      </c>
      <c r="L597" s="5" t="inlineStr"/>
      <c r="M597" s="5" t="n"/>
    </row>
    <row r="598">
      <c r="A598" t="inlineStr">
        <is>
          <t>YX-MET-22</t>
        </is>
      </c>
      <c r="B598" t="inlineStr">
        <is>
          <t>P09</t>
        </is>
      </c>
      <c r="C598" t="inlineStr">
        <is>
          <t>YX-MET</t>
        </is>
      </c>
      <c r="D598" t="inlineStr">
        <is>
          <t>6+</t>
        </is>
      </c>
      <c r="E598" s="5" t="inlineStr">
        <is>
          <t>Total-workforce headcount counts persons (Validation pass 3 Must follow-up, 28 Sep 2026). The metric workforce.total_persons (distinct persons with at least one active workforce role on the date, from snap_person_day) is the only source for total-workforce headcount on dashboards, the directory filter and reports; role-level headcounts (employee headcount, contract-worker headcount) stay separate series and are never summed into a total (P01 YX-ORG-26, M13 YX-CLRA-14).</t>
        </is>
      </c>
      <c r="F598" t="inlineStr">
        <is>
          <t>Not started</t>
        </is>
      </c>
      <c r="H598">
        <f>IF(G598&lt;&gt;"",G598,F598)</f>
        <v/>
      </c>
      <c r="I598" t="n">
        <v>0</v>
      </c>
      <c r="J598" t="n">
        <v>0</v>
      </c>
      <c r="K598" t="n">
        <v>0</v>
      </c>
      <c r="L598" s="5" t="inlineStr"/>
      <c r="M598" s="5" t="n"/>
    </row>
    <row r="599">
      <c r="A599" t="inlineStr">
        <is>
          <t>YX-MET-23</t>
        </is>
      </c>
      <c r="B599" t="inlineStr">
        <is>
          <t>P09</t>
        </is>
      </c>
      <c r="C599" t="inlineStr">
        <is>
          <t>YX-MET</t>
        </is>
      </c>
      <c r="D599" t="inlineStr">
        <is>
          <t>6+</t>
        </is>
      </c>
      <c r="E599" s="5" t="inlineStr">
        <is>
          <t>Statutory and ESG disclosure packs (R6 / R7 / T5): the SEBI BRSR workforce pack and the Companies Act Board's-report pack are built only from registered esg.*, cases.*, learning.* and workforce metrics for a legal entity and financial year; each pack goes preparer → reviewer (CFO or Company Secretary) → approve, and on approval is frozen as a numbered version with its metric versions and data cut-off; a back-dated change never alters an approved version (a new version is prepared); every export is audited.</t>
        </is>
      </c>
      <c r="F599" t="inlineStr">
        <is>
          <t>Not started</t>
        </is>
      </c>
      <c r="H599">
        <f>IF(G599&lt;&gt;"",G599,F599)</f>
        <v/>
      </c>
      <c r="I599" t="n">
        <v>0</v>
      </c>
      <c r="J599" t="n">
        <v>0</v>
      </c>
      <c r="K599" t="n">
        <v>0</v>
      </c>
      <c r="L599" s="5" t="inlineStr"/>
      <c r="M599" s="5" t="n"/>
    </row>
    <row r="600">
      <c r="A600" t="inlineStr">
        <is>
          <t>YX-MET-24</t>
        </is>
      </c>
      <c r="B600" t="inlineStr">
        <is>
          <t>P09</t>
        </is>
      </c>
      <c r="C600" t="inlineStr">
        <is>
          <t>YX-MET</t>
        </is>
      </c>
      <c r="D600" t="inlineStr">
        <is>
          <t>6+</t>
        </is>
      </c>
      <c r="E600" s="5" t="inlineStr">
        <is>
          <t>Disclosure suppression and gender categories (R6 / R7): breakdowns below the legal-entity totals in the disclosure packs apply the small-group threshold to every viewer (as YX-MET-14); entity totals required by law are shown in full only to the pack's preparer and approvers, with small cells flagged and never sent in subscriptions; gender is counted as male / female / transgender / other with "prefer not to say" and unknown as separate counts, never inferred.</t>
        </is>
      </c>
      <c r="F600" t="inlineStr">
        <is>
          <t>Not started</t>
        </is>
      </c>
      <c r="H600">
        <f>IF(G600&lt;&gt;"",G600,F600)</f>
        <v/>
      </c>
      <c r="I600" t="n">
        <v>0</v>
      </c>
      <c r="J600" t="n">
        <v>0</v>
      </c>
      <c r="K600" t="n">
        <v>0</v>
      </c>
      <c r="L600" s="5" t="inlineStr"/>
      <c r="M600" s="5" t="n"/>
    </row>
    <row r="601">
      <c r="A601" t="inlineStr">
        <is>
          <t>YX-AI-01</t>
        </is>
      </c>
      <c r="B601" t="inlineStr">
        <is>
          <t>P10</t>
        </is>
      </c>
      <c r="C601" t="inlineStr">
        <is>
          <t>YX-AI</t>
        </is>
      </c>
      <c r="D601" t="inlineStr">
        <is>
          <t>6+</t>
        </is>
      </c>
      <c r="E601" s="5" t="inlineStr">
        <is>
          <t>AI never makes or executes decisions (no approving, rejecting or paying); it may give advisory scores (ATS candidate-fit, AI-interview rubric scores); outputs are suggestions a person accepts or edits, and a human always decides.</t>
        </is>
      </c>
      <c r="F601" t="inlineStr">
        <is>
          <t>Not started</t>
        </is>
      </c>
      <c r="H601">
        <f>IF(G601&lt;&gt;"",G601,F601)</f>
        <v/>
      </c>
      <c r="I601" t="n">
        <v>0</v>
      </c>
      <c r="J601" t="n">
        <v>0</v>
      </c>
      <c r="K601" t="n">
        <v>0</v>
      </c>
      <c r="L601" s="5" t="inlineStr"/>
      <c r="M601" s="5" t="n"/>
    </row>
    <row r="602">
      <c r="A602" t="inlineStr">
        <is>
          <t>YX-AI-02</t>
        </is>
      </c>
      <c r="B602" t="inlineStr">
        <is>
          <t>P10</t>
        </is>
      </c>
      <c r="C602" t="inlineStr">
        <is>
          <t>YX-AI</t>
        </is>
      </c>
      <c r="D602" t="inlineStr">
        <is>
          <t>6+</t>
        </is>
      </c>
      <c r="E602" s="5" t="inlineStr">
        <is>
          <t>Special-class data is never sent to external LLMs; Confidential values are masked/excluded unless the feature is explicitly approved for them; ID-document extraction uses in-region OCR.</t>
        </is>
      </c>
      <c r="F602" t="inlineStr">
        <is>
          <t>Not started</t>
        </is>
      </c>
      <c r="H602">
        <f>IF(G602&lt;&gt;"",G602,F602)</f>
        <v/>
      </c>
      <c r="I602" t="n">
        <v>0</v>
      </c>
      <c r="J602" t="n">
        <v>0</v>
      </c>
      <c r="K602" t="n">
        <v>0</v>
      </c>
      <c r="L602" s="5" t="inlineStr"/>
      <c r="M602" s="5" t="n"/>
    </row>
    <row r="603">
      <c r="A603" t="inlineStr">
        <is>
          <t>YX-AI-03</t>
        </is>
      </c>
      <c r="B603" t="inlineStr">
        <is>
          <t>P10</t>
        </is>
      </c>
      <c r="C603" t="inlineStr">
        <is>
          <t>YX-AI</t>
        </is>
      </c>
      <c r="D603" t="inlineStr">
        <is>
          <t>6+</t>
        </is>
      </c>
      <c r="E603" s="5" t="inlineStr">
        <is>
          <t>AI features are opt-in per tenant, metered in AI credits and audited per call (feature, user, data classes, provider, tokens).</t>
        </is>
      </c>
      <c r="F603" t="inlineStr">
        <is>
          <t>Not started</t>
        </is>
      </c>
      <c r="H603">
        <f>IF(G603&lt;&gt;"",G603,F603)</f>
        <v/>
      </c>
      <c r="I603" t="n">
        <v>0</v>
      </c>
      <c r="J603" t="n">
        <v>0</v>
      </c>
      <c r="K603" t="n">
        <v>0</v>
      </c>
      <c r="L603" s="5" t="inlineStr"/>
      <c r="M603" s="5" t="n"/>
    </row>
    <row r="604">
      <c r="A604" t="inlineStr">
        <is>
          <t>YX-AI-04</t>
        </is>
      </c>
      <c r="B604" t="inlineStr">
        <is>
          <t>P10</t>
        </is>
      </c>
      <c r="C604" t="inlineStr">
        <is>
          <t>YX-AI</t>
        </is>
      </c>
      <c r="D604" t="inlineStr">
        <is>
          <t>6+</t>
        </is>
      </c>
      <c r="E604" s="5" t="inlineStr">
        <is>
          <t>Providers must contractually exclude training on customer data and be consistent with the tenant's region; they are listed as sub-processors.</t>
        </is>
      </c>
      <c r="F604" t="inlineStr">
        <is>
          <t>Not started</t>
        </is>
      </c>
      <c r="H604">
        <f>IF(G604&lt;&gt;"",G604,F604)</f>
        <v/>
      </c>
      <c r="I604" t="n">
        <v>0</v>
      </c>
      <c r="J604" t="n">
        <v>0</v>
      </c>
      <c r="K604" t="n">
        <v>0</v>
      </c>
      <c r="L604" s="5" t="inlineStr"/>
      <c r="M604" s="5" t="n"/>
    </row>
    <row r="605">
      <c r="A605" t="inlineStr">
        <is>
          <t>YX-AI-05</t>
        </is>
      </c>
      <c r="B605" t="inlineStr">
        <is>
          <t>P10</t>
        </is>
      </c>
      <c r="C605" t="inlineStr">
        <is>
          <t>YX-AI</t>
        </is>
      </c>
      <c r="D605" t="inlineStr">
        <is>
          <t>6+</t>
        </is>
      </c>
      <c r="E605" s="5" t="inlineStr">
        <is>
          <t>Uploaded documents are treated as untrusted data in prompts; AI tools are limited to read-only governed APIs.</t>
        </is>
      </c>
      <c r="F605" t="inlineStr">
        <is>
          <t>Not started</t>
        </is>
      </c>
      <c r="H605">
        <f>IF(G605&lt;&gt;"",G605,F605)</f>
        <v/>
      </c>
      <c r="I605" t="n">
        <v>0</v>
      </c>
      <c r="J605" t="n">
        <v>0</v>
      </c>
      <c r="K605" t="n">
        <v>0</v>
      </c>
      <c r="L605" s="5" t="inlineStr"/>
      <c r="M605" s="5" t="n"/>
    </row>
    <row r="606">
      <c r="A606" t="inlineStr">
        <is>
          <t>YX-AI-06</t>
        </is>
      </c>
      <c r="B606" t="inlineStr">
        <is>
          <t>P10</t>
        </is>
      </c>
      <c r="C606" t="inlineStr">
        <is>
          <t>YX-AI</t>
        </is>
      </c>
      <c r="D606" t="inlineStr">
        <is>
          <t>6+</t>
        </is>
      </c>
      <c r="E606" s="5" t="inlineStr">
        <is>
          <t>Face templates are Special data: explicit consent, stored encrypted in-region, used only for check-in, deleted on exit or consent withdrawal.</t>
        </is>
      </c>
      <c r="F606" t="inlineStr">
        <is>
          <t>Not started</t>
        </is>
      </c>
      <c r="H606">
        <f>IF(G606&lt;&gt;"",G606,F606)</f>
        <v/>
      </c>
      <c r="I606" t="n">
        <v>0</v>
      </c>
      <c r="J606" t="n">
        <v>0</v>
      </c>
      <c r="K606" t="n">
        <v>0</v>
      </c>
      <c r="L606" s="5" t="inlineStr"/>
      <c r="M606" s="5" t="n"/>
    </row>
    <row r="607">
      <c r="A607" t="inlineStr">
        <is>
          <t>YX-AI-07</t>
        </is>
      </c>
      <c r="B607" t="inlineStr">
        <is>
          <t>P10</t>
        </is>
      </c>
      <c r="C607" t="inlineStr">
        <is>
          <t>YX-AI</t>
        </is>
      </c>
      <c r="D607" t="inlineStr">
        <is>
          <t>6+</t>
        </is>
      </c>
      <c r="E607" s="5" t="inlineStr">
        <is>
          <t>Registry (B13): every AI call runs a registered, approved feature version (provider, model, region, prompt hash, allowed data classes) and records that version in ai_calls; an unregistered model or prompt cannot be called in production.</t>
        </is>
      </c>
      <c r="F607" t="inlineStr">
        <is>
          <t>Not started</t>
        </is>
      </c>
      <c r="H607">
        <f>IF(G607&lt;&gt;"",G607,F607)</f>
        <v/>
      </c>
      <c r="I607" t="n">
        <v>0</v>
      </c>
      <c r="J607" t="n">
        <v>0</v>
      </c>
      <c r="K607" t="n">
        <v>0</v>
      </c>
      <c r="L607" s="5" t="inlineStr"/>
      <c r="M607" s="5" t="n"/>
    </row>
    <row r="608">
      <c r="A608" t="inlineStr">
        <is>
          <t>YX-AI-08</t>
        </is>
      </c>
      <c r="B608" t="inlineStr">
        <is>
          <t>P10</t>
        </is>
      </c>
      <c r="C608" t="inlineStr">
        <is>
          <t>YX-AI</t>
        </is>
      </c>
      <c r="D608" t="inlineStr">
        <is>
          <t>6+</t>
        </is>
      </c>
      <c r="E608" s="5" t="inlineStr">
        <is>
          <t>Eval gate (B13): a new model, provider, region or prompt version goes live only after its feature's eval set meets the acceptance thresholds and shows no significant regression, reviewed by a second person; drift metrics are monitored weekly per feature with alerts.</t>
        </is>
      </c>
      <c r="F608" t="inlineStr">
        <is>
          <t>Not started</t>
        </is>
      </c>
      <c r="H608">
        <f>IF(G608&lt;&gt;"",G608,F608)</f>
        <v/>
      </c>
      <c r="I608" t="n">
        <v>0</v>
      </c>
      <c r="J608" t="n">
        <v>0</v>
      </c>
      <c r="K608" t="n">
        <v>0</v>
      </c>
      <c r="L608" s="5" t="inlineStr"/>
      <c r="M608" s="5" t="n"/>
    </row>
    <row r="609">
      <c r="A609" t="inlineStr">
        <is>
          <t>YX-AI-09</t>
        </is>
      </c>
      <c r="B609" t="inlineStr">
        <is>
          <t>P10</t>
        </is>
      </c>
      <c r="C609" t="inlineStr">
        <is>
          <t>YX-AI</t>
        </is>
      </c>
      <c r="D609" t="inlineStr">
        <is>
          <t>6+</t>
        </is>
      </c>
      <c r="E609" s="5" t="inlineStr">
        <is>
          <t>Bias &amp; red-team (B13): AI interview and candidate-fit scores are tested across groups (adverse-impact 4/5ths and score gaps) before release and quarterly; a failing gap blocks release or disables the feature. Red-team and indirect prompt-injection tests (policy documents, résumés, receipts, chat inputs) run before launch and quarterly; canary instructions are never followed.</t>
        </is>
      </c>
      <c r="F609" t="inlineStr">
        <is>
          <t>Not started</t>
        </is>
      </c>
      <c r="H609">
        <f>IF(G609&lt;&gt;"",G609,F609)</f>
        <v/>
      </c>
      <c r="I609" t="n">
        <v>0</v>
      </c>
      <c r="J609" t="n">
        <v>0</v>
      </c>
      <c r="K609" t="n">
        <v>0</v>
      </c>
      <c r="L609" s="5" t="inlineStr"/>
      <c r="M609" s="5" t="n"/>
    </row>
    <row r="610">
      <c r="A610" t="inlineStr">
        <is>
          <t>YX-AI-10</t>
        </is>
      </c>
      <c r="B610" t="inlineStr">
        <is>
          <t>P10</t>
        </is>
      </c>
      <c r="C610" t="inlineStr">
        <is>
          <t>YX-AI</t>
        </is>
      </c>
      <c r="D610" t="inlineStr">
        <is>
          <t>6+</t>
        </is>
      </c>
      <c r="E610" s="5" t="inlineStr">
        <is>
          <t>AI incidents &amp; EU (B13): every AI feature has a kill switch (platform or tenant) with a non-AI fallback; AI incidents follow severity, tenant notice and post-mortem, linked to P12 when personal data is involved. High-risk employment AI (Annex III(4), every "yes" / "depends" feature in §A4; YX-AI-11) stays off for EU tenants until EU AI Act provider obligations are met; emotion recognition from face or voice is never built.</t>
        </is>
      </c>
      <c r="F610" t="inlineStr">
        <is>
          <t>Not started</t>
        </is>
      </c>
      <c r="H610">
        <f>IF(G610&lt;&gt;"",G610,F610)</f>
        <v/>
      </c>
      <c r="I610" t="n">
        <v>0</v>
      </c>
      <c r="J610" t="n">
        <v>0</v>
      </c>
      <c r="K610" t="n">
        <v>0</v>
      </c>
      <c r="L610" s="5" t="inlineStr"/>
      <c r="M610" s="5" t="n"/>
    </row>
    <row r="611">
      <c r="A611" t="inlineStr">
        <is>
          <t>YX-AI-11</t>
        </is>
      </c>
      <c r="B611" t="inlineStr">
        <is>
          <t>P10</t>
        </is>
      </c>
      <c r="C611" t="inlineStr">
        <is>
          <t>YX-AI</t>
        </is>
      </c>
      <c r="D611" t="inlineStr">
        <is>
          <t>6+</t>
        </is>
      </c>
      <c r="E611" s="5" t="inlineStr">
        <is>
          <t>EU AI Act classification (C4). Every AI feature's registry entry (YX-AI-07) states whether it is high-risk under Annex III(4) (yes / no / depends, with the condition) and its EU default; a feature can't go live without it. For EU-established tenants and EU candidates / workers, every "yes" or "depends" feature, hiring and employee-side (promotion / termination, task allocation on behaviour or traits, performance and behaviour monitoring), is off until YukthiX completes the provider obligations (target before 2 Dec 2027, the Digital Omnibus date) and ships with human oversight, logging, a trans</t>
        </is>
      </c>
      <c r="F611" t="inlineStr">
        <is>
          <t>Not started</t>
        </is>
      </c>
      <c r="H611">
        <f>IF(G611&lt;&gt;"",G611,F611)</f>
        <v/>
      </c>
      <c r="I611" t="n">
        <v>0</v>
      </c>
      <c r="J611" t="n">
        <v>0</v>
      </c>
      <c r="K611" t="n">
        <v>0</v>
      </c>
      <c r="L611" s="5" t="inlineStr"/>
      <c r="M611" s="5" t="n"/>
    </row>
    <row r="612">
      <c r="A612" t="inlineStr">
        <is>
          <t>YX-AI-12</t>
        </is>
      </c>
      <c r="B612" t="inlineStr">
        <is>
          <t>P10</t>
        </is>
      </c>
      <c r="C612" t="inlineStr">
        <is>
          <t>YX-AI</t>
        </is>
      </c>
      <c r="D612" t="inlineStr">
        <is>
          <t>6+</t>
        </is>
      </c>
      <c r="E612" s="5" t="inlineStr">
        <is>
          <t>EU deployer notice &amp; AI literacy (C4). An EU tenant can enable a high-risk employment feature only after a tenant admin records that the notice to workers' representatives and affected workers (APX-G G-36; Art. 26(7)) was given, with date and audience, as a legal_acceptances row (audited, P08). The AI literacy guidance (APX-G G-37; Art. 4, applies since 2 Feb 2025) is shown to tenant admins before they enable any AI feature and to users before their first use.</t>
        </is>
      </c>
      <c r="F612" t="inlineStr">
        <is>
          <t>Not started</t>
        </is>
      </c>
      <c r="H612">
        <f>IF(G612&lt;&gt;"",G612,F612)</f>
        <v/>
      </c>
      <c r="I612" t="n">
        <v>0</v>
      </c>
      <c r="J612" t="n">
        <v>0</v>
      </c>
      <c r="K612" t="n">
        <v>0</v>
      </c>
      <c r="L612" s="5" t="inlineStr"/>
      <c r="M612" s="5" t="n"/>
    </row>
    <row r="613">
      <c r="A613" t="inlineStr">
        <is>
          <t>YX-AI-13</t>
        </is>
      </c>
      <c r="B613" t="inlineStr">
        <is>
          <t>P10</t>
        </is>
      </c>
      <c r="C613" t="inlineStr">
        <is>
          <t>YX-AI</t>
        </is>
      </c>
      <c r="D613" t="inlineStr">
        <is>
          <t>6+</t>
        </is>
      </c>
      <c r="E613" s="5" t="inlineStr">
        <is>
          <t xml:space="preserve">Agent action contract (T1). An agent (copilot, chat-app bot or scheduled assistant) runs only as a registered feature (YX-AI-07) with a declared agent scope (actions it may prepare, data classes it may read) no wider than the person's own P02 rights. Every write is prepared as a normal P03 request or draft with source agent:&lt;feature&gt; and needs the person's explicit confirmation (a confirm button or card, never implied by the conversation); agent_actions records person, feature and version, scope, channel and confirmation. Agents can never approve or reject a request, release a payment or bank </t>
        </is>
      </c>
      <c r="F613" t="inlineStr">
        <is>
          <t>UI prototype only</t>
        </is>
      </c>
      <c r="H613">
        <f>IF(G613&lt;&gt;"",G613,F613)</f>
        <v/>
      </c>
      <c r="I613" t="n">
        <v>0</v>
      </c>
      <c r="J613" t="n">
        <v>0</v>
      </c>
      <c r="K613" t="n">
        <v>1</v>
      </c>
      <c r="L613" s="5" t="inlineStr"/>
      <c r="M613" s="5" t="n"/>
    </row>
    <row r="614">
      <c r="A614" t="inlineStr">
        <is>
          <t>YX-AI-14</t>
        </is>
      </c>
      <c r="B614" t="inlineStr">
        <is>
          <t>P10</t>
        </is>
      </c>
      <c r="C614" t="inlineStr">
        <is>
          <t>YX-AI</t>
        </is>
      </c>
      <c r="D614" t="inlineStr">
        <is>
          <t>6+</t>
        </is>
      </c>
      <c r="E614" s="5" t="inlineStr">
        <is>
          <t>Copilot channels and credits (T1). Slack / Teams copilots follow YX-INT-05; WhatsApp only on a number the employee has linked and verified (P04), with Confidential values masked in chat and a deep link to the app for anything Special or Confidential. Each tenant has a per-user monthly fair-use allowance (P14); beyond it, calls draw AI credits, and with no credits left the copilot answers with links into the app, never losing a pending confirmation.</t>
        </is>
      </c>
      <c r="F614" t="inlineStr">
        <is>
          <t>Not started</t>
        </is>
      </c>
      <c r="H614">
        <f>IF(G614&lt;&gt;"",G614,F614)</f>
        <v/>
      </c>
      <c r="I614" t="n">
        <v>0</v>
      </c>
      <c r="J614" t="n">
        <v>0</v>
      </c>
      <c r="K614" t="n">
        <v>0</v>
      </c>
      <c r="L614" s="5" t="inlineStr"/>
      <c r="M614" s="5" t="n"/>
    </row>
    <row r="615">
      <c r="A615" t="inlineStr">
        <is>
          <t>YX-AI-15</t>
        </is>
      </c>
      <c r="B615" t="inlineStr">
        <is>
          <t>P10</t>
        </is>
      </c>
      <c r="C615" t="inlineStr">
        <is>
          <t>YX-AI</t>
        </is>
      </c>
      <c r="D615" t="inlineStr">
        <is>
          <t>6+</t>
        </is>
      </c>
      <c r="E615" s="5" t="inlineStr">
        <is>
          <t>Plan approval for multi-step agent jobs (P22). For a "do this for me" request the agent first shows a plan (records, changes, screens / APIs, irreversible steps flagged); nothing runs until the person approves the plan. Execution uses only public APIs with the person's own permissions, stays inside the approved plan, shows progress, and ends with a summary and undo where reversible. Money (payroll release, payouts, bank files), statutory filing, approving or rejecting others' requests, candidate rejection, dismissal / termination and pay changes each need a separate explicit confirmation on th</t>
        </is>
      </c>
      <c r="F615" t="inlineStr">
        <is>
          <t>Not started</t>
        </is>
      </c>
      <c r="H615">
        <f>IF(G615&lt;&gt;"",G615,F615)</f>
        <v/>
      </c>
      <c r="I615" t="n">
        <v>0</v>
      </c>
      <c r="J615" t="n">
        <v>0</v>
      </c>
      <c r="K615" t="n">
        <v>0</v>
      </c>
      <c r="L615" s="5" t="inlineStr"/>
      <c r="M615" s="5" t="n"/>
    </row>
    <row r="616">
      <c r="A616" t="inlineStr">
        <is>
          <t>YX-INT-01</t>
        </is>
      </c>
      <c r="B616" t="inlineStr">
        <is>
          <t>P10</t>
        </is>
      </c>
      <c r="C616" t="inlineStr">
        <is>
          <t>YX-INT</t>
        </is>
      </c>
      <c r="D616" t="inlineStr">
        <is>
          <t>6+</t>
        </is>
      </c>
      <c r="E616" s="5" t="inlineStr">
        <is>
          <t>Every connection has an owner, encrypted credentials, health status and run logs; failures notify the owner.</t>
        </is>
      </c>
      <c r="F616" t="inlineStr">
        <is>
          <t>Not started</t>
        </is>
      </c>
      <c r="H616">
        <f>IF(G616&lt;&gt;"",G616,F616)</f>
        <v/>
      </c>
      <c r="I616" t="n">
        <v>0</v>
      </c>
      <c r="J616" t="n">
        <v>0</v>
      </c>
      <c r="K616" t="n">
        <v>0</v>
      </c>
      <c r="L616" s="5" t="inlineStr"/>
      <c r="M616" s="5" t="n"/>
    </row>
    <row r="617">
      <c r="A617" t="inlineStr">
        <is>
          <t>YX-INT-02</t>
        </is>
      </c>
      <c r="B617" t="inlineStr">
        <is>
          <t>P10</t>
        </is>
      </c>
      <c r="C617" t="inlineStr">
        <is>
          <t>YX-INT</t>
        </is>
      </c>
      <c r="D617" t="inlineStr">
        <is>
          <t>6+</t>
        </is>
      </c>
      <c r="E617" s="5" t="inlineStr">
        <is>
          <t>Inbound connectors are idempotent (duplicate punches/results ignored) and signature-verified.</t>
        </is>
      </c>
      <c r="F617" t="inlineStr">
        <is>
          <t>Not started</t>
        </is>
      </c>
      <c r="H617">
        <f>IF(G617&lt;&gt;"",G617,F617)</f>
        <v/>
      </c>
      <c r="I617" t="n">
        <v>0</v>
      </c>
      <c r="J617" t="n">
        <v>0</v>
      </c>
      <c r="K617" t="n">
        <v>0</v>
      </c>
      <c r="L617" s="5" t="inlineStr"/>
      <c r="M617" s="5" t="n"/>
    </row>
    <row r="618">
      <c r="A618" t="inlineStr">
        <is>
          <t>YX-INT-03</t>
        </is>
      </c>
      <c r="B618" t="inlineStr">
        <is>
          <t>P10</t>
        </is>
      </c>
      <c r="C618" t="inlineStr">
        <is>
          <t>YX-INT</t>
        </is>
      </c>
      <c r="D618" t="inlineStr">
        <is>
          <t>6+</t>
        </is>
      </c>
      <c r="E618" s="5" t="inlineStr">
        <is>
          <t>Generated exchange files (bank, accounting, statutory) are documents with hashes; downloads and releases are audited; bank file release follows maker ≠ checker.</t>
        </is>
      </c>
      <c r="F618" t="inlineStr">
        <is>
          <t>UI prototype only</t>
        </is>
      </c>
      <c r="H618">
        <f>IF(G618&lt;&gt;"",G618,F618)</f>
        <v/>
      </c>
      <c r="I618" t="n">
        <v>0</v>
      </c>
      <c r="J618" t="n">
        <v>0</v>
      </c>
      <c r="K618" t="n">
        <v>1</v>
      </c>
      <c r="L618" s="5" t="inlineStr"/>
      <c r="M618" s="5" t="n"/>
    </row>
    <row r="619">
      <c r="A619" t="inlineStr">
        <is>
          <t>YX-INT-04</t>
        </is>
      </c>
      <c r="B619" t="inlineStr">
        <is>
          <t>P10</t>
        </is>
      </c>
      <c r="C619" t="inlineStr">
        <is>
          <t>YX-INT</t>
        </is>
      </c>
      <c r="D619" t="inlineStr">
        <is>
          <t>6+</t>
        </is>
      </c>
      <c r="E619" s="5" t="inlineStr">
        <is>
          <t>Public API and webhooks apply the same P02 scopes and field classes as the app.</t>
        </is>
      </c>
      <c r="F619" t="inlineStr">
        <is>
          <t>Not started</t>
        </is>
      </c>
      <c r="H619">
        <f>IF(G619&lt;&gt;"",G619,F619)</f>
        <v/>
      </c>
      <c r="I619" t="n">
        <v>0</v>
      </c>
      <c r="J619" t="n">
        <v>0</v>
      </c>
      <c r="K619" t="n">
        <v>0</v>
      </c>
      <c r="L619" s="5" t="inlineStr"/>
      <c r="M619" s="5" t="n"/>
    </row>
    <row r="620">
      <c r="A620" t="inlineStr">
        <is>
          <t>YX-INT-05</t>
        </is>
      </c>
      <c r="B620" t="inlineStr">
        <is>
          <t>P10</t>
        </is>
      </c>
      <c r="C620" t="inlineStr">
        <is>
          <t>YX-INT</t>
        </is>
      </c>
      <c r="D620" t="inlineStr">
        <is>
          <t>6+</t>
        </is>
      </c>
      <c r="E620" s="5" t="inlineStr">
        <is>
          <t>Chat apps (B9): Slack / Teams apps are installed by tenant admin consent, act only for SSO / OAuth-linked users and call the public API as that user (P04 YX-NTF-16).</t>
        </is>
      </c>
      <c r="F620" t="inlineStr">
        <is>
          <t>Not started</t>
        </is>
      </c>
      <c r="H620">
        <f>IF(G620&lt;&gt;"",G620,F620)</f>
        <v/>
      </c>
      <c r="I620" t="n">
        <v>0</v>
      </c>
      <c r="J620" t="n">
        <v>0</v>
      </c>
      <c r="K620" t="n">
        <v>0</v>
      </c>
      <c r="L620" s="5" t="inlineStr"/>
      <c r="M620" s="5" t="n"/>
    </row>
    <row r="621">
      <c r="A621" t="inlineStr">
        <is>
          <t>YX-INT-06</t>
        </is>
      </c>
      <c r="B621" t="inlineStr">
        <is>
          <t>P10</t>
        </is>
      </c>
      <c r="C621" t="inlineStr">
        <is>
          <t>YX-INT</t>
        </is>
      </c>
      <c r="D621" t="inlineStr">
        <is>
          <t>6+</t>
        </is>
      </c>
      <c r="E621" s="5" t="inlineStr">
        <is>
          <t>Mailbox sync (C6): only threads matched to a candidate, ticket or YukthiX-sent message are imported; send-as uses the user's own OAuth grant; unlinking stops sync at once; synced content takes the attached record's P02 class.</t>
        </is>
      </c>
      <c r="F621" t="inlineStr">
        <is>
          <t>Not started</t>
        </is>
      </c>
      <c r="H621">
        <f>IF(G621&lt;&gt;"",G621,F621)</f>
        <v/>
      </c>
      <c r="I621" t="n">
        <v>0</v>
      </c>
      <c r="J621" t="n">
        <v>0</v>
      </c>
      <c r="K621" t="n">
        <v>0</v>
      </c>
      <c r="L621" s="5" t="inlineStr"/>
      <c r="M621" s="5" t="n"/>
    </row>
    <row r="622">
      <c r="A622" t="inlineStr">
        <is>
          <t>YX-INT-07</t>
        </is>
      </c>
      <c r="B622" t="inlineStr">
        <is>
          <t>P10</t>
        </is>
      </c>
      <c r="C622" t="inlineStr">
        <is>
          <t>YX-INT</t>
        </is>
      </c>
      <c r="D622" t="inlineStr">
        <is>
          <t>6+</t>
        </is>
      </c>
      <c r="E622" s="5" t="inlineStr">
        <is>
          <t>eKYC / DigiLocker (C6): only via a licensed partner, with explicit per-purpose consent recorded (YX-SEC-28); the full Aadhaar number is never stored (masked + partner reference, YX-SEC-08); pulled documents are stored as issuer-verified P05 documents; a non-Aadhaar path always exists.</t>
        </is>
      </c>
      <c r="F622" t="inlineStr">
        <is>
          <t>Not started</t>
        </is>
      </c>
      <c r="H622">
        <f>IF(G622&lt;&gt;"",G622,F622)</f>
        <v/>
      </c>
      <c r="I622" t="n">
        <v>0</v>
      </c>
      <c r="J622" t="n">
        <v>0</v>
      </c>
      <c r="K622" t="n">
        <v>0</v>
      </c>
      <c r="L622" s="5" t="inlineStr"/>
      <c r="M622" s="5" t="n"/>
    </row>
    <row r="623">
      <c r="A623" t="inlineStr">
        <is>
          <t>YX-INT-08</t>
        </is>
      </c>
      <c r="B623" t="inlineStr">
        <is>
          <t>P10</t>
        </is>
      </c>
      <c r="C623" t="inlineStr">
        <is>
          <t>YX-INT</t>
        </is>
      </c>
      <c r="D623" t="inlineStr">
        <is>
          <t>6+</t>
        </is>
      </c>
      <c r="E623" s="5" t="inlineStr">
        <is>
          <t>Earned wage access (B10): off unless the company enables it; the accessible amount never exceeds earned net pay to date × company cap; recovery is a payroll deduction within the P07 IN.WAGES cap (exit: F&amp;F within the cap); the partner receives only employee id, limit and bank-verified status; YukthiX never funds or lends.</t>
        </is>
      </c>
      <c r="F623" t="inlineStr">
        <is>
          <t>Not started</t>
        </is>
      </c>
      <c r="H623">
        <f>IF(G623&lt;&gt;"",G623,F623)</f>
        <v/>
      </c>
      <c r="I623" t="n">
        <v>0</v>
      </c>
      <c r="J623" t="n">
        <v>0</v>
      </c>
      <c r="K623" t="n">
        <v>0</v>
      </c>
      <c r="L623" s="5" t="inlineStr"/>
      <c r="M623" s="5" t="n"/>
    </row>
    <row r="624">
      <c r="A624" t="inlineStr">
        <is>
          <t>YX-INT-09</t>
        </is>
      </c>
      <c r="B624" t="inlineStr">
        <is>
          <t>P10</t>
        </is>
      </c>
      <c r="C624" t="inlineStr">
        <is>
          <t>YX-INT</t>
        </is>
      </c>
      <c r="D624" t="inlineStr">
        <is>
          <t>6+</t>
        </is>
      </c>
      <c r="E624" s="5" t="inlineStr">
        <is>
          <t>Partner connectors — data minimisation and contracts (gap-register tidy-up). Every B3 partner connector declares, in its connection record, the data classes it sends and whose contract pays the partner. Content providers, job boards and benchmark data run on the customer's own licence / account (connector included, D18); psychometric, plagiarism / leak, eKYC, EWA and benchmark partners are partner add-ons (P14 YX-BILL-11). Proctoring partners (psychometric, plagiarism / leak) receive only pseudonymous attempt ids and content, never candidate identity; the benchmark partner receives only job-co</t>
        </is>
      </c>
      <c r="F624" t="inlineStr">
        <is>
          <t>Not started</t>
        </is>
      </c>
      <c r="H624">
        <f>IF(G624&lt;&gt;"",G624,F624)</f>
        <v/>
      </c>
      <c r="I624" t="n">
        <v>0</v>
      </c>
      <c r="J624" t="n">
        <v>0</v>
      </c>
      <c r="K624" t="n">
        <v>0</v>
      </c>
      <c r="L624" s="5" t="inlineStr"/>
      <c r="M624" s="5" t="n"/>
    </row>
    <row r="625">
      <c r="A625" t="inlineStr">
        <is>
          <t>YX-INT-10</t>
        </is>
      </c>
      <c r="B625" t="inlineStr">
        <is>
          <t>P10</t>
        </is>
      </c>
      <c r="C625" t="inlineStr">
        <is>
          <t>YX-INT</t>
        </is>
      </c>
      <c r="D625" t="inlineStr">
        <is>
          <t>6+</t>
        </is>
      </c>
      <c r="E625" s="5" t="inlineStr">
        <is>
          <t xml:space="preserve">Jobs &amp; errors page (G6). IntegrationDelivery failures (webhooks / Slack / Teams / Zapier), connector sync-job dead letters (B2), import errors (P15), notification delivery failures (P04) and automation failures (P19 YX-RULE-11) all feed one admin Jobs &amp; errors page (APX-D PLT-38) in one record shape: kind, source, record, error in plain words, attempts, next retry, owner. Actions are Retry (idempotent, YX-INT-02), Skip with reason and open the record; every action is audited (P08). Nothing fails silently: a failure without an owner escalates to the System Admin, and the page's open count is a </t>
        </is>
      </c>
      <c r="F625" t="inlineStr">
        <is>
          <t>UI prototype only</t>
        </is>
      </c>
      <c r="H625">
        <f>IF(G625&lt;&gt;"",G625,F625)</f>
        <v/>
      </c>
      <c r="I625" t="n">
        <v>0</v>
      </c>
      <c r="J625" t="n">
        <v>0</v>
      </c>
      <c r="K625" t="n">
        <v>1</v>
      </c>
      <c r="L625" s="5" t="inlineStr"/>
      <c r="M625" s="5" t="n"/>
    </row>
    <row r="626">
      <c r="A626" t="inlineStr">
        <is>
          <t>YX-INT-11</t>
        </is>
      </c>
      <c r="B626" t="inlineStr">
        <is>
          <t>P10</t>
        </is>
      </c>
      <c r="C626" t="inlineStr">
        <is>
          <t>YX-INT</t>
        </is>
      </c>
      <c r="D626" t="inlineStr">
        <is>
          <t>6+</t>
        </is>
      </c>
      <c r="E626" s="5" t="inlineStr">
        <is>
          <t>Deepfake partner connector (T10). Called only for interview video / audio of a company that has enabled the add-on and a candidate who consented (T04 YX-PROC-20); each call sends the minimal clip / frames, records region, bytes sent and the result in deepfake_checks, and is covered by YX-INT-09 (data classes, DPA, no retention by the partner, sub-processor listing). A partner outage skips the check with a note for the reviewer; it never blocks or fails the interview.</t>
        </is>
      </c>
      <c r="F626" t="inlineStr">
        <is>
          <t>UI prototype only</t>
        </is>
      </c>
      <c r="H626">
        <f>IF(G626&lt;&gt;"",G626,F626)</f>
        <v/>
      </c>
      <c r="I626" t="n">
        <v>0</v>
      </c>
      <c r="J626" t="n">
        <v>0</v>
      </c>
      <c r="K626" t="n">
        <v>1</v>
      </c>
      <c r="L626" s="5" t="inlineStr"/>
      <c r="M626" s="5" t="n"/>
    </row>
    <row r="627">
      <c r="A627" t="inlineStr">
        <is>
          <t>YX-INT-12</t>
        </is>
      </c>
      <c r="B627" t="inlineStr">
        <is>
          <t>P10</t>
        </is>
      </c>
      <c r="C627" t="inlineStr">
        <is>
          <t>YX-INT</t>
        </is>
      </c>
      <c r="D627" t="inlineStr">
        <is>
          <t>6+</t>
        </is>
      </c>
      <c r="E627" s="5" t="inlineStr">
        <is>
          <t xml:space="preserve">Global payroll / EOR connectors (T17). For a country without a YukthiX pack, a company may connect a global payroll or EOR provider: YukthiX pushes HR data for workers in that country (joiners, leavers, changes, pay inputs, leave and attendance summaries) and pulls results (payslips as P05 documents, gross-to-net totals, employer cost, journals into the accounting export). YukthiX never computes that country's statutory pay; the provider is a listed sub-processor with a data-processing agreement, receives only the fields it needs (YX-INT-09), and pulled results are read-only and period-locked </t>
        </is>
      </c>
      <c r="F627" t="inlineStr">
        <is>
          <t>Not started</t>
        </is>
      </c>
      <c r="H627">
        <f>IF(G627&lt;&gt;"",G627,F627)</f>
        <v/>
      </c>
      <c r="I627" t="n">
        <v>0</v>
      </c>
      <c r="J627" t="n">
        <v>0</v>
      </c>
      <c r="K627" t="n">
        <v>0</v>
      </c>
      <c r="L627" s="5" t="inlineStr"/>
      <c r="M627" s="5" t="n"/>
    </row>
    <row r="628">
      <c r="A628" t="inlineStr">
        <is>
          <t>YX-API-01</t>
        </is>
      </c>
      <c r="B628" t="inlineStr">
        <is>
          <t>P11</t>
        </is>
      </c>
      <c r="C628" t="inlineStr">
        <is>
          <t>YX-API</t>
        </is>
      </c>
      <c r="D628" t="inlineStr">
        <is>
          <t>6+</t>
        </is>
      </c>
      <c r="E628" s="5" t="inlineStr">
        <is>
          <t>No hidden logic. Business rules, validation, permissions and calculations run only in the API. The web and mobile apps never compute a figure that the API doesn't also enforce.</t>
        </is>
      </c>
      <c r="F628" t="inlineStr">
        <is>
          <t>Not started</t>
        </is>
      </c>
      <c r="H628">
        <f>IF(G628&lt;&gt;"",G628,F628)</f>
        <v/>
      </c>
      <c r="I628" t="n">
        <v>0</v>
      </c>
      <c r="J628" t="n">
        <v>0</v>
      </c>
      <c r="K628" t="n">
        <v>0</v>
      </c>
      <c r="L628" s="5" t="inlineStr"/>
      <c r="M628" s="5" t="n"/>
    </row>
    <row r="629">
      <c r="A629" t="inlineStr">
        <is>
          <t>YX-API-02</t>
        </is>
      </c>
      <c r="B629" t="inlineStr">
        <is>
          <t>P11</t>
        </is>
      </c>
      <c r="C629" t="inlineStr">
        <is>
          <t>YX-API</t>
        </is>
      </c>
      <c r="D629" t="inlineStr">
        <is>
          <t>6+</t>
        </is>
      </c>
      <c r="E629" s="5" t="inlineStr">
        <is>
          <t>Our UI uses the same API. Every action in our apps goes through an API route. Public-class routes behave identically for our apps and for external clients. First-party routes may add UI aggregations, but never extra rights.</t>
        </is>
      </c>
      <c r="F629" t="inlineStr">
        <is>
          <t>Not started</t>
        </is>
      </c>
      <c r="H629">
        <f>IF(G629&lt;&gt;"",G629,F629)</f>
        <v/>
      </c>
      <c r="I629" t="n">
        <v>0</v>
      </c>
      <c r="J629" t="n">
        <v>0</v>
      </c>
      <c r="K629" t="n">
        <v>0</v>
      </c>
      <c r="L629" s="5" t="inlineStr"/>
      <c r="M629" s="5" t="n"/>
    </row>
    <row r="630">
      <c r="A630" t="inlineStr">
        <is>
          <t>YX-API-03</t>
        </is>
      </c>
      <c r="B630" t="inlineStr">
        <is>
          <t>P11</t>
        </is>
      </c>
      <c r="C630" t="inlineStr">
        <is>
          <t>YX-API</t>
        </is>
      </c>
      <c r="D630" t="inlineStr">
        <is>
          <t>6+</t>
        </is>
      </c>
      <c r="E630" s="5" t="inlineStr">
        <is>
          <t>Every request is tenant-scoped via P01 RLS (SET LOCAL app.current_org from the session, key or token) and permission-checked via P02, including field classes. A key or token can never exceed its owner's or grant's rights.</t>
        </is>
      </c>
      <c r="F630" t="inlineStr">
        <is>
          <t>Not started</t>
        </is>
      </c>
      <c r="H630">
        <f>IF(G630&lt;&gt;"",G630,F630)</f>
        <v/>
      </c>
      <c r="I630" t="n">
        <v>0</v>
      </c>
      <c r="J630" t="n">
        <v>0</v>
      </c>
      <c r="K630" t="n">
        <v>0</v>
      </c>
      <c r="L630" s="5" t="inlineStr"/>
      <c r="M630" s="5" t="n"/>
    </row>
    <row r="631">
      <c r="A631" t="inlineStr">
        <is>
          <t>YX-API-04</t>
        </is>
      </c>
      <c r="B631" t="inlineStr">
        <is>
          <t>P11</t>
        </is>
      </c>
      <c r="C631" t="inlineStr">
        <is>
          <t>YX-API</t>
        </is>
      </c>
      <c r="D631" t="inlineStr">
        <is>
          <t>6+</t>
        </is>
      </c>
      <c r="E631" s="5" t="inlineStr">
        <is>
          <t>The OpenAPI 3.1 spec is generated in CI. A build fails if a public route is undocumented, or if a change breaks the published contract without a new major version (Q3).</t>
        </is>
      </c>
      <c r="F631" t="inlineStr">
        <is>
          <t>Not started</t>
        </is>
      </c>
      <c r="H631">
        <f>IF(G631&lt;&gt;"",G631,F631)</f>
        <v/>
      </c>
      <c r="I631" t="n">
        <v>0</v>
      </c>
      <c r="J631" t="n">
        <v>0</v>
      </c>
      <c r="K631" t="n">
        <v>0</v>
      </c>
      <c r="L631" s="5" t="inlineStr"/>
      <c r="M631" s="5" t="n"/>
    </row>
    <row r="632">
      <c r="A632" t="inlineStr">
        <is>
          <t>YX-API-05</t>
        </is>
      </c>
      <c r="B632" t="inlineStr">
        <is>
          <t>P11</t>
        </is>
      </c>
      <c r="C632" t="inlineStr">
        <is>
          <t>YX-API</t>
        </is>
      </c>
      <c r="D632" t="inlineStr">
        <is>
          <t>6+</t>
        </is>
      </c>
      <c r="E632" s="5" t="inlineStr">
        <is>
          <t>Writes support Idempotency-Key. Replaying the same key and body returns the original result; the same key with a different body gets 409.</t>
        </is>
      </c>
      <c r="F632" t="inlineStr">
        <is>
          <t>Not started</t>
        </is>
      </c>
      <c r="H632">
        <f>IF(G632&lt;&gt;"",G632,F632)</f>
        <v/>
      </c>
      <c r="I632" t="n">
        <v>0</v>
      </c>
      <c r="J632" t="n">
        <v>0</v>
      </c>
      <c r="K632" t="n">
        <v>0</v>
      </c>
      <c r="L632" s="5" t="inlineStr"/>
      <c r="M632" s="5" t="n"/>
    </row>
    <row r="633">
      <c r="A633" t="inlineStr">
        <is>
          <t>YX-API-06</t>
        </is>
      </c>
      <c r="B633" t="inlineStr">
        <is>
          <t>P11</t>
        </is>
      </c>
      <c r="C633" t="inlineStr">
        <is>
          <t>YX-API</t>
        </is>
      </c>
      <c r="D633" t="inlineStr">
        <is>
          <t>6+</t>
        </is>
      </c>
      <c r="E633" s="5" t="inlineStr">
        <is>
          <t>Lists use cursor pagination, filtering and sorting on documented fields, and sparse fieldsets (fields=). Responses never include fields the caller's field classes don't allow; they are omitted, not nulled.</t>
        </is>
      </c>
      <c r="F633" t="inlineStr">
        <is>
          <t>Not started</t>
        </is>
      </c>
      <c r="H633">
        <f>IF(G633&lt;&gt;"",G633,F633)</f>
        <v/>
      </c>
      <c r="I633" t="n">
        <v>0</v>
      </c>
      <c r="J633" t="n">
        <v>0</v>
      </c>
      <c r="K633" t="n">
        <v>0</v>
      </c>
      <c r="L633" s="5" t="inlineStr"/>
      <c r="M633" s="5" t="n"/>
    </row>
    <row r="634">
      <c r="A634" t="inlineStr">
        <is>
          <t>YX-API-07</t>
        </is>
      </c>
      <c r="B634" t="inlineStr">
        <is>
          <t>P11</t>
        </is>
      </c>
      <c r="C634" t="inlineStr">
        <is>
          <t>YX-API</t>
        </is>
      </c>
      <c r="D634" t="inlineStr">
        <is>
          <t>6+</t>
        </is>
      </c>
      <c r="E634" s="5" t="inlineStr">
        <is>
          <t>Errors use one format (RFC 9457 problem details) with a stable code, a human message, and field errors. Validation messages match the UI's.</t>
        </is>
      </c>
      <c r="F634" t="inlineStr">
        <is>
          <t>Not started</t>
        </is>
      </c>
      <c r="H634">
        <f>IF(G634&lt;&gt;"",G634,F634)</f>
        <v/>
      </c>
      <c r="I634" t="n">
        <v>0</v>
      </c>
      <c r="J634" t="n">
        <v>0</v>
      </c>
      <c r="K634" t="n">
        <v>0</v>
      </c>
      <c r="L634" s="5" t="inlineStr"/>
      <c r="M634" s="5" t="n"/>
    </row>
    <row r="635">
      <c r="A635" t="inlineStr">
        <is>
          <t>YX-API-08</t>
        </is>
      </c>
      <c r="B635" t="inlineStr">
        <is>
          <t>P11</t>
        </is>
      </c>
      <c r="C635" t="inlineStr">
        <is>
          <t>YX-API</t>
        </is>
      </c>
      <c r="D635" t="inlineStr">
        <is>
          <t>6+</t>
        </is>
      </c>
      <c r="E635" s="5" t="inlineStr">
        <is>
          <t>Rate limits apply per key / token / user and per tenant, from the plan's fair-use limits or the limits add-on (Q8). Responses carry RateLimit-* headers. Limits never block our own apps' interactive traffic below the tenant quota.</t>
        </is>
      </c>
      <c r="F635" t="inlineStr">
        <is>
          <t>Not started</t>
        </is>
      </c>
      <c r="H635">
        <f>IF(G635&lt;&gt;"",G635,F635)</f>
        <v/>
      </c>
      <c r="I635" t="n">
        <v>0</v>
      </c>
      <c r="J635" t="n">
        <v>0</v>
      </c>
      <c r="K635" t="n">
        <v>0</v>
      </c>
      <c r="L635" s="5" t="inlineStr"/>
      <c r="M635" s="5" t="n"/>
    </row>
    <row r="636">
      <c r="A636" t="inlineStr">
        <is>
          <t>YX-API-09</t>
        </is>
      </c>
      <c r="B636" t="inlineStr">
        <is>
          <t>P11</t>
        </is>
      </c>
      <c r="C636" t="inlineStr">
        <is>
          <t>YX-API</t>
        </is>
      </c>
      <c r="D636" t="inlineStr">
        <is>
          <t>6+</t>
        </is>
      </c>
      <c r="E636" s="5" t="inlineStr">
        <is>
          <t>Webhooks are signed (HMAC-SHA256 with a timestamp, replay window of 5 min or less) and retried with exponential backoff for up to 24 h. After repeated failure the endpoint is disabled and admins are notified. Deliveries can be replayed (Q5).</t>
        </is>
      </c>
      <c r="F636" t="inlineStr">
        <is>
          <t>Not started</t>
        </is>
      </c>
      <c r="H636">
        <f>IF(G636&lt;&gt;"",G636,F636)</f>
        <v/>
      </c>
      <c r="I636" t="n">
        <v>0</v>
      </c>
      <c r="J636" t="n">
        <v>0</v>
      </c>
      <c r="K636" t="n">
        <v>0</v>
      </c>
      <c r="L636" s="5" t="inlineStr"/>
      <c r="M636" s="5" t="n"/>
    </row>
    <row r="637">
      <c r="A637" t="inlineStr">
        <is>
          <t>YX-API-10</t>
        </is>
      </c>
      <c r="B637" t="inlineStr">
        <is>
          <t>P11</t>
        </is>
      </c>
      <c r="C637" t="inlineStr">
        <is>
          <t>YX-API</t>
        </is>
      </c>
      <c r="D637" t="inlineStr">
        <is>
          <t>6+</t>
        </is>
      </c>
      <c r="E637" s="5" t="inlineStr">
        <is>
          <t>Webhook payloads for Confidential or Special entities (salary, payslips, bank, cases) carry IDs and change type only. The receiver fetches details through the API with a properly scoped key.</t>
        </is>
      </c>
      <c r="F637" t="inlineStr">
        <is>
          <t>Not started</t>
        </is>
      </c>
      <c r="H637">
        <f>IF(G637&lt;&gt;"",G637,F637)</f>
        <v/>
      </c>
      <c r="I637" t="n">
        <v>0</v>
      </c>
      <c r="J637" t="n">
        <v>0</v>
      </c>
      <c r="K637" t="n">
        <v>0</v>
      </c>
      <c r="L637" s="5" t="inlineStr"/>
      <c r="M637" s="5" t="n"/>
    </row>
    <row r="638">
      <c r="A638" t="inlineStr">
        <is>
          <t>YX-API-11</t>
        </is>
      </c>
      <c r="B638" t="inlineStr">
        <is>
          <t>P11</t>
        </is>
      </c>
      <c r="C638" t="inlineStr">
        <is>
          <t>YX-API</t>
        </is>
      </c>
      <c r="D638" t="inlineStr">
        <is>
          <t>6+</t>
        </is>
      </c>
      <c r="E638" s="5" t="inlineStr">
        <is>
          <t>Every API write is audited (P08) with the caller identity: user, key name, or OAuth app + user. "Who accessed my data" (P08 Q6) includes API access by apps and keys.</t>
        </is>
      </c>
      <c r="F638" t="inlineStr">
        <is>
          <t>Not started</t>
        </is>
      </c>
      <c r="H638">
        <f>IF(G638&lt;&gt;"",G638,F638)</f>
        <v/>
      </c>
      <c r="I638" t="n">
        <v>0</v>
      </c>
      <c r="J638" t="n">
        <v>0</v>
      </c>
      <c r="K638" t="n">
        <v>0</v>
      </c>
      <c r="L638" s="5" t="inlineStr"/>
      <c r="M638" s="5" t="n"/>
    </row>
    <row r="639">
      <c r="A639" t="inlineStr">
        <is>
          <t>YX-API-12</t>
        </is>
      </c>
      <c r="B639" t="inlineStr">
        <is>
          <t>P11</t>
        </is>
      </c>
      <c r="C639" t="inlineStr">
        <is>
          <t>YX-API</t>
        </is>
      </c>
      <c r="D639" t="inlineStr">
        <is>
          <t>6+</t>
        </is>
      </c>
      <c r="E639" s="5" t="inlineStr">
        <is>
          <t>Payroll and statutory writes through the public API (run approval, payment status, filings) require a key with an explicit payroll-write scope and still go through P03 approvals and maker ≠ checker. There is never an API bypass of approvals or period locks (P08).</t>
        </is>
      </c>
      <c r="F639" t="inlineStr">
        <is>
          <t>Not started</t>
        </is>
      </c>
      <c r="H639">
        <f>IF(G639&lt;&gt;"",G639,F639)</f>
        <v/>
      </c>
      <c r="I639" t="n">
        <v>0</v>
      </c>
      <c r="J639" t="n">
        <v>0</v>
      </c>
      <c r="K639" t="n">
        <v>0</v>
      </c>
      <c r="L639" s="5" t="inlineStr"/>
      <c r="M639" s="5" t="n"/>
    </row>
    <row r="640">
      <c r="A640" t="inlineStr">
        <is>
          <t>YX-API-13</t>
        </is>
      </c>
      <c r="B640" t="inlineStr">
        <is>
          <t>P11</t>
        </is>
      </c>
      <c r="C640" t="inlineStr">
        <is>
          <t>YX-API</t>
        </is>
      </c>
      <c r="D640" t="inlineStr">
        <is>
          <t>6+</t>
        </is>
      </c>
      <c r="E640" s="5" t="inlineStr">
        <is>
          <t>A deprecated route or field returns Deprecation and Sunset headers for the whole notice period (Q3). Tenants using it are emailed.</t>
        </is>
      </c>
      <c r="F640" t="inlineStr">
        <is>
          <t>Not started</t>
        </is>
      </c>
      <c r="H640">
        <f>IF(G640&lt;&gt;"",G640,F640)</f>
        <v/>
      </c>
      <c r="I640" t="n">
        <v>0</v>
      </c>
      <c r="J640" t="n">
        <v>0</v>
      </c>
      <c r="K640" t="n">
        <v>0</v>
      </c>
      <c r="L640" s="5" t="inlineStr"/>
      <c r="M640" s="5" t="n"/>
    </row>
    <row r="641">
      <c r="A641" t="inlineStr">
        <is>
          <t>YX-API-14</t>
        </is>
      </c>
      <c r="B641" t="inlineStr">
        <is>
          <t>P11</t>
        </is>
      </c>
      <c r="C641" t="inlineStr">
        <is>
          <t>YX-API</t>
        </is>
      </c>
      <c r="D641" t="inlineStr">
        <is>
          <t>6+</t>
        </is>
      </c>
      <c r="E641" s="5" t="inlineStr">
        <is>
          <t>REST and GraphQL are thin transports over one service layer: the same call through either returns the same data, errors (GraphQL extensions.code = problem code), permissions and audit. No business rule lives in a resolver or controller.</t>
        </is>
      </c>
      <c r="F641" t="inlineStr">
        <is>
          <t>Not started</t>
        </is>
      </c>
      <c r="H641">
        <f>IF(G641&lt;&gt;"",G641,F641)</f>
        <v/>
      </c>
      <c r="I641" t="n">
        <v>0</v>
      </c>
      <c r="J641" t="n">
        <v>0</v>
      </c>
      <c r="K641" t="n">
        <v>0</v>
      </c>
      <c r="L641" s="5" t="inlineStr"/>
      <c r="M641" s="5" t="n"/>
    </row>
    <row r="642">
      <c r="A642" t="inlineStr">
        <is>
          <t>YX-API-15</t>
        </is>
      </c>
      <c r="B642" t="inlineStr">
        <is>
          <t>P11</t>
        </is>
      </c>
      <c r="C642" t="inlineStr">
        <is>
          <t>YX-API</t>
        </is>
      </c>
      <c r="D642" t="inlineStr">
        <is>
          <t>6+</t>
        </is>
      </c>
      <c r="E642" s="5" t="inlineStr">
        <is>
          <t>GraphQL is protected by depth and complexity limits, pagination on every list (connections), per-field authorisation from P02 field classes (unauthorised fields resolve to an error, never silently leak), disabled introspection in production for non-developer keys, and persisted queries for our own apps. Rate limits count query cost, not requests.</t>
        </is>
      </c>
      <c r="F642" t="inlineStr">
        <is>
          <t>Not started</t>
        </is>
      </c>
      <c r="H642">
        <f>IF(G642&lt;&gt;"",G642,F642)</f>
        <v/>
      </c>
      <c r="I642" t="n">
        <v>0</v>
      </c>
      <c r="J642" t="n">
        <v>0</v>
      </c>
      <c r="K642" t="n">
        <v>0</v>
      </c>
      <c r="L642" s="5" t="inlineStr"/>
      <c r="M642" s="5" t="n"/>
    </row>
    <row r="643">
      <c r="A643" t="inlineStr">
        <is>
          <t>YX-API-16</t>
        </is>
      </c>
      <c r="B643" t="inlineStr">
        <is>
          <t>P11</t>
        </is>
      </c>
      <c r="C643" t="inlineStr">
        <is>
          <t>YX-API</t>
        </is>
      </c>
      <c r="D643" t="inlineStr">
        <is>
          <t>6+</t>
        </is>
      </c>
      <c r="E643" s="5" t="inlineStr">
        <is>
          <t>Custom-object APIs (B20): publishing a custom object (P18) generates its REST resource, GraphQL type and custom.{object}.* webhook events with no code release; they obey YX-API-03/05/06/09/10/14/15 like built-in resources (P02 scopes and field classes per custom field, thin payloads for Confidential / Special objects); renaming or deleting a published object or field follows the Q3 deprecation rules for keys that use it.</t>
        </is>
      </c>
      <c r="F643" t="inlineStr">
        <is>
          <t>Not started</t>
        </is>
      </c>
      <c r="H643">
        <f>IF(G643&lt;&gt;"",G643,F643)</f>
        <v/>
      </c>
      <c r="I643" t="n">
        <v>0</v>
      </c>
      <c r="J643" t="n">
        <v>0</v>
      </c>
      <c r="K643" t="n">
        <v>0</v>
      </c>
      <c r="L643" s="5" t="inlineStr"/>
      <c r="M643" s="5" t="n"/>
    </row>
    <row r="644">
      <c r="A644" t="inlineStr">
        <is>
          <t>YX-IAM-01</t>
        </is>
      </c>
      <c r="B644" t="inlineStr">
        <is>
          <t>P12</t>
        </is>
      </c>
      <c r="C644" t="inlineStr">
        <is>
          <t>YX-IAM</t>
        </is>
      </c>
      <c r="D644" t="inlineStr">
        <is>
          <t>1</t>
        </is>
      </c>
      <c r="E644" s="5" t="inlineStr">
        <is>
          <t>Users in sensitive roles must reach AAL2 before using any sensitive-role permission. The tenant may extend MFA to everyone, but may not waive it for sensitive roles (Q1).</t>
        </is>
      </c>
      <c r="F644" t="inlineStr">
        <is>
          <t>Built + tested</t>
        </is>
      </c>
      <c r="H644">
        <f>IF(G644&lt;&gt;"",G644,F644)</f>
        <v/>
      </c>
      <c r="I644" t="n">
        <v>32</v>
      </c>
      <c r="J644" t="n">
        <v>20</v>
      </c>
      <c r="K644" t="n">
        <v>11</v>
      </c>
      <c r="L644" s="5" t="inlineStr">
        <is>
          <t>exam-app-login:apps/api/prisma/migrations/20261006200000_mfa/migration.sql
exam-app-login:apps/api/src/attempts-admin/attempts-admin.controller.ts
exam-app-login:apps/api/src/auth/auth.controller.ts</t>
        </is>
      </c>
      <c r="M644" s="5" t="n"/>
    </row>
    <row r="645">
      <c r="A645" t="inlineStr">
        <is>
          <t>YX-IAM-02</t>
        </is>
      </c>
      <c r="B645" t="inlineStr">
        <is>
          <t>P12</t>
        </is>
      </c>
      <c r="C645" t="inlineStr">
        <is>
          <t>YX-IAM</t>
        </is>
      </c>
      <c r="D645" t="inlineStr">
        <is>
          <t>1</t>
        </is>
      </c>
      <c r="E645" s="5" t="inlineStr">
        <is>
          <t>Step-up actions require AAL2 re-verification within the last N minutes (floor: 15). The re-verification is recorded on the audit entry.</t>
        </is>
      </c>
      <c r="F645" t="inlineStr">
        <is>
          <t>Built + tested</t>
        </is>
      </c>
      <c r="H645">
        <f>IF(G645&lt;&gt;"",G645,F645)</f>
        <v/>
      </c>
      <c r="I645" t="n">
        <v>17</v>
      </c>
      <c r="J645" t="n">
        <v>6</v>
      </c>
      <c r="K645" t="n">
        <v>5</v>
      </c>
      <c r="L645" s="5" t="inlineStr">
        <is>
          <t>exam-app-login:apps/api/prisma/migrations/20261006200000_mfa/migration.sql
exam-app-login:apps/api/src/auth/mfa.controller.ts
exam-app-login:apps/api/src/auth/step-up.decorator.ts</t>
        </is>
      </c>
      <c r="M645" s="5" t="n"/>
    </row>
    <row r="646">
      <c r="A646" t="inlineStr">
        <is>
          <t>YX-IAM-03</t>
        </is>
      </c>
      <c r="B646" t="inlineStr">
        <is>
          <t>P12</t>
        </is>
      </c>
      <c r="C646" t="inlineStr">
        <is>
          <t>YX-IAM</t>
        </is>
      </c>
      <c r="D646" t="inlineStr">
        <is>
          <t>1</t>
        </is>
      </c>
      <c r="E646" s="5" t="inlineStr">
        <is>
          <t>Passkeys are the preferred factor. TOTP is supported. SMS / WhatsApp / email OTP is a fallback factor only; it can't be the sole second factor for System Admin or Payroll Admin.</t>
        </is>
      </c>
      <c r="F646" t="inlineStr">
        <is>
          <t>Built + tested</t>
        </is>
      </c>
      <c r="H646">
        <f>IF(G646&lt;&gt;"",G646,F646)</f>
        <v/>
      </c>
      <c r="I646" t="n">
        <v>16</v>
      </c>
      <c r="J646" t="n">
        <v>6</v>
      </c>
      <c r="K646" t="n">
        <v>6</v>
      </c>
      <c r="L646" s="5" t="inlineStr">
        <is>
          <t>exam-app-login:apps/api/prisma/migrations/20261006300000_otp_sign_in/migration.sql
exam-app-login:apps/api/prisma/schema.prisma
exam-app-login:apps/api/src/auth/auth.service.spec.ts</t>
        </is>
      </c>
      <c r="M646" s="5" t="n"/>
    </row>
    <row r="647">
      <c r="A647" t="inlineStr">
        <is>
          <t>YX-IAM-04</t>
        </is>
      </c>
      <c r="B647" t="inlineStr">
        <is>
          <t>P12</t>
        </is>
      </c>
      <c r="C647" t="inlineStr">
        <is>
          <t>YX-IAM</t>
        </is>
      </c>
      <c r="D647" t="inlineStr">
        <is>
          <t>1</t>
        </is>
      </c>
      <c r="E647" s="5" t="inlineStr">
        <is>
          <t>SSO: a tenant may configure several IdPs, mapped by email domain. With SSO-only enabled, password login is disabled except for ≥ 2 named break-glass admin accounts with MFA; every break-glass login alerts all admins.</t>
        </is>
      </c>
      <c r="F647" t="inlineStr">
        <is>
          <t>Built + tested</t>
        </is>
      </c>
      <c r="H647">
        <f>IF(G647&lt;&gt;"",G647,F647)</f>
        <v/>
      </c>
      <c r="I647" t="n">
        <v>27</v>
      </c>
      <c r="J647" t="n">
        <v>17</v>
      </c>
      <c r="K647" t="n">
        <v>6</v>
      </c>
      <c r="L647" s="5" t="inlineStr">
        <is>
          <t>exam-app-login:apps/api/prisma/migrations/20261006400000_identity_providers/migration.sql
exam-app-login:apps/api/prisma/migrations/20261006500000_login_hardening/migration.sql
exam-app-login:apps/api/prisma/migrations/20261007100000_verified_domains/migration.sql</t>
        </is>
      </c>
      <c r="M647" s="5" t="n"/>
    </row>
    <row r="648">
      <c r="A648" t="inlineStr">
        <is>
          <t>YX-IAM-05</t>
        </is>
      </c>
      <c r="B648" t="inlineStr">
        <is>
          <t>P12</t>
        </is>
      </c>
      <c r="C648" t="inlineStr">
        <is>
          <t>YX-IAM</t>
        </is>
      </c>
      <c r="D648" t="inlineStr">
        <is>
          <t>1</t>
        </is>
      </c>
      <c r="E648" s="5" t="inlineStr">
        <is>
          <t>JIT provisioning creates a user only from an allowed domain and never grants a sensitive role automatically. SCIM deprovisioning (or IdP disable) revokes all sessions within 5 minutes and triggers the M01 exit deprovisioning where an employee is linked (Q2).</t>
        </is>
      </c>
      <c r="F648" t="inlineStr">
        <is>
          <t>Built + tested</t>
        </is>
      </c>
      <c r="H648">
        <f>IF(G648&lt;&gt;"",G648,F648)</f>
        <v/>
      </c>
      <c r="I648" t="n">
        <v>8</v>
      </c>
      <c r="J648" t="n">
        <v>4</v>
      </c>
      <c r="K648" t="n">
        <v>0</v>
      </c>
      <c r="L648" s="5" t="inlineStr">
        <is>
          <t>exam-app-login:apps/api/prisma/migrations/20261006400000_identity_providers/migration.sql
exam-app-login:apps/api/prisma/migrations/20261006500000_login_hardening/migration.sql
exam-app-login:apps/api/src/auth/identity-providers.service.spec.ts</t>
        </is>
      </c>
      <c r="M648" s="5" t="n"/>
    </row>
    <row r="649">
      <c r="A649" t="inlineStr">
        <is>
          <t>YX-IAM-06</t>
        </is>
      </c>
      <c r="B649" t="inlineStr">
        <is>
          <t>P12</t>
        </is>
      </c>
      <c r="C649" t="inlineStr">
        <is>
          <t>YX-IAM</t>
        </is>
      </c>
      <c r="D649" t="inlineStr">
        <is>
          <t>1</t>
        </is>
      </c>
      <c r="E649" s="5" t="inlineStr">
        <is>
          <t>Sessions are server-side. Idle and absolute limits follow the tenant policy within the floor (Q8). Users see and revoke their active sessions; admins can revoke any session in scope.</t>
        </is>
      </c>
      <c r="F649" t="inlineStr">
        <is>
          <t>Built + tested</t>
        </is>
      </c>
      <c r="H649">
        <f>IF(G649&lt;&gt;"",G649,F649)</f>
        <v/>
      </c>
      <c r="I649" t="n">
        <v>20</v>
      </c>
      <c r="J649" t="n">
        <v>18</v>
      </c>
      <c r="K649" t="n">
        <v>6</v>
      </c>
      <c r="L649" s="5" t="inlineStr">
        <is>
          <t>exam-app-login:apps/api/prisma/migrations/20261006000000_sessions_login_events/migration.sql
exam-app-login:apps/api/prisma/migrations/20261006100000_tenant_security_policies/migration.sql
exam-app-login:apps/api/prisma/schema.prisma</t>
        </is>
      </c>
      <c r="M649" s="5" t="n"/>
    </row>
    <row r="650">
      <c r="A650" t="inlineStr">
        <is>
          <t>YX-IAM-07</t>
        </is>
      </c>
      <c r="B650" t="inlineStr">
        <is>
          <t>P12</t>
        </is>
      </c>
      <c r="C650" t="inlineStr">
        <is>
          <t>YX-IAM</t>
        </is>
      </c>
      <c r="D650" t="inlineStr">
        <is>
          <t>1</t>
        </is>
      </c>
      <c r="E650" s="5" t="inlineStr">
        <is>
          <t>Login protection: progressive delays and temporary lock after repeated failures per account and per IP; bot challenge on public login / OTP / apply pages under attack; new-device and new-country login notifications to the user.</t>
        </is>
      </c>
      <c r="F650" t="inlineStr">
        <is>
          <t>Built + tested</t>
        </is>
      </c>
      <c r="H650">
        <f>IF(G650&lt;&gt;"",G650,F650)</f>
        <v/>
      </c>
      <c r="I650" t="n">
        <v>20</v>
      </c>
      <c r="J650" t="n">
        <v>15</v>
      </c>
      <c r="K650" t="n">
        <v>4</v>
      </c>
      <c r="L650" s="5" t="inlineStr">
        <is>
          <t>exam-app-login:apps/api/prisma/migrations/20261006000000_sessions_login_events/migration.sql
exam-app-login:apps/api/prisma/migrations/20261006600000_lockout_policy/migration.sql
exam-app-login:apps/api/prisma/schema.prisma</t>
        </is>
      </c>
      <c r="M650" s="5" t="n"/>
    </row>
    <row r="651">
      <c r="A651" t="inlineStr">
        <is>
          <t>YX-IAM-08</t>
        </is>
      </c>
      <c r="B651" t="inlineStr">
        <is>
          <t>P12</t>
        </is>
      </c>
      <c r="C651" t="inlineStr">
        <is>
          <t>YX-IAM</t>
        </is>
      </c>
      <c r="D651" t="inlineStr">
        <is>
          <t>1</t>
        </is>
      </c>
      <c r="E651" s="5" t="inlineStr">
        <is>
          <t>Passwords follow the floor (Q8): minimum length, breached-password check, no forced periodic rotation; argon2 hashing.</t>
        </is>
      </c>
      <c r="F651" t="inlineStr">
        <is>
          <t>Built + tested</t>
        </is>
      </c>
      <c r="H651">
        <f>IF(G651&lt;&gt;"",G651,F651)</f>
        <v/>
      </c>
      <c r="I651" t="n">
        <v>12</v>
      </c>
      <c r="J651" t="n">
        <v>10</v>
      </c>
      <c r="K651" t="n">
        <v>2</v>
      </c>
      <c r="L651" s="5" t="inlineStr">
        <is>
          <t>exam-app-login:apps/api/prisma/migrations/20261006500000_login_hardening/migration.sql
exam-app-login:apps/api/prisma/schema.prisma
exam-app-login:apps/api/src/auth/auth.service.spec.ts</t>
        </is>
      </c>
      <c r="M651" s="5" t="n"/>
    </row>
    <row r="652">
      <c r="A652" t="inlineStr">
        <is>
          <t>YX-IAM-09</t>
        </is>
      </c>
      <c r="B652" t="inlineStr">
        <is>
          <t>P12</t>
        </is>
      </c>
      <c r="C652" t="inlineStr">
        <is>
          <t>YX-IAM</t>
        </is>
      </c>
      <c r="D652" t="inlineStr">
        <is>
          <t>1</t>
        </is>
      </c>
      <c r="E652" s="5" t="inlineStr">
        <is>
          <t>Tenant IP allow-lists may be set separately for desk, admin console and API keys. Mobile app and candidate / external portals are exempt unless the tenant explicitly includes them.</t>
        </is>
      </c>
      <c r="F652" t="inlineStr">
        <is>
          <t>Built + tested</t>
        </is>
      </c>
      <c r="H652">
        <f>IF(G652&lt;&gt;"",G652,F652)</f>
        <v/>
      </c>
      <c r="I652" t="n">
        <v>12</v>
      </c>
      <c r="J652" t="n">
        <v>10</v>
      </c>
      <c r="K652" t="n">
        <v>0</v>
      </c>
      <c r="L652" s="5" t="inlineStr">
        <is>
          <t>exam-app-login:apps/api/src/auth/auth.service.ts
exam-app-login:apps/api/src/auth/jwt.strategy.spec.ts
exam-app-login:apps/api/src/auth/jwt.strategy.ts</t>
        </is>
      </c>
      <c r="M652" s="5" t="n"/>
    </row>
    <row r="653">
      <c r="A653" t="inlineStr">
        <is>
          <t>YX-IAM-10</t>
        </is>
      </c>
      <c r="B653" t="inlineStr">
        <is>
          <t>P12</t>
        </is>
      </c>
      <c r="C653" t="inlineStr">
        <is>
          <t>YX-IAM</t>
        </is>
      </c>
      <c r="D653" t="inlineStr">
        <is>
          <t>1</t>
        </is>
      </c>
      <c r="E653" s="5" t="inlineStr">
        <is>
          <t>Every login attempt, MFA change, recovery-code use, session revocation, IdP change and security-policy change is logged (login_events / P08). Users see their own login history; admins see their tenant's.</t>
        </is>
      </c>
      <c r="F653" t="inlineStr">
        <is>
          <t>Built + tested</t>
        </is>
      </c>
      <c r="H653">
        <f>IF(G653&lt;&gt;"",G653,F653)</f>
        <v/>
      </c>
      <c r="I653" t="n">
        <v>20</v>
      </c>
      <c r="J653" t="n">
        <v>12</v>
      </c>
      <c r="K653" t="n">
        <v>2</v>
      </c>
      <c r="L653" s="5" t="inlineStr">
        <is>
          <t>exam-app-login:apps/api/prisma/migrations/20261006500000_login_hardening/migration.sql
exam-app-login:apps/api/prisma/migrations/20261006600000_lockout_policy/migration.sql
exam-app-login:apps/api/prisma/schema.prisma</t>
        </is>
      </c>
      <c r="M653" s="5" t="n"/>
    </row>
    <row r="654">
      <c r="A654" t="inlineStr">
        <is>
          <t>YX-IAM-11</t>
        </is>
      </c>
      <c r="B654" t="inlineStr">
        <is>
          <t>P12</t>
        </is>
      </c>
      <c r="C654" t="inlineStr">
        <is>
          <t>YX-IAM</t>
        </is>
      </c>
      <c r="D654" t="inlineStr">
        <is>
          <t>1</t>
        </is>
      </c>
      <c r="E654" s="5" t="inlineStr">
        <is>
          <t>Account recovery for sensitive roles needs a second admin's approval, or identity re-verification. Recovery codes are single-use and shown once.</t>
        </is>
      </c>
      <c r="F654" t="inlineStr">
        <is>
          <t>Built + tested</t>
        </is>
      </c>
      <c r="H654">
        <f>IF(G654&lt;&gt;"",G654,F654)</f>
        <v/>
      </c>
      <c r="I654" t="n">
        <v>8</v>
      </c>
      <c r="J654" t="n">
        <v>4</v>
      </c>
      <c r="K654" t="n">
        <v>0</v>
      </c>
      <c r="L654" s="5" t="inlineStr">
        <is>
          <t>exam-app-login:apps/api/prisma/schema.prisma
exam-app-login:apps/api/src/auth/mfa-reset.service.ts
exam-app-login:apps/api/src/auth/mfa.controller.ts</t>
        </is>
      </c>
      <c r="M654" s="5" t="n"/>
    </row>
    <row r="655">
      <c r="A655" t="inlineStr">
        <is>
          <t>YX-SECOPS-01</t>
        </is>
      </c>
      <c r="B655" t="inlineStr">
        <is>
          <t>P12</t>
        </is>
      </c>
      <c r="C655" t="inlineStr">
        <is>
          <t>YX-SECOPS</t>
        </is>
      </c>
      <c r="D655" t="inlineStr">
        <is>
          <t>1</t>
        </is>
      </c>
      <c r="E655" s="5" t="inlineStr">
        <is>
          <t>All data is encrypted in transit (TLS 1.2+, HSTS) and at rest. Confidential and Special fields use envelope encryption with per-tenant data keys from a cloud KMS / HSM; keys rotate at least yearly (Q3).</t>
        </is>
      </c>
      <c r="F655" t="inlineStr">
        <is>
          <t>Verify (step done, not linked)</t>
        </is>
      </c>
      <c r="H655">
        <f>IF(G655&lt;&gt;"",G655,F655)</f>
        <v/>
      </c>
      <c r="I655" t="n">
        <v>0</v>
      </c>
      <c r="J655" t="n">
        <v>0</v>
      </c>
      <c r="K655" t="n">
        <v>0</v>
      </c>
      <c r="L655" s="5" t="inlineStr"/>
      <c r="M655" s="5" t="n"/>
    </row>
    <row r="656">
      <c r="A656" t="inlineStr">
        <is>
          <t>YX-SECOPS-02</t>
        </is>
      </c>
      <c r="B656" t="inlineStr">
        <is>
          <t>P12</t>
        </is>
      </c>
      <c r="C656" t="inlineStr">
        <is>
          <t>YX-SECOPS</t>
        </is>
      </c>
      <c r="D656" t="inlineStr">
        <is>
          <t>1</t>
        </is>
      </c>
      <c r="E656" s="5" t="inlineStr">
        <is>
          <t>Deleting a tenant destroys its data keys (crypto-shredding) after the P14 grace period. Backups that still hold its data become unreadable.</t>
        </is>
      </c>
      <c r="F656" t="inlineStr">
        <is>
          <t>Verify (step done, not linked)</t>
        </is>
      </c>
      <c r="H656">
        <f>IF(G656&lt;&gt;"",G656,F656)</f>
        <v/>
      </c>
      <c r="I656" t="n">
        <v>0</v>
      </c>
      <c r="J656" t="n">
        <v>0</v>
      </c>
      <c r="K656" t="n">
        <v>0</v>
      </c>
      <c r="L656" s="5" t="inlineStr"/>
      <c r="M656" s="5" t="n"/>
    </row>
    <row r="657">
      <c r="A657" t="inlineStr">
        <is>
          <t>YX-SECOPS-03</t>
        </is>
      </c>
      <c r="B657" t="inlineStr">
        <is>
          <t>P12</t>
        </is>
      </c>
      <c r="C657" t="inlineStr">
        <is>
          <t>YX-SECOPS</t>
        </is>
      </c>
      <c r="D657" t="inlineStr">
        <is>
          <t>1</t>
        </is>
      </c>
      <c r="E657" s="5" t="inlineStr">
        <is>
          <t>Secrets (DB, API, partner credentials) live only in a secrets manager, rotated per schedule. Never in code or images (gitleaks gate).</t>
        </is>
      </c>
      <c r="F657" t="inlineStr">
        <is>
          <t>Verify (step done, not linked)</t>
        </is>
      </c>
      <c r="H657">
        <f>IF(G657&lt;&gt;"",G657,F657)</f>
        <v/>
      </c>
      <c r="I657" t="n">
        <v>0</v>
      </c>
      <c r="J657" t="n">
        <v>0</v>
      </c>
      <c r="K657" t="n">
        <v>0</v>
      </c>
      <c r="L657" s="5" t="inlineStr"/>
      <c r="M657" s="5" t="n"/>
    </row>
    <row r="658">
      <c r="A658" t="inlineStr">
        <is>
          <t>YX-SECOPS-04</t>
        </is>
      </c>
      <c r="B658" t="inlineStr">
        <is>
          <t>P12</t>
        </is>
      </c>
      <c r="C658" t="inlineStr">
        <is>
          <t>YX-SECOPS</t>
        </is>
      </c>
      <c r="D658" t="inlineStr">
        <is>
          <t>1</t>
        </is>
      </c>
      <c r="E658" s="5" t="inlineStr">
        <is>
          <t>Secure SDLC gates in CI: dependency scan, SAST, secret scan, container / IaC scan, SBOM per release; DAST on staging before each release. A release is blocked on open Critical / High findings unless formally risk-accepted.</t>
        </is>
      </c>
      <c r="F658" t="inlineStr">
        <is>
          <t>Verify (step done, not linked)</t>
        </is>
      </c>
      <c r="H658">
        <f>IF(G658&lt;&gt;"",G658,F658)</f>
        <v/>
      </c>
      <c r="I658" t="n">
        <v>0</v>
      </c>
      <c r="J658" t="n">
        <v>0</v>
      </c>
      <c r="K658" t="n">
        <v>0</v>
      </c>
      <c r="L658" s="5" t="inlineStr"/>
      <c r="M658" s="5" t="n"/>
    </row>
    <row r="659">
      <c r="A659" t="inlineStr">
        <is>
          <t>YX-SECOPS-05</t>
        </is>
      </c>
      <c r="B659" t="inlineStr">
        <is>
          <t>P12</t>
        </is>
      </c>
      <c r="C659" t="inlineStr">
        <is>
          <t>YX-SECOPS</t>
        </is>
      </c>
      <c r="D659" t="inlineStr">
        <is>
          <t>1</t>
        </is>
      </c>
      <c r="E659" s="5" t="inlineStr">
        <is>
          <t>Vulnerability SLAs (Q5): Critical 72 h, High 14 days, Medium 45 days, Low 90 days, from triage.</t>
        </is>
      </c>
      <c r="F659" t="inlineStr">
        <is>
          <t>Verify (step done, not linked)</t>
        </is>
      </c>
      <c r="H659">
        <f>IF(G659&lt;&gt;"",G659,F659)</f>
        <v/>
      </c>
      <c r="I659" t="n">
        <v>0</v>
      </c>
      <c r="J659" t="n">
        <v>0</v>
      </c>
      <c r="K659" t="n">
        <v>0</v>
      </c>
      <c r="L659" s="5" t="inlineStr"/>
      <c r="M659" s="5" t="n"/>
    </row>
    <row r="660">
      <c r="A660" t="inlineStr">
        <is>
          <t>YX-SECOPS-06</t>
        </is>
      </c>
      <c r="B660" t="inlineStr">
        <is>
          <t>P12</t>
        </is>
      </c>
      <c r="C660" t="inlineStr">
        <is>
          <t>YX-SECOPS</t>
        </is>
      </c>
      <c r="D660" t="inlineStr">
        <is>
          <t>1</t>
        </is>
      </c>
      <c r="E660" s="5" t="inlineStr">
        <is>
          <t>An independent penetration test happens before the payroll pilot, before public launch, then yearly and after major architecture changes (Q5). Findings are tracked in vulnerabilities.</t>
        </is>
      </c>
      <c r="F660" t="inlineStr">
        <is>
          <t>Verify (step done, not linked)</t>
        </is>
      </c>
      <c r="H660">
        <f>IF(G660&lt;&gt;"",G660,F660)</f>
        <v/>
      </c>
      <c r="I660" t="n">
        <v>0</v>
      </c>
      <c r="J660" t="n">
        <v>0</v>
      </c>
      <c r="K660" t="n">
        <v>0</v>
      </c>
      <c r="L660" s="5" t="inlineStr"/>
      <c r="M660" s="5" t="n"/>
    </row>
    <row r="661">
      <c r="A661" t="inlineStr">
        <is>
          <t>YX-SECOPS-07</t>
        </is>
      </c>
      <c r="B661" t="inlineStr">
        <is>
          <t>P12</t>
        </is>
      </c>
      <c r="C661" t="inlineStr">
        <is>
          <t>YX-SECOPS</t>
        </is>
      </c>
      <c r="D661" t="inlineStr">
        <is>
          <t>1</t>
        </is>
      </c>
      <c r="E661" s="5" t="inlineStr">
        <is>
          <t>Incident response follows a written plan with severities and roles. Regulatory and customer notifications follow Q6 timelines (incl. CERT-In 6-hour reporting, and DPDP breach intimation to the Data Protection Board and affected Data Principals without delay with a detailed Board report within 72 hours, P02 YX-SEC-32). Security, processing and traffic logs are kept at least 1 year (DPDP Rules 2025 security safeguards; longer where another law requires), which also satisfies CERT-In's 180 days (amended C3). Every incident gets a post-mortem.</t>
        </is>
      </c>
      <c r="F661" t="inlineStr">
        <is>
          <t>Verify (step done, not linked)</t>
        </is>
      </c>
      <c r="H661">
        <f>IF(G661&lt;&gt;"",G661,F661)</f>
        <v/>
      </c>
      <c r="I661" t="n">
        <v>0</v>
      </c>
      <c r="J661" t="n">
        <v>0</v>
      </c>
      <c r="K661" t="n">
        <v>0</v>
      </c>
      <c r="L661" s="5" t="inlineStr"/>
      <c r="M661" s="5" t="n"/>
    </row>
    <row r="662">
      <c r="A662" t="inlineStr">
        <is>
          <t>YX-SECOPS-08</t>
        </is>
      </c>
      <c r="B662" t="inlineStr">
        <is>
          <t>P12</t>
        </is>
      </c>
      <c r="C662" t="inlineStr">
        <is>
          <t>YX-SECOPS</t>
        </is>
      </c>
      <c r="D662" t="inlineStr">
        <is>
          <t>1</t>
        </is>
      </c>
      <c r="E662" s="5" t="inlineStr">
        <is>
          <t>YukthiX staff access follows Q7: individual accounts only, hardware-key MFA, least privilege, just-in-time elevation with approval, and tenant data only via P02 support sessions / proctor grants. All staff actions are audited.</t>
        </is>
      </c>
      <c r="F662" t="inlineStr">
        <is>
          <t>Verify (step done, not linked)</t>
        </is>
      </c>
      <c r="H662">
        <f>IF(G662&lt;&gt;"",G662,F662)</f>
        <v/>
      </c>
      <c r="I662" t="n">
        <v>0</v>
      </c>
      <c r="J662" t="n">
        <v>0</v>
      </c>
      <c r="K662" t="n">
        <v>0</v>
      </c>
      <c r="L662" s="5" t="inlineStr"/>
      <c r="M662" s="5" t="n"/>
    </row>
    <row r="663">
      <c r="A663" t="inlineStr">
        <is>
          <t>YX-SECOPS-09</t>
        </is>
      </c>
      <c r="B663" t="inlineStr">
        <is>
          <t>P12</t>
        </is>
      </c>
      <c r="C663" t="inlineStr">
        <is>
          <t>YX-SECOPS</t>
        </is>
      </c>
      <c r="D663" t="inlineStr">
        <is>
          <t>1</t>
        </is>
      </c>
      <c r="E663" s="5" t="inlineStr">
        <is>
          <t>Sub-processors are security-assessed before onboarding and yearly (the partners from D15 / P10). The list is published (APX-G), and changes are notified to tenants 30 days ahead.</t>
        </is>
      </c>
      <c r="F663" t="inlineStr">
        <is>
          <t>Verify (step done, not linked)</t>
        </is>
      </c>
      <c r="H663">
        <f>IF(G663&lt;&gt;"",G663,F663)</f>
        <v/>
      </c>
      <c r="I663" t="n">
        <v>0</v>
      </c>
      <c r="J663" t="n">
        <v>0</v>
      </c>
      <c r="K663" t="n">
        <v>0</v>
      </c>
      <c r="L663" s="5" t="inlineStr"/>
      <c r="M663" s="5" t="n"/>
    </row>
    <row r="664">
      <c r="A664" t="inlineStr">
        <is>
          <t>YX-SECOPS-10</t>
        </is>
      </c>
      <c r="B664" t="inlineStr">
        <is>
          <t>P12</t>
        </is>
      </c>
      <c r="C664" t="inlineStr">
        <is>
          <t>YX-SECOPS</t>
        </is>
      </c>
      <c r="D664" t="inlineStr">
        <is>
          <t>1</t>
        </is>
      </c>
      <c r="E664" s="5" t="inlineStr">
        <is>
          <t>Security certifications follow the Q4 roadmap. Controls are mapped once and evidence is collected continuously (tooling), not per audit.</t>
        </is>
      </c>
      <c r="F664" t="inlineStr">
        <is>
          <t>Verify (step done, not linked)</t>
        </is>
      </c>
      <c r="H664">
        <f>IF(G664&lt;&gt;"",G664,F664)</f>
        <v/>
      </c>
      <c r="I664" t="n">
        <v>0</v>
      </c>
      <c r="J664" t="n">
        <v>0</v>
      </c>
      <c r="K664" t="n">
        <v>0</v>
      </c>
      <c r="L664" s="5" t="inlineStr"/>
      <c r="M664" s="5" t="n"/>
    </row>
    <row r="665">
      <c r="A665" t="inlineStr">
        <is>
          <t>YX-SECOPS-11</t>
        </is>
      </c>
      <c r="B665" t="inlineStr">
        <is>
          <t>P12</t>
        </is>
      </c>
      <c r="C665" t="inlineStr">
        <is>
          <t>YX-SECOPS</t>
        </is>
      </c>
      <c r="D665" t="inlineStr">
        <is>
          <t>1</t>
        </is>
      </c>
      <c r="E665" s="5" t="inlineStr">
        <is>
          <t>Bring your own key (BYOK) is available from day one: a tenant may connect a customer-managed key in Azure Key Vault, AWS KMS or Google Cloud KMS, granting YukthiX wrap / unwrap only. The tenant's data keys are wrapped by that key, key health is checked continuously, and admins are alerted on access failures. If the tenant disables or revokes the key, its encrypted data becomes unreadable; the product shows this consequence and requires typed confirmation before connecting or rotating, and logs every key operation (P08). BYOK is included in the plan (D15).</t>
        </is>
      </c>
      <c r="F665" t="inlineStr">
        <is>
          <t>Verify (step done, not linked)</t>
        </is>
      </c>
      <c r="H665">
        <f>IF(G665&lt;&gt;"",G665,F665)</f>
        <v/>
      </c>
      <c r="I665" t="n">
        <v>0</v>
      </c>
      <c r="J665" t="n">
        <v>0</v>
      </c>
      <c r="K665" t="n">
        <v>0</v>
      </c>
      <c r="L665" s="5" t="inlineStr"/>
      <c r="M665" s="5" t="n"/>
    </row>
    <row r="666">
      <c r="A666" t="inlineStr">
        <is>
          <t>YX-SECOPS-12</t>
        </is>
      </c>
      <c r="B666" t="inlineStr">
        <is>
          <t>P12</t>
        </is>
      </c>
      <c r="C666" t="inlineStr">
        <is>
          <t>YX-SECOPS</t>
        </is>
      </c>
      <c r="D666" t="inlineStr">
        <is>
          <t>1</t>
        </is>
      </c>
      <c r="E666" s="5" t="inlineStr">
        <is>
          <t>Tenant breach containment. A single "contain" action (YukthiX security on-call, or a tenant owner for their own tenant, with a reason and step-up auth) at once: revokes all sessions, API keys, OAuth and partner grants; forces re-auth with MFA for every user; freezes bank-detail changes, bulk exports and payout release; shows an incident banner to the tenant's users. Lifting containment is a separate audited action needing two people; frozen items resume only after the lift. The action opens the DPDP / CERT-In breach clock record (YX-SECOPS-07).</t>
        </is>
      </c>
      <c r="F666" t="inlineStr">
        <is>
          <t>Verify (step done, not linked)</t>
        </is>
      </c>
      <c r="H666">
        <f>IF(G666&lt;&gt;"",G666,F666)</f>
        <v/>
      </c>
      <c r="I666" t="n">
        <v>0</v>
      </c>
      <c r="J666" t="n">
        <v>0</v>
      </c>
      <c r="K666" t="n">
        <v>0</v>
      </c>
      <c r="L666" s="5" t="inlineStr"/>
      <c r="M666" s="5" t="n"/>
    </row>
    <row r="667">
      <c r="A667" t="inlineStr">
        <is>
          <t>YX-BILL-01</t>
        </is>
      </c>
      <c r="B667" t="inlineStr">
        <is>
          <t>P14</t>
        </is>
      </c>
      <c r="C667" t="inlineStr">
        <is>
          <t>YX-BILL</t>
        </is>
      </c>
      <c r="D667" t="inlineStr">
        <is>
          <t>3</t>
        </is>
      </c>
      <c r="E667" s="5" t="inlineStr">
        <is>
          <t>Each product has exactly one plan. Tenants buy products and add-ons, never tiers (D15). The bundle discount applies automatically for 2+ products.</t>
        </is>
      </c>
      <c r="F667" t="inlineStr">
        <is>
          <t>Not started</t>
        </is>
      </c>
      <c r="H667">
        <f>IF(G667&lt;&gt;"",G667,F667)</f>
        <v/>
      </c>
      <c r="I667" t="n">
        <v>0</v>
      </c>
      <c r="J667" t="n">
        <v>0</v>
      </c>
      <c r="K667" t="n">
        <v>0</v>
      </c>
      <c r="L667" s="5" t="inlineStr"/>
      <c r="M667" s="5" t="n"/>
    </row>
    <row r="668">
      <c r="A668" t="inlineStr">
        <is>
          <t>YX-BILL-02</t>
        </is>
      </c>
      <c r="B668" t="inlineStr">
        <is>
          <t>P14</t>
        </is>
      </c>
      <c r="C668" t="inlineStr">
        <is>
          <t>YX-BILL</t>
        </is>
      </c>
      <c r="D668" t="inlineStr">
        <is>
          <t>3</t>
        </is>
      </c>
      <c r="E668" s="5" t="inlineStr">
        <is>
          <t>Billable units are counted from the meter ledger using the Q1 / Q2 definitions. Every invoice line links to the monthly snapshot and the list of counted ids, which the tenant can download. Amended 28 Sep 2026 (validation pass 3, J15b): a billable unit is counted once per person per product per tenant per month across all the tenant's legal entities, using the P01 person record; a person transferred between entities in the month, or employed by two entities at once, is one unit. For accounting, the HRMS line shows the cost split by legal entity, pro-rata by days active in each entity that month</t>
        </is>
      </c>
      <c r="F668" t="inlineStr">
        <is>
          <t>Not started</t>
        </is>
      </c>
      <c r="H668">
        <f>IF(G668&lt;&gt;"",G668,F668)</f>
        <v/>
      </c>
      <c r="I668" t="n">
        <v>0</v>
      </c>
      <c r="J668" t="n">
        <v>0</v>
      </c>
      <c r="K668" t="n">
        <v>0</v>
      </c>
      <c r="L668" s="5" t="inlineStr"/>
      <c r="M668" s="5" t="n"/>
    </row>
    <row r="669">
      <c r="A669" t="inlineStr">
        <is>
          <t>YX-BILL-03</t>
        </is>
      </c>
      <c r="B669" t="inlineStr">
        <is>
          <t>P14</t>
        </is>
      </c>
      <c r="C669" t="inlineStr">
        <is>
          <t>YX-BILL</t>
        </is>
      </c>
      <c r="D669" t="inlineStr">
        <is>
          <t>3</t>
        </is>
      </c>
      <c r="E669" s="5" t="inlineStr">
        <is>
          <t>Not billed: pre-boarders, alumni and nominees, external logins (YX-SEC-21), ATS hiring managers and panel, practice attempts, and attempts reset for a technical failure (T03). Amended 28 Sep 2026 (J15b): also never billed again: a second or later employment, consultant engagement or entity assignment of the same person in the same product and month (YX-BILL-02).</t>
        </is>
      </c>
      <c r="F669" t="inlineStr">
        <is>
          <t>Not started</t>
        </is>
      </c>
      <c r="H669">
        <f>IF(G669&lt;&gt;"",G669,F669)</f>
        <v/>
      </c>
      <c r="I669" t="n">
        <v>0</v>
      </c>
      <c r="J669" t="n">
        <v>0</v>
      </c>
      <c r="K669" t="n">
        <v>0</v>
      </c>
      <c r="L669" s="5" t="inlineStr"/>
      <c r="M669" s="5" t="n"/>
    </row>
    <row r="670">
      <c r="A670" t="inlineStr">
        <is>
          <t>YX-BILL-04</t>
        </is>
      </c>
      <c r="B670" t="inlineStr">
        <is>
          <t>P14</t>
        </is>
      </c>
      <c r="C670" t="inlineStr">
        <is>
          <t>YX-BILL</t>
        </is>
      </c>
      <c r="D670" t="inlineStr">
        <is>
          <t>3</t>
        </is>
      </c>
      <c r="E670" s="5" t="inlineStr">
        <is>
          <t>Invoices are GST tax invoices with correct place of supply and tax split, SAC code, both GSTINs, and e-invoice IRN / QR when YukthiX's turnover requires it. Corrections are made only by credit note.</t>
        </is>
      </c>
      <c r="F670" t="inlineStr">
        <is>
          <t>Not started</t>
        </is>
      </c>
      <c r="H670">
        <f>IF(G670&lt;&gt;"",G670,F670)</f>
        <v/>
      </c>
      <c r="I670" t="n">
        <v>0</v>
      </c>
      <c r="J670" t="n">
        <v>0</v>
      </c>
      <c r="K670" t="n">
        <v>0</v>
      </c>
      <c r="L670" s="5" t="inlineStr"/>
      <c r="M670" s="5" t="n"/>
    </row>
    <row r="671">
      <c r="A671" t="inlineStr">
        <is>
          <t>YX-BILL-05</t>
        </is>
      </c>
      <c r="B671" t="inlineStr">
        <is>
          <t>P14</t>
        </is>
      </c>
      <c r="C671" t="inlineStr">
        <is>
          <t>YX-BILL</t>
        </is>
      </c>
      <c r="D671" t="inlineStr">
        <is>
          <t>3</t>
        </is>
      </c>
      <c r="E671" s="5" t="inlineStr">
        <is>
          <t>Payment methods follow Q3. Card / bank credentials are never stored by YukthiX (gateway tokens only).</t>
        </is>
      </c>
      <c r="F671" t="inlineStr">
        <is>
          <t>Not started</t>
        </is>
      </c>
      <c r="H671">
        <f>IF(G671&lt;&gt;"",G671,F671)</f>
        <v/>
      </c>
      <c r="I671" t="n">
        <v>0</v>
      </c>
      <c r="J671" t="n">
        <v>0</v>
      </c>
      <c r="K671" t="n">
        <v>0</v>
      </c>
      <c r="L671" s="5" t="inlineStr"/>
      <c r="M671" s="5" t="n"/>
    </row>
    <row r="672">
      <c r="A672" t="inlineStr">
        <is>
          <t>YX-BILL-06</t>
        </is>
      </c>
      <c r="B672" t="inlineStr">
        <is>
          <t>P14</t>
        </is>
      </c>
      <c r="C672" t="inlineStr">
        <is>
          <t>YX-BILL</t>
        </is>
      </c>
      <c r="D672" t="inlineStr">
        <is>
          <t>3</t>
        </is>
      </c>
      <c r="E672" s="5" t="inlineStr">
        <is>
          <t>Plan changes: adding a product or add-on is prorated immediately; removing one takes effect at period end. Annual plans true up billable units monthly or quarterly in arrears (Q3).</t>
        </is>
      </c>
      <c r="F672" t="inlineStr">
        <is>
          <t>Not started</t>
        </is>
      </c>
      <c r="H672">
        <f>IF(G672&lt;&gt;"",G672,F672)</f>
        <v/>
      </c>
      <c r="I672" t="n">
        <v>0</v>
      </c>
      <c r="J672" t="n">
        <v>0</v>
      </c>
      <c r="K672" t="n">
        <v>0</v>
      </c>
      <c r="L672" s="5" t="inlineStr"/>
      <c r="M672" s="5" t="n"/>
    </row>
    <row r="673">
      <c r="A673" t="inlineStr">
        <is>
          <t>YX-BILL-07</t>
        </is>
      </c>
      <c r="B673" t="inlineStr">
        <is>
          <t>P14</t>
        </is>
      </c>
      <c r="C673" t="inlineStr">
        <is>
          <t>YX-BILL</t>
        </is>
      </c>
      <c r="D673" t="inlineStr">
        <is>
          <t>3</t>
        </is>
      </c>
      <c r="E673" s="5" t="inlineStr">
        <is>
          <t>Fair-use limits are shown on the usage page. Alerts go out at 80 % and 100 %. Overage follows the add-on's billing mode and cap (P04 Q3). A hard cap never blocks statutory or mandatory messages (YX-NTF-14).</t>
        </is>
      </c>
      <c r="F673" t="inlineStr">
        <is>
          <t>Not started</t>
        </is>
      </c>
      <c r="H673">
        <f>IF(G673&lt;&gt;"",G673,F673)</f>
        <v/>
      </c>
      <c r="I673" t="n">
        <v>0</v>
      </c>
      <c r="J673" t="n">
        <v>0</v>
      </c>
      <c r="K673" t="n">
        <v>0</v>
      </c>
      <c r="L673" s="5" t="inlineStr"/>
      <c r="M673" s="5" t="n"/>
    </row>
    <row r="674">
      <c r="A674" t="inlineStr">
        <is>
          <t>YX-BILL-08</t>
        </is>
      </c>
      <c r="B674" t="inlineStr">
        <is>
          <t>P14</t>
        </is>
      </c>
      <c r="C674" t="inlineStr">
        <is>
          <t>YX-BILL</t>
        </is>
      </c>
      <c r="D674" t="inlineStr">
        <is>
          <t>3</t>
        </is>
      </c>
      <c r="E674" s="5" t="inlineStr">
        <is>
          <t>Partner add-on usage is metered per call with the partner reference, so pass-through charges are auditable.</t>
        </is>
      </c>
      <c r="F674" t="inlineStr">
        <is>
          <t>Not started</t>
        </is>
      </c>
      <c r="H674">
        <f>IF(G674&lt;&gt;"",G674,F674)</f>
        <v/>
      </c>
      <c r="I674" t="n">
        <v>0</v>
      </c>
      <c r="J674" t="n">
        <v>0</v>
      </c>
      <c r="K674" t="n">
        <v>0</v>
      </c>
      <c r="L674" s="5" t="inlineStr"/>
      <c r="M674" s="5" t="n"/>
    </row>
    <row r="675">
      <c r="A675" t="inlineStr">
        <is>
          <t>YX-BILL-09</t>
        </is>
      </c>
      <c r="B675" t="inlineStr">
        <is>
          <t>P14</t>
        </is>
      </c>
      <c r="C675" t="inlineStr">
        <is>
          <t>YX-BILL</t>
        </is>
      </c>
      <c r="D675" t="inlineStr">
        <is>
          <t>3</t>
        </is>
      </c>
      <c r="E675" s="5" t="inlineStr">
        <is>
          <t xml:space="preserve">Unit economics guard (D18): each product's fully loaded running cost per billable unit (infrastructure, gateway fees, messaging included in the base, support, security programme share) is tracked monthly in the platform console against the $1 price; any feature whose per-unit cost would push this above the agreed margin must be metered as an add-on before release. A small minimum monthly amount applies per product. Margin test (27 Sep 2026): fully loaded cost per unit must be ≤ 40 % of the unit price from month 18 after launch; earlier months are expected to run at a loss because the security </t>
        </is>
      </c>
      <c r="F675" t="inlineStr">
        <is>
          <t>Not started</t>
        </is>
      </c>
      <c r="H675">
        <f>IF(G675&lt;&gt;"",G675,F675)</f>
        <v/>
      </c>
      <c r="I675" t="n">
        <v>0</v>
      </c>
      <c r="J675" t="n">
        <v>0</v>
      </c>
      <c r="K675" t="n">
        <v>0</v>
      </c>
      <c r="L675" s="5" t="inlineStr"/>
      <c r="M675" s="5" t="n"/>
    </row>
    <row r="676">
      <c r="A676" t="inlineStr">
        <is>
          <t>YX-BILL-10</t>
        </is>
      </c>
      <c r="B676" t="inlineStr">
        <is>
          <t>P14</t>
        </is>
      </c>
      <c r="C676" t="inlineStr">
        <is>
          <t>YX-BILL</t>
        </is>
      </c>
      <c r="D676" t="inlineStr">
        <is>
          <t>3</t>
        </is>
      </c>
      <c r="E676" s="5" t="inlineStr">
        <is>
          <t>Consultants (A8): each consultant paid in the billing month (at least one approved invoice paid through M03 in that month, YX-PAY-38) counts as one HRMS billable unit, however many invoices are paid (amended 28 Sep 2026, J15b: once per person across all legal entities, and not again if the same person is also a billable employee that month, YX-BILL-02); they are listed in the monthly snapshot with the reason "consultant paid". The Consultant login itself is never billed (YX-BILL-03); a registered consultant with no payment that month is not counted.</t>
        </is>
      </c>
      <c r="F676" t="inlineStr">
        <is>
          <t>Not started</t>
        </is>
      </c>
      <c r="H676">
        <f>IF(G676&lt;&gt;"",G676,F676)</f>
        <v/>
      </c>
      <c r="I676" t="n">
        <v>0</v>
      </c>
      <c r="J676" t="n">
        <v>0</v>
      </c>
      <c r="K676" t="n">
        <v>0</v>
      </c>
      <c r="L676" s="5" t="inlineStr"/>
      <c r="M676" s="5" t="n"/>
    </row>
    <row r="677">
      <c r="A677" t="inlineStr">
        <is>
          <t>YX-BILL-11</t>
        </is>
      </c>
      <c r="B677" t="inlineStr">
        <is>
          <t>P14</t>
        </is>
      </c>
      <c r="C677" t="inlineStr">
        <is>
          <t>YX-BILL</t>
        </is>
      </c>
      <c r="D677" t="inlineStr">
        <is>
          <t>3</t>
        </is>
      </c>
      <c r="E677" s="5" t="inlineStr">
        <is>
          <t>Partner add-ons with outside costs (26 Sep 2026): the connector or integration for every partner service (EWA, benchmarking data, learning content, Aadhaar eKYC / DigiLocker, job boards) is included in the price (D18); only the partner's own charge is an add-on, metered per use (YX-BILL-08) or billed by the partner directly. Job-board posting fees are never billed by YukthiX: they stay on the customer's own board account. EWA funds are provided by the regulated partner; YukthiX never lends, holds or guarantees them.</t>
        </is>
      </c>
      <c r="F677" t="inlineStr">
        <is>
          <t>Not started</t>
        </is>
      </c>
      <c r="H677">
        <f>IF(G677&lt;&gt;"",G677,F677)</f>
        <v/>
      </c>
      <c r="I677" t="n">
        <v>0</v>
      </c>
      <c r="J677" t="n">
        <v>0</v>
      </c>
      <c r="K677" t="n">
        <v>0</v>
      </c>
      <c r="L677" s="5" t="inlineStr"/>
      <c r="M677" s="5" t="n"/>
    </row>
    <row r="678">
      <c r="A678" t="inlineStr">
        <is>
          <t>YX-BILL-12</t>
        </is>
      </c>
      <c r="B678" t="inlineStr">
        <is>
          <t>P14</t>
        </is>
      </c>
      <c r="C678" t="inlineStr">
        <is>
          <t>YX-BILL</t>
        </is>
      </c>
      <c r="D678" t="inlineStr">
        <is>
          <t>3</t>
        </is>
      </c>
      <c r="E678" s="5" t="inlineStr">
        <is>
          <t>Billing starts at go-live, never at signature (G1): the meter for a product starts on the day the tenant marks that product live (for HRMS: the go-live date or the first live payroll run, whichever comes first); the Q4 trial covers set-up and data migration; self-service onboarding carries no implementation fee (only assisted migration is paid, P15 Q3 / D18).</t>
        </is>
      </c>
      <c r="F678" t="inlineStr">
        <is>
          <t>Not started</t>
        </is>
      </c>
      <c r="H678">
        <f>IF(G678&lt;&gt;"",G678,F678)</f>
        <v/>
      </c>
      <c r="I678" t="n">
        <v>0</v>
      </c>
      <c r="J678" t="n">
        <v>0</v>
      </c>
      <c r="K678" t="n">
        <v>0</v>
      </c>
      <c r="L678" s="5" t="inlineStr"/>
      <c r="M678" s="5" t="n"/>
    </row>
    <row r="679">
      <c r="A679" t="inlineStr">
        <is>
          <t>YX-BILL-13</t>
        </is>
      </c>
      <c r="B679" t="inlineStr">
        <is>
          <t>P14</t>
        </is>
      </c>
      <c r="C679" t="inlineStr">
        <is>
          <t>YX-BILL</t>
        </is>
      </c>
      <c r="D679" t="inlineStr">
        <is>
          <t>3</t>
        </is>
      </c>
      <c r="E679" s="5" t="inlineStr">
        <is>
          <t>Price and change commitments (G2): at least 90 days' notice to every tenant's admins and billing contact before any list-price change; an annual term's price never changes mid-term; a feature is removed only with at least 6 months' notice and an export path for its data (YX-TEN-05); annual renewals are announced 30 and 7 days before the renewal date with the renewal price; monthly plans can be cancelled at any time from Settings › Billing &amp; Account, effective at period end (YX-BILL-06).</t>
        </is>
      </c>
      <c r="F679" t="inlineStr">
        <is>
          <t>Not started</t>
        </is>
      </c>
      <c r="H679">
        <f>IF(G679&lt;&gt;"",G679,F679)</f>
        <v/>
      </c>
      <c r="I679" t="n">
        <v>0</v>
      </c>
      <c r="J679" t="n">
        <v>0</v>
      </c>
      <c r="K679" t="n">
        <v>0</v>
      </c>
      <c r="L679" s="5" t="inlineStr"/>
      <c r="M679" s="5" t="n"/>
    </row>
    <row r="680">
      <c r="A680" t="inlineStr">
        <is>
          <t>YX-BILL-14</t>
        </is>
      </c>
      <c r="B680" t="inlineStr">
        <is>
          <t>P14</t>
        </is>
      </c>
      <c r="C680" t="inlineStr">
        <is>
          <t>YX-BILL</t>
        </is>
      </c>
      <c r="D680" t="inlineStr">
        <is>
          <t>3</t>
        </is>
      </c>
      <c r="E680" s="5" t="inlineStr">
        <is>
          <t xml:space="preserve">Published price list (G3): the price of every product and add-on, the bundle / annual / band discounts and the per-product minimum monthly amount (YX-BILL-09) are published on the website and shown in the app before purchase and on every invoice; the minimum is kept low enough that a 5-person company pays a few dollars a month, never a seat floor. No unpublished price applies to a self-service customer. Team action: set the exact minimum (D18 example: 10 units). Exact minimums (decided 27 Sep 2026): HRMS ₹499 (US $5), ATS ₹999 ($10), Proctoring ₹999 ($10) charged only in a month with at least </t>
        </is>
      </c>
      <c r="F680" t="inlineStr">
        <is>
          <t>Not started</t>
        </is>
      </c>
      <c r="H680">
        <f>IF(G680&lt;&gt;"",G680,F680)</f>
        <v/>
      </c>
      <c r="I680" t="n">
        <v>0</v>
      </c>
      <c r="J680" t="n">
        <v>0</v>
      </c>
      <c r="K680" t="n">
        <v>0</v>
      </c>
      <c r="L680" s="5" t="inlineStr"/>
      <c r="M680" s="5" t="n"/>
    </row>
    <row r="681">
      <c r="A681" t="inlineStr">
        <is>
          <t>YX-BILL-15</t>
        </is>
      </c>
      <c r="B681" t="inlineStr">
        <is>
          <t>P14</t>
        </is>
      </c>
      <c r="C681" t="inlineStr">
        <is>
          <t>YX-BILL</t>
        </is>
      </c>
      <c r="D681" t="inlineStr">
        <is>
          <t>3</t>
        </is>
      </c>
      <c r="E681" s="5" t="inlineStr">
        <is>
          <t xml:space="preserve">Payment rails and bank-rail discount (27 Sep 2026): the default payment method is bank auto-debit (e-NACH) for monthly plans and NEFT / RTGS for annual invoices; UPI Autopay is offered below ₹15,000 a month and cards stay available at list price. Tenants paying by e-NACH, UPI Autopay or NEFT receive a 2 % bank-rail discount shown as a discount line, never a card surcharge. Every tenant gets a virtual account number so bank transfers reconcile automatically; unmatched receipts are surfaced in the Jobs &amp; errors page (YX-INT-10). Non-INR customers pay by annual prepay, ACH or SEPA; international </t>
        </is>
      </c>
      <c r="F681" t="inlineStr">
        <is>
          <t>Not started</t>
        </is>
      </c>
      <c r="H681">
        <f>IF(G681&lt;&gt;"",G681,F681)</f>
        <v/>
      </c>
      <c r="I681" t="n">
        <v>0</v>
      </c>
      <c r="J681" t="n">
        <v>0</v>
      </c>
      <c r="K681" t="n">
        <v>0</v>
      </c>
      <c r="L681" s="5" t="inlineStr"/>
      <c r="M681" s="5" t="n"/>
    </row>
    <row r="682">
      <c r="A682" t="inlineStr">
        <is>
          <t>YX-BILL-16</t>
        </is>
      </c>
      <c r="B682" t="inlineStr">
        <is>
          <t>P14</t>
        </is>
      </c>
      <c r="C682" t="inlineStr">
        <is>
          <t>YX-BILL</t>
        </is>
      </c>
      <c r="D682" t="inlineStr">
        <is>
          <t>3</t>
        </is>
      </c>
      <c r="E682" s="5" t="inlineStr">
        <is>
          <t>Export invoices under LUT (S12, 28 Sep 2026): an invoice to a customer outside India that qualifies as an export of services is zero-rated under YukthiX's GST Letter of Undertaking (LUT): no IGST is charged; the invoice carries the LUT reference (ARN and financial year), the words "Supply meant for export under LUT without payment of IGST", the customer's country and currency, and the INR value at the applicable exchange rate. The LUT is filed every financial year, before the first export invoice of that year; the billing engine refuses to issue an export invoice without a valid lut_registrati</t>
        </is>
      </c>
      <c r="F682" t="inlineStr">
        <is>
          <t>Not started</t>
        </is>
      </c>
      <c r="H682">
        <f>IF(G682&lt;&gt;"",G682,F682)</f>
        <v/>
      </c>
      <c r="I682" t="n">
        <v>0</v>
      </c>
      <c r="J682" t="n">
        <v>0</v>
      </c>
      <c r="K682" t="n">
        <v>0</v>
      </c>
      <c r="L682" s="5" t="inlineStr"/>
      <c r="M682" s="5" t="n"/>
    </row>
    <row r="683">
      <c r="A683" t="inlineStr">
        <is>
          <t>YX-BILL-17</t>
        </is>
      </c>
      <c r="B683" t="inlineStr">
        <is>
          <t>P14</t>
        </is>
      </c>
      <c r="C683" t="inlineStr">
        <is>
          <t>YX-BILL</t>
        </is>
      </c>
      <c r="D683" t="inlineStr">
        <is>
          <t>3</t>
        </is>
      </c>
      <c r="E683" s="5" t="inlineStr">
        <is>
          <t>Foreign receipts reconciliation (S12): every foreign-currency receipt is matched to its export invoice(s) and to a FIRC or e-BRC; unmatched or short-realised receipts (bank charges, exchange difference) stay in the console billing queue until resolved, and the realised INR value is recorded for the GST return and the accounts.</t>
        </is>
      </c>
      <c r="F683" t="inlineStr">
        <is>
          <t>UI prototype only</t>
        </is>
      </c>
      <c r="H683">
        <f>IF(G683&lt;&gt;"",G683,F683)</f>
        <v/>
      </c>
      <c r="I683" t="n">
        <v>0</v>
      </c>
      <c r="J683" t="n">
        <v>0</v>
      </c>
      <c r="K683" t="n">
        <v>1</v>
      </c>
      <c r="L683" s="5" t="inlineStr"/>
      <c r="M683" s="5" t="n"/>
    </row>
    <row r="684">
      <c r="A684" t="inlineStr">
        <is>
          <t>YX-BILL-18</t>
        </is>
      </c>
      <c r="B684" t="inlineStr">
        <is>
          <t>P14</t>
        </is>
      </c>
      <c r="C684" t="inlineStr">
        <is>
          <t>YX-BILL</t>
        </is>
      </c>
      <c r="D684" t="inlineStr">
        <is>
          <t>3</t>
        </is>
      </c>
      <c r="E684" s="5" t="inlineStr">
        <is>
          <t>Go-live payment readiness. The first payroll can run while the auto-debit mandate is pending (one grace run; that invoice is paid by bank transfer). Salary payout is released only when payout partner KYB is approved, the funding / virtual account is set up and a balance check shows enough funds. If the balance is short, the admin chooses a partial payout (selected people) or waits; unpaid lines stay open and are never marked paid. Readiness is a go-live checklist item.</t>
        </is>
      </c>
      <c r="F684" t="inlineStr">
        <is>
          <t>UI prototype only</t>
        </is>
      </c>
      <c r="H684">
        <f>IF(G684&lt;&gt;"",G684,F684)</f>
        <v/>
      </c>
      <c r="I684" t="n">
        <v>0</v>
      </c>
      <c r="J684" t="n">
        <v>0</v>
      </c>
      <c r="K684" t="n">
        <v>1</v>
      </c>
      <c r="L684" s="5" t="inlineStr"/>
      <c r="M684" s="5" t="n"/>
    </row>
    <row r="685">
      <c r="A685" t="inlineStr">
        <is>
          <t>YX-BILL-19</t>
        </is>
      </c>
      <c r="B685" t="inlineStr">
        <is>
          <t>P14</t>
        </is>
      </c>
      <c r="C685" t="inlineStr">
        <is>
          <t>YX-BILL</t>
        </is>
      </c>
      <c r="D685" t="inlineStr">
        <is>
          <t>3</t>
        </is>
      </c>
      <c r="E685" s="5" t="inlineStr">
        <is>
          <t>GST invoice per legal entity. For a company group, YukthiX raises one GST invoice per legal entity / GSTIN (billing address, GSTIN, place of supply), using the per-entity cost split from YX-BILL-10; a group can also receive one consolidated statement, in addition to the invoices, never instead.</t>
        </is>
      </c>
      <c r="F685" t="inlineStr">
        <is>
          <t>Not started</t>
        </is>
      </c>
      <c r="H685">
        <f>IF(G685&lt;&gt;"",G685,F685)</f>
        <v/>
      </c>
      <c r="I685" t="n">
        <v>0</v>
      </c>
      <c r="J685" t="n">
        <v>0</v>
      </c>
      <c r="K685" t="n">
        <v>0</v>
      </c>
      <c r="L685" s="5" t="inlineStr"/>
      <c r="M685" s="5" t="n"/>
    </row>
    <row r="686">
      <c r="A686" t="inlineStr">
        <is>
          <t>YX-BILL-20</t>
        </is>
      </c>
      <c r="B686" t="inlineStr">
        <is>
          <t>P14</t>
        </is>
      </c>
      <c r="C686" t="inlineStr">
        <is>
          <t>YX-BILL</t>
        </is>
      </c>
      <c r="D686" t="inlineStr">
        <is>
          <t>3</t>
        </is>
      </c>
      <c r="E686" s="5" t="inlineStr">
        <is>
          <t>E-invoice 30-day guard. While YukthiX's AATO is at or above the e-invoice 30-day reporting threshold (understood as ₹10 crore: verify), each YukthiX invoice must be reported to the IRP within 30 days of its date; finance is alerted from day 20 and an invoice without an IRN cannot be marked final after day 25. Threshold held as dated data.</t>
        </is>
      </c>
      <c r="F686" t="inlineStr">
        <is>
          <t>Not started</t>
        </is>
      </c>
      <c r="H686">
        <f>IF(G686&lt;&gt;"",G686,F686)</f>
        <v/>
      </c>
      <c r="I686" t="n">
        <v>0</v>
      </c>
      <c r="J686" t="n">
        <v>0</v>
      </c>
      <c r="K686" t="n">
        <v>0</v>
      </c>
      <c r="L686" s="5" t="inlineStr"/>
      <c r="M686" s="5" t="n"/>
    </row>
    <row r="687">
      <c r="A687" t="inlineStr">
        <is>
          <t>YX-BILL-21</t>
        </is>
      </c>
      <c r="B687" t="inlineStr">
        <is>
          <t>P14</t>
        </is>
      </c>
      <c r="C687" t="inlineStr">
        <is>
          <t>YX-BILL</t>
        </is>
      </c>
      <c r="D687" t="inlineStr">
        <is>
          <t>3</t>
        </is>
      </c>
      <c r="E687" s="5" t="inlineStr">
        <is>
          <t>Referral credit. When a referred company's first paid month is settled, both companies receive a credit equal to one month of their own bill (new company: its first paid month; referrer: its latest monthly bill), applied to the next invoices; not cash, not transferable, expires 12 months after issue. The credit shows as a separate invoice line; GST treatment follows the credit note rules. Reversed if the referred company's first payment is refunded.</t>
        </is>
      </c>
      <c r="F687" t="inlineStr">
        <is>
          <t>UI prototype only</t>
        </is>
      </c>
      <c r="H687">
        <f>IF(G687&lt;&gt;"",G687,F687)</f>
        <v/>
      </c>
      <c r="I687" t="n">
        <v>0</v>
      </c>
      <c r="J687" t="n">
        <v>0</v>
      </c>
      <c r="K687" t="n">
        <v>1</v>
      </c>
      <c r="L687" s="5" t="inlineStr"/>
      <c r="M687" s="5" t="n"/>
    </row>
    <row r="688">
      <c r="A688" t="inlineStr">
        <is>
          <t>YX-CONSOLE-01</t>
        </is>
      </c>
      <c r="B688" t="inlineStr">
        <is>
          <t>P14</t>
        </is>
      </c>
      <c r="C688" t="inlineStr">
        <is>
          <t>YX-CONSOLE</t>
        </is>
      </c>
      <c r="D688" t="inlineStr">
        <is>
          <t>3</t>
        </is>
      </c>
      <c r="E688" s="5" t="inlineStr">
        <is>
          <t>Staff act only through console roles with least privilege and JIT elevation (P12 Q7). Tenant data is reached only via P02 support sessions. Billing staff see billing data, not HR data.</t>
        </is>
      </c>
      <c r="F688" t="inlineStr">
        <is>
          <t>Not started</t>
        </is>
      </c>
      <c r="H688">
        <f>IF(G688&lt;&gt;"",G688,F688)</f>
        <v/>
      </c>
      <c r="I688" t="n">
        <v>0</v>
      </c>
      <c r="J688" t="n">
        <v>0</v>
      </c>
      <c r="K688" t="n">
        <v>0</v>
      </c>
      <c r="L688" s="5" t="inlineStr"/>
      <c r="M688" s="5" t="n"/>
    </row>
    <row r="689">
      <c r="A689" t="inlineStr">
        <is>
          <t>YX-CONSOLE-02</t>
        </is>
      </c>
      <c r="B689" t="inlineStr">
        <is>
          <t>P14</t>
        </is>
      </c>
      <c r="C689" t="inlineStr">
        <is>
          <t>YX-CONSOLE</t>
        </is>
      </c>
      <c r="D689" t="inlineStr">
        <is>
          <t>3</t>
        </is>
      </c>
      <c r="E689" s="5" t="inlineStr">
        <is>
          <t>Every console action (plan / price change, credit note, suspension, reinstatement, statutory publish, export on behalf) is audited with staff identity and reason. Tenant-affecting actions are visible to the tenant's admins.</t>
        </is>
      </c>
      <c r="F689" t="inlineStr">
        <is>
          <t>Not started</t>
        </is>
      </c>
      <c r="H689">
        <f>IF(G689&lt;&gt;"",G689,F689)</f>
        <v/>
      </c>
      <c r="I689" t="n">
        <v>0</v>
      </c>
      <c r="J689" t="n">
        <v>0</v>
      </c>
      <c r="K689" t="n">
        <v>0</v>
      </c>
      <c r="L689" s="5" t="inlineStr"/>
      <c r="M689" s="5" t="n"/>
    </row>
    <row r="690">
      <c r="A690" t="inlineStr">
        <is>
          <t>YX-CONSOLE-03</t>
        </is>
      </c>
      <c r="B690" t="inlineStr">
        <is>
          <t>P14</t>
        </is>
      </c>
      <c r="C690" t="inlineStr">
        <is>
          <t>YX-CONSOLE</t>
        </is>
      </c>
      <c r="D690" t="inlineStr">
        <is>
          <t>3</t>
        </is>
      </c>
      <c r="E690" s="5" t="inlineStr">
        <is>
          <t>Support follows Q8 tiers and response times. Product support is separate from the tenant's own HR helpdesk (M08).</t>
        </is>
      </c>
      <c r="F690" t="inlineStr">
        <is>
          <t>Not started</t>
        </is>
      </c>
      <c r="H690">
        <f>IF(G690&lt;&gt;"",G690,F690)</f>
        <v/>
      </c>
      <c r="I690" t="n">
        <v>0</v>
      </c>
      <c r="J690" t="n">
        <v>0</v>
      </c>
      <c r="K690" t="n">
        <v>0</v>
      </c>
      <c r="L690" s="5" t="inlineStr"/>
      <c r="M690" s="5" t="n"/>
    </row>
    <row r="691">
      <c r="A691" t="inlineStr">
        <is>
          <t>YX-CONSOLE-04</t>
        </is>
      </c>
      <c r="B691" t="inlineStr">
        <is>
          <t>P14</t>
        </is>
      </c>
      <c r="C691" t="inlineStr">
        <is>
          <t>YX-CONSOLE</t>
        </is>
      </c>
      <c r="D691" t="inlineStr">
        <is>
          <t>3</t>
        </is>
      </c>
      <c r="E691" s="5" t="inlineStr">
        <is>
          <t>Support tickets carry the tenant's support tier. The queue always serves Priority Support tickets before Standard tickets of the same severity; Severity-1 incidents are handled 24×7 for every tier. Response / resolution targets per tier are measured and reported to Priority Support customers monthly.</t>
        </is>
      </c>
      <c r="F691" t="inlineStr">
        <is>
          <t>Not started</t>
        </is>
      </c>
      <c r="H691">
        <f>IF(G691&lt;&gt;"",G691,F691)</f>
        <v/>
      </c>
      <c r="I691" t="n">
        <v>0</v>
      </c>
      <c r="J691" t="n">
        <v>0</v>
      </c>
      <c r="K691" t="n">
        <v>0</v>
      </c>
      <c r="L691" s="5" t="inlineStr"/>
      <c r="M691" s="5" t="n"/>
    </row>
    <row r="692">
      <c r="A692" t="inlineStr">
        <is>
          <t>YX-CONSOLE-05</t>
        </is>
      </c>
      <c r="B692" t="inlineStr">
        <is>
          <t>P14</t>
        </is>
      </c>
      <c r="C692" t="inlineStr">
        <is>
          <t>YX-CONSOLE</t>
        </is>
      </c>
      <c r="D692" t="inlineStr">
        <is>
          <t>3</t>
        </is>
      </c>
      <c r="E692" s="5" t="inlineStr">
        <is>
          <t>Customer success (C8): the health score and churn-risk band are computed only from the tenant-health feed (usage metadata, setup completeness, tickets, NPS / CSAT, billing status; YX-MET-15); CS staff see scores, factors and billing status, never tenant HR data (YX-CONSOLE-01); a move to high churn risk or a score fall of 20+ points in 30 days raises a cs_alerts item to the assigned CS owner. The tenant's System Admins can see their own score and factors.</t>
        </is>
      </c>
      <c r="F692" t="inlineStr">
        <is>
          <t>Not started</t>
        </is>
      </c>
      <c r="H692">
        <f>IF(G692&lt;&gt;"",G692,F692)</f>
        <v/>
      </c>
      <c r="I692" t="n">
        <v>0</v>
      </c>
      <c r="J692" t="n">
        <v>0</v>
      </c>
      <c r="K692" t="n">
        <v>0</v>
      </c>
      <c r="L692" s="5" t="inlineStr"/>
      <c r="M692" s="5" t="n"/>
    </row>
    <row r="693">
      <c r="A693" t="inlineStr">
        <is>
          <t>YX-CONSOLE-06</t>
        </is>
      </c>
      <c r="B693" t="inlineStr">
        <is>
          <t>P14</t>
        </is>
      </c>
      <c r="C693" t="inlineStr">
        <is>
          <t>YX-CONSOLE</t>
        </is>
      </c>
      <c r="D693" t="inlineStr">
        <is>
          <t>3</t>
        </is>
      </c>
      <c r="E693" s="5" t="inlineStr">
        <is>
          <t>In-app messages to tenant admins (C8) reach only admin roles (System Admin, HR Admin, Payroll Admin, billing contact), never employees; each message is approved by a second staff member, dismissible, rate-limited (at most 2 non-critical messages per admin per week; trial lifecycle nudges follow P20 YX-GRO-03 instead, added 28 Sep 2026), tracked only for delivery / read, and marketing content respects the admin's opt-out; maintenance and security notices are always shown.</t>
        </is>
      </c>
      <c r="F693" t="inlineStr">
        <is>
          <t>UI prototype only</t>
        </is>
      </c>
      <c r="H693">
        <f>IF(G693&lt;&gt;"",G693,F693)</f>
        <v/>
      </c>
      <c r="I693" t="n">
        <v>0</v>
      </c>
      <c r="J693" t="n">
        <v>0</v>
      </c>
      <c r="K693" t="n">
        <v>1</v>
      </c>
      <c r="L693" s="5" t="inlineStr"/>
      <c r="M693" s="5" t="n"/>
    </row>
    <row r="694">
      <c r="A694" t="inlineStr">
        <is>
          <t>YX-CONSOLE-07</t>
        </is>
      </c>
      <c r="B694" t="inlineStr">
        <is>
          <t>P14</t>
        </is>
      </c>
      <c r="C694" t="inlineStr">
        <is>
          <t>YX-CONSOLE</t>
        </is>
      </c>
      <c r="D694" t="inlineStr">
        <is>
          <t>3</t>
        </is>
      </c>
      <c r="E694" s="5" t="inlineStr">
        <is>
          <t>Status page, maintenance and incident notices (G5): a public status page shows current and past availability per product and region; planned maintenance is announced to tenant admins at least 72 hours ahead (YX-CONSOLE-06 maintenance notice, always shown) and is never scheduled inside a tenant's payroll-critical window — company-configurable in Settings › Billing &amp; Account, starter template (D17) = the last 3 and first 7 calendar days of the month — nor on a statutory due date in the P07 calendar for that tenant's entities; a Severity-1 incident is posted on the status page and sent to affecte</t>
        </is>
      </c>
      <c r="F694" t="inlineStr">
        <is>
          <t>Not started</t>
        </is>
      </c>
      <c r="H694">
        <f>IF(G694&lt;&gt;"",G694,F694)</f>
        <v/>
      </c>
      <c r="I694" t="n">
        <v>0</v>
      </c>
      <c r="J694" t="n">
        <v>0</v>
      </c>
      <c r="K694" t="n">
        <v>0</v>
      </c>
      <c r="L694" s="5" t="inlineStr"/>
      <c r="M694" s="5" t="n"/>
    </row>
    <row r="695">
      <c r="A695" t="inlineStr">
        <is>
          <t>YX-CONSOLE-08</t>
        </is>
      </c>
      <c r="B695" t="inlineStr">
        <is>
          <t>P14</t>
        </is>
      </c>
      <c r="C695" t="inlineStr">
        <is>
          <t>YX-CONSOLE</t>
        </is>
      </c>
      <c r="D695" t="inlineStr">
        <is>
          <t>3</t>
        </is>
      </c>
      <c r="E695" s="5" t="inlineStr">
        <is>
          <t>Product analytics access (S1, 28 Sep 2026): the product_analytics schema (P09 §4.10) is readable only by YukthiX staff holding the product analytics console role (least privilege, P12); it holds pseudonymous usage events, never personal or HR data (YX-MET-19); access is audited (YX-CONSOLE-02); it is never joined with tenant HR data or with the billing contact list at person level; a tenant that opts out of non-essential analytics (Settings › Billing &amp; Account) sends no product-analytics events (YX-MET-20).</t>
        </is>
      </c>
      <c r="F695" t="inlineStr">
        <is>
          <t>Not started</t>
        </is>
      </c>
      <c r="H695">
        <f>IF(G695&lt;&gt;"",G695,F695)</f>
        <v/>
      </c>
      <c r="I695" t="n">
        <v>0</v>
      </c>
      <c r="J695" t="n">
        <v>0</v>
      </c>
      <c r="K695" t="n">
        <v>0</v>
      </c>
      <c r="L695" s="5" t="inlineStr"/>
      <c r="M695" s="5" t="n"/>
    </row>
    <row r="696">
      <c r="A696" t="inlineStr">
        <is>
          <t>YX-CONSOLE-09</t>
        </is>
      </c>
      <c r="B696" t="inlineStr">
        <is>
          <t>P14</t>
        </is>
      </c>
      <c r="C696" t="inlineStr">
        <is>
          <t>YX-CONSOLE</t>
        </is>
      </c>
      <c r="D696" t="inlineStr">
        <is>
          <t>3</t>
        </is>
      </c>
      <c r="E696" s="5" t="inlineStr">
        <is>
          <t>Cost per tenant. Storage, egress, AI (tokens / credits) and compute are attributed per tenant daily from metering tags and shown in the console beside the tenant's billed revenue, with gross margin and a flag when cost exceeds a set share of revenue. Staff-only (same access as YX-CONSOLE-08); shared costs are allocated by a documented key, not hidden.</t>
        </is>
      </c>
      <c r="F696" t="inlineStr">
        <is>
          <t>UI prototype only</t>
        </is>
      </c>
      <c r="H696">
        <f>IF(G696&lt;&gt;"",G696,F696)</f>
        <v/>
      </c>
      <c r="I696" t="n">
        <v>0</v>
      </c>
      <c r="J696" t="n">
        <v>0</v>
      </c>
      <c r="K696" t="n">
        <v>1</v>
      </c>
      <c r="L696" s="5" t="inlineStr"/>
      <c r="M696" s="5" t="n"/>
    </row>
    <row r="697">
      <c r="A697" t="inlineStr">
        <is>
          <t>YX-TEN-01</t>
        </is>
      </c>
      <c r="B697" t="inlineStr">
        <is>
          <t>P14</t>
        </is>
      </c>
      <c r="C697" t="inlineStr">
        <is>
          <t>YX-TEN</t>
        </is>
      </c>
      <c r="D697" t="inlineStr">
        <is>
          <t>3</t>
        </is>
      </c>
      <c r="E697" s="5" t="inlineStr">
        <is>
          <t>Trials follow Q4. Trial data can be converted to live in place (no re-entry), or wiped if the tenant chooses.</t>
        </is>
      </c>
      <c r="F697" t="inlineStr">
        <is>
          <t>Not started</t>
        </is>
      </c>
      <c r="H697">
        <f>IF(G697&lt;&gt;"",G697,F697)</f>
        <v/>
      </c>
      <c r="I697" t="n">
        <v>0</v>
      </c>
      <c r="J697" t="n">
        <v>0</v>
      </c>
      <c r="K697" t="n">
        <v>0</v>
      </c>
      <c r="L697" s="5" t="inlineStr"/>
      <c r="M697" s="5" t="n"/>
    </row>
    <row r="698">
      <c r="A698" t="inlineStr">
        <is>
          <t>YX-TEN-02</t>
        </is>
      </c>
      <c r="B698" t="inlineStr">
        <is>
          <t>P14</t>
        </is>
      </c>
      <c r="C698" t="inlineStr">
        <is>
          <t>YX-TEN</t>
        </is>
      </c>
      <c r="D698" t="inlineStr">
        <is>
          <t>3</t>
        </is>
      </c>
      <c r="E698" s="5" t="inlineStr">
        <is>
          <t>Non-payment follows the Q5 schedule. A restricted or suspended tenant never loses its employees' access to their own payslips, Form 16 and letters, or statutory records the employer must keep. A payroll run already approved is never stopped mid-way.</t>
        </is>
      </c>
      <c r="F698" t="inlineStr">
        <is>
          <t>Not started</t>
        </is>
      </c>
      <c r="H698">
        <f>IF(G698&lt;&gt;"",G698,F698)</f>
        <v/>
      </c>
      <c r="I698" t="n">
        <v>0</v>
      </c>
      <c r="J698" t="n">
        <v>0</v>
      </c>
      <c r="K698" t="n">
        <v>0</v>
      </c>
      <c r="L698" s="5" t="inlineStr"/>
      <c r="M698" s="5" t="n"/>
    </row>
    <row r="699">
      <c r="A699" t="inlineStr">
        <is>
          <t>YX-TEN-03</t>
        </is>
      </c>
      <c r="B699" t="inlineStr">
        <is>
          <t>P14</t>
        </is>
      </c>
      <c r="C699" t="inlineStr">
        <is>
          <t>YX-TEN</t>
        </is>
      </c>
      <c r="D699" t="inlineStr">
        <is>
          <t>3</t>
        </is>
      </c>
      <c r="E699" s="5" t="inlineStr">
        <is>
          <t>On cancellation, the tenant has the Q6 grace period in read-only mode with a full export (all entities, documents, audit log, in open formats) before deletion.</t>
        </is>
      </c>
      <c r="F699" t="inlineStr">
        <is>
          <t>Not started</t>
        </is>
      </c>
      <c r="H699">
        <f>IF(G699&lt;&gt;"",G699,F699)</f>
        <v/>
      </c>
      <c r="I699" t="n">
        <v>0</v>
      </c>
      <c r="J699" t="n">
        <v>0</v>
      </c>
      <c r="K699" t="n">
        <v>0</v>
      </c>
      <c r="L699" s="5" t="inlineStr"/>
      <c r="M699" s="5" t="n"/>
    </row>
    <row r="700">
      <c r="A700" t="inlineStr">
        <is>
          <t>YX-TEN-04</t>
        </is>
      </c>
      <c r="B700" t="inlineStr">
        <is>
          <t>P14</t>
        </is>
      </c>
      <c r="C700" t="inlineStr">
        <is>
          <t>YX-TEN</t>
        </is>
      </c>
      <c r="D700" t="inlineStr">
        <is>
          <t>3</t>
        </is>
      </c>
      <c r="E700" s="5" t="inlineStr">
        <is>
          <t>Deletion is complete: live data deleted, keys destroyed (crypto-shredding, YX-SECOPS-02), backups age out per the retention schedule, and a deletion certificate is issued. Legal holds (M08 Q7, T05) are honoured, and the tenant is told what is held and why.</t>
        </is>
      </c>
      <c r="F700" t="inlineStr">
        <is>
          <t>Not started</t>
        </is>
      </c>
      <c r="H700">
        <f>IF(G700&lt;&gt;"",G700,F700)</f>
        <v/>
      </c>
      <c r="I700" t="n">
        <v>0</v>
      </c>
      <c r="J700" t="n">
        <v>0</v>
      </c>
      <c r="K700" t="n">
        <v>0</v>
      </c>
      <c r="L700" s="5" t="inlineStr"/>
      <c r="M700" s="5" t="n"/>
    </row>
    <row r="701">
      <c r="A701" t="inlineStr">
        <is>
          <t>YX-TEN-05</t>
        </is>
      </c>
      <c r="B701" t="inlineStr">
        <is>
          <t>P14</t>
        </is>
      </c>
      <c r="C701" t="inlineStr">
        <is>
          <t>YX-TEN</t>
        </is>
      </c>
      <c r="D701" t="inlineStr">
        <is>
          <t>3</t>
        </is>
      </c>
      <c r="E701" s="5" t="inlineStr">
        <is>
          <t>Whole-tenant export is available on demand at any time (not only on exit): CSV / JSON per entity + a document archive + a manifest, produced asynchronously, downloadable by System Admin with step-up (P12), audited.</t>
        </is>
      </c>
      <c r="F701" t="inlineStr">
        <is>
          <t>Not started</t>
        </is>
      </c>
      <c r="H701">
        <f>IF(G701&lt;&gt;"",G701,F701)</f>
        <v/>
      </c>
      <c r="I701" t="n">
        <v>0</v>
      </c>
      <c r="J701" t="n">
        <v>0</v>
      </c>
      <c r="K701" t="n">
        <v>0</v>
      </c>
      <c r="L701" s="5" t="inlineStr"/>
      <c r="M701" s="5" t="n"/>
    </row>
    <row r="702">
      <c r="A702" t="inlineStr">
        <is>
          <t>YX-TEN-06</t>
        </is>
      </c>
      <c r="B702" t="inlineStr">
        <is>
          <t>P14</t>
        </is>
      </c>
      <c r="C702" t="inlineStr">
        <is>
          <t>YX-TEN</t>
        </is>
      </c>
      <c r="D702" t="inlineStr">
        <is>
          <t>3</t>
        </is>
      </c>
      <c r="E702" s="5" t="inlineStr">
        <is>
          <t>Billing staff can override the non-payment schedule per tenant (pause, extend, step forward / back, payment plan) with a reason and expiry; overrides are audited, shown to the tenant's admins, and the automatic schedule resumes when the override expires.</t>
        </is>
      </c>
      <c r="F702" t="inlineStr">
        <is>
          <t>Not started</t>
        </is>
      </c>
      <c r="H702">
        <f>IF(G702&lt;&gt;"",G702,F702)</f>
        <v/>
      </c>
      <c r="I702" t="n">
        <v>0</v>
      </c>
      <c r="J702" t="n">
        <v>0</v>
      </c>
      <c r="K702" t="n">
        <v>0</v>
      </c>
      <c r="L702" s="5" t="inlineStr"/>
      <c r="M702" s="5" t="n"/>
    </row>
    <row r="703">
      <c r="A703" t="inlineStr">
        <is>
          <t>YX-TEN-07</t>
        </is>
      </c>
      <c r="B703" t="inlineStr">
        <is>
          <t>P14</t>
        </is>
      </c>
      <c r="C703" t="inlineStr">
        <is>
          <t>YX-TEN</t>
        </is>
      </c>
      <c r="D703" t="inlineStr">
        <is>
          <t>3</t>
        </is>
      </c>
      <c r="E703" s="5" t="inlineStr">
        <is>
          <t>Employees keep their own documents through exit (G4): during the Q6 30-day read-only grace every employee (and alumnus, P05) can sign in and download their own payslips, Form 16 and letters, and is told the deadline in-app and by email at cancellation and at day 23; the YX-TEN-03 / 05 export includes a per-employee document pack (one folder per employee: payslips, Form 16, letters, with an index) so the employer can hand documents over after deletion.</t>
        </is>
      </c>
      <c r="F703" t="inlineStr">
        <is>
          <t>Not started</t>
        </is>
      </c>
      <c r="H703">
        <f>IF(G703&lt;&gt;"",G703,F703)</f>
        <v/>
      </c>
      <c r="I703" t="n">
        <v>0</v>
      </c>
      <c r="J703" t="n">
        <v>0</v>
      </c>
      <c r="K703" t="n">
        <v>0</v>
      </c>
      <c r="L703" s="5" t="inlineStr"/>
      <c r="M703" s="5" t="n"/>
    </row>
    <row r="704">
      <c r="A704" t="inlineStr">
        <is>
          <t>YX-TEN-08</t>
        </is>
      </c>
      <c r="B704" t="inlineStr">
        <is>
          <t>P14</t>
        </is>
      </c>
      <c r="C704" t="inlineStr">
        <is>
          <t>YX-TEN</t>
        </is>
      </c>
      <c r="D704" t="inlineStr">
        <is>
          <t>3</t>
        </is>
      </c>
      <c r="E704" s="5" t="inlineStr">
        <is>
          <t>Trial end without switching on (founder decision 28 Sep 2026). A trial runs 30 days, plus one 14-day extension (automatic when first value is reached, otherwise self-serve on request; P20 YX-GRO-06). If no product is switched on by the end: the account becomes read-only for 30 days (view and full export allowed; no payroll runs, no tests sent, no jobs published, no messages to employees or candidates); reminders go to all trial admins on the first day of read-only, day 15 and day 25; on day 30 of read-only all trial data is deleted under YX-TEN-04 and a deletion certificate is emailed. Switchi</t>
        </is>
      </c>
      <c r="F704" t="inlineStr">
        <is>
          <t>UI prototype only</t>
        </is>
      </c>
      <c r="H704">
        <f>IF(G704&lt;&gt;"",G704,F704)</f>
        <v/>
      </c>
      <c r="I704" t="n">
        <v>0</v>
      </c>
      <c r="J704" t="n">
        <v>0</v>
      </c>
      <c r="K704" t="n">
        <v>1</v>
      </c>
      <c r="L704" s="5" t="inlineStr"/>
      <c r="M704" s="5" t="n"/>
    </row>
    <row r="705">
      <c r="A705" t="inlineStr">
        <is>
          <t>YX-MIG-01</t>
        </is>
      </c>
      <c r="B705" t="inlineStr">
        <is>
          <t>P15</t>
        </is>
      </c>
      <c r="C705" t="inlineStr">
        <is>
          <t>YX-MIG</t>
        </is>
      </c>
      <c r="D705" t="inlineStr">
        <is>
          <t>6+</t>
        </is>
      </c>
      <c r="E705" s="5" t="inlineStr">
        <is>
          <t>Every import goes through upload → map → validate → preview → commit. Nothing is written before the user confirms the preview.</t>
        </is>
      </c>
      <c r="F705" t="inlineStr">
        <is>
          <t>Not started</t>
        </is>
      </c>
      <c r="H705">
        <f>IF(G705&lt;&gt;"",G705,F705)</f>
        <v/>
      </c>
      <c r="I705" t="n">
        <v>0</v>
      </c>
      <c r="J705" t="n">
        <v>0</v>
      </c>
      <c r="K705" t="n">
        <v>0</v>
      </c>
      <c r="L705" s="5" t="inlineStr"/>
      <c r="M705" s="5" t="n"/>
    </row>
    <row r="706">
      <c r="A706" t="inlineStr">
        <is>
          <t>YX-MIG-02</t>
        </is>
      </c>
      <c r="B706" t="inlineStr">
        <is>
          <t>P15</t>
        </is>
      </c>
      <c r="C706" t="inlineStr">
        <is>
          <t>YX-MIG</t>
        </is>
      </c>
      <c r="D706" t="inlineStr">
        <is>
          <t>6+</t>
        </is>
      </c>
      <c r="E706" s="5" t="inlineStr">
        <is>
          <t>Validation applies the same rules as the live forms and APIs (P11 YX-API-01): no import path bypasses statutory format checks, duplicate checks, P06 effective-dating or P02 permissions.</t>
        </is>
      </c>
      <c r="F706" t="inlineStr">
        <is>
          <t>Not started</t>
        </is>
      </c>
      <c r="H706">
        <f>IF(G706&lt;&gt;"",G706,F706)</f>
        <v/>
      </c>
      <c r="I706" t="n">
        <v>0</v>
      </c>
      <c r="J706" t="n">
        <v>0</v>
      </c>
      <c r="K706" t="n">
        <v>0</v>
      </c>
      <c r="L706" s="5" t="inlineStr"/>
      <c r="M706" s="5" t="n"/>
    </row>
    <row r="707">
      <c r="A707" t="inlineStr">
        <is>
          <t>YX-MIG-03</t>
        </is>
      </c>
      <c r="B707" t="inlineStr">
        <is>
          <t>P15</t>
        </is>
      </c>
      <c r="C707" t="inlineStr">
        <is>
          <t>YX-MIG</t>
        </is>
      </c>
      <c r="D707" t="inlineStr">
        <is>
          <t>6+</t>
        </is>
      </c>
      <c r="E707" s="5" t="inlineStr">
        <is>
          <t>Row errors never abort the whole job. Error rows are downloadable as an Excel file with messages next to each cell, so the user can fix them and re-upload only those rows.</t>
        </is>
      </c>
      <c r="F707" t="inlineStr">
        <is>
          <t>Not started</t>
        </is>
      </c>
      <c r="H707">
        <f>IF(G707&lt;&gt;"",G707,F707)</f>
        <v/>
      </c>
      <c r="I707" t="n">
        <v>0</v>
      </c>
      <c r="J707" t="n">
        <v>0</v>
      </c>
      <c r="K707" t="n">
        <v>0</v>
      </c>
      <c r="L707" s="5" t="inlineStr"/>
      <c r="M707" s="5" t="n"/>
    </row>
    <row r="708">
      <c r="A708" t="inlineStr">
        <is>
          <t>YX-MIG-04</t>
        </is>
      </c>
      <c r="B708" t="inlineStr">
        <is>
          <t>P15</t>
        </is>
      </c>
      <c r="C708" t="inlineStr">
        <is>
          <t>YX-MIG</t>
        </is>
      </c>
      <c r="D708" t="inlineStr">
        <is>
          <t>6+</t>
        </is>
      </c>
      <c r="E708" s="5" t="inlineStr">
        <is>
          <t>Committed batches can be rolled back per Q4. Rollback removes exactly the records the batch created and restores fields it updated; it is blocked once dependent records exist (e.g. a payroll run used them) or the period is locked (P08).</t>
        </is>
      </c>
      <c r="F708" t="inlineStr">
        <is>
          <t>Not started</t>
        </is>
      </c>
      <c r="H708">
        <f>IF(G708&lt;&gt;"",G708,F708)</f>
        <v/>
      </c>
      <c r="I708" t="n">
        <v>0</v>
      </c>
      <c r="J708" t="n">
        <v>0</v>
      </c>
      <c r="K708" t="n">
        <v>0</v>
      </c>
      <c r="L708" s="5" t="inlineStr"/>
      <c r="M708" s="5" t="n"/>
    </row>
    <row r="709">
      <c r="A709" t="inlineStr">
        <is>
          <t>YX-MIG-05</t>
        </is>
      </c>
      <c r="B709" t="inlineStr">
        <is>
          <t>P15</t>
        </is>
      </c>
      <c r="C709" t="inlineStr">
        <is>
          <t>YX-MIG</t>
        </is>
      </c>
      <c r="D709" t="inlineStr">
        <is>
          <t>6+</t>
        </is>
      </c>
      <c r="E709" s="5" t="inlineStr">
        <is>
          <t>Imported history is marked with its source and import batch, and is effective-dated (P06). Opening balances (leave, YTD, loans) enter as ledger entries with reason "migration opening", never as silent overwrites.</t>
        </is>
      </c>
      <c r="F709" t="inlineStr">
        <is>
          <t>Not started</t>
        </is>
      </c>
      <c r="H709">
        <f>IF(G709&lt;&gt;"",G709,F709)</f>
        <v/>
      </c>
      <c r="I709" t="n">
        <v>0</v>
      </c>
      <c r="J709" t="n">
        <v>0</v>
      </c>
      <c r="K709" t="n">
        <v>0</v>
      </c>
      <c r="L709" s="5" t="inlineStr"/>
      <c r="M709" s="5" t="n"/>
    </row>
    <row r="710">
      <c r="A710" t="inlineStr">
        <is>
          <t>YX-MIG-06</t>
        </is>
      </c>
      <c r="B710" t="inlineStr">
        <is>
          <t>P15</t>
        </is>
      </c>
      <c r="C710" t="inlineStr">
        <is>
          <t>YX-MIG</t>
        </is>
      </c>
      <c r="D710" t="inlineStr">
        <is>
          <t>6+</t>
        </is>
      </c>
      <c r="E710" s="5" t="inlineStr">
        <is>
          <t>Sensitive import data (bank, PAN, Aadhaar, salary) is encrypted at rest in staging, visible only to the importing admin, and purged after the retention period.</t>
        </is>
      </c>
      <c r="F710" t="inlineStr">
        <is>
          <t>Not started</t>
        </is>
      </c>
      <c r="H710">
        <f>IF(G710&lt;&gt;"",G710,F710)</f>
        <v/>
      </c>
      <c r="I710" t="n">
        <v>0</v>
      </c>
      <c r="J710" t="n">
        <v>0</v>
      </c>
      <c r="K710" t="n">
        <v>0</v>
      </c>
      <c r="L710" s="5" t="inlineStr"/>
      <c r="M710" s="5" t="n"/>
    </row>
    <row r="711">
      <c r="A711" t="inlineStr">
        <is>
          <t>YX-MIG-07</t>
        </is>
      </c>
      <c r="B711" t="inlineStr">
        <is>
          <t>P15</t>
        </is>
      </c>
      <c r="C711" t="inlineStr">
        <is>
          <t>YX-MIG</t>
        </is>
      </c>
      <c r="D711" t="inlineStr">
        <is>
          <t>6+</t>
        </is>
      </c>
      <c r="E711" s="5" t="inlineStr">
        <is>
          <t>Documents are imported as a ZIP + index file mapping each file to an employee and document type (P05); unmatched files are listed for manual assignment.</t>
        </is>
      </c>
      <c r="F711" t="inlineStr">
        <is>
          <t>Not started</t>
        </is>
      </c>
      <c r="H711">
        <f>IF(G711&lt;&gt;"",G711,F711)</f>
        <v/>
      </c>
      <c r="I711" t="n">
        <v>0</v>
      </c>
      <c r="J711" t="n">
        <v>0</v>
      </c>
      <c r="K711" t="n">
        <v>0</v>
      </c>
      <c r="L711" s="5" t="inlineStr"/>
      <c r="M711" s="5" t="n"/>
    </row>
    <row r="712">
      <c r="A712" t="inlineStr">
        <is>
          <t>YX-MIG-08</t>
        </is>
      </c>
      <c r="B712" t="inlineStr">
        <is>
          <t>P15</t>
        </is>
      </c>
      <c r="C712" t="inlineStr">
        <is>
          <t>YX-MIG</t>
        </is>
      </c>
      <c r="D712" t="inlineStr">
        <is>
          <t>6+</t>
        </is>
      </c>
      <c r="E712" s="5" t="inlineStr">
        <is>
          <t>Payroll go-live requires either a completed parallel run with variance signed off, or an explicit, audited waiver by the Payroll Admin (D17: the company decides the number of months).</t>
        </is>
      </c>
      <c r="F712" t="inlineStr">
        <is>
          <t>Not started</t>
        </is>
      </c>
      <c r="H712">
        <f>IF(G712&lt;&gt;"",G712,F712)</f>
        <v/>
      </c>
      <c r="I712" t="n">
        <v>0</v>
      </c>
      <c r="J712" t="n">
        <v>0</v>
      </c>
      <c r="K712" t="n">
        <v>0</v>
      </c>
      <c r="L712" s="5" t="inlineStr"/>
      <c r="M712" s="5" t="n"/>
    </row>
    <row r="713">
      <c r="A713" t="inlineStr">
        <is>
          <t>YX-MIG-09</t>
        </is>
      </c>
      <c r="B713" t="inlineStr">
        <is>
          <t>P15</t>
        </is>
      </c>
      <c r="C713" t="inlineStr">
        <is>
          <t>YX-MIG</t>
        </is>
      </c>
      <c r="D713" t="inlineStr">
        <is>
          <t>6+</t>
        </is>
      </c>
      <c r="E713" s="5" t="inlineStr">
        <is>
          <t>A sandbox never sends real notifications, bank files, filings or partner calls (all outbound channels are stubbed), and its data is masked per Q5.</t>
        </is>
      </c>
      <c r="F713" t="inlineStr">
        <is>
          <t>Not started</t>
        </is>
      </c>
      <c r="H713">
        <f>IF(G713&lt;&gt;"",G713,F713)</f>
        <v/>
      </c>
      <c r="I713" t="n">
        <v>0</v>
      </c>
      <c r="J713" t="n">
        <v>0</v>
      </c>
      <c r="K713" t="n">
        <v>0</v>
      </c>
      <c r="L713" s="5" t="inlineStr"/>
      <c r="M713" s="5" t="n"/>
    </row>
    <row r="714">
      <c r="A714" t="inlineStr">
        <is>
          <t>YX-MIG-10</t>
        </is>
      </c>
      <c r="B714" t="inlineStr">
        <is>
          <t>P15</t>
        </is>
      </c>
      <c r="C714" t="inlineStr">
        <is>
          <t>YX-MIG</t>
        </is>
      </c>
      <c r="D714" t="inlineStr">
        <is>
          <t>6+</t>
        </is>
      </c>
      <c r="E714" s="5" t="inlineStr">
        <is>
          <t>Configuration moves from sandbox to production only through a reviewed promotion (diff + approver, P03), never by copying data.</t>
        </is>
      </c>
      <c r="F714" t="inlineStr">
        <is>
          <t>Not started</t>
        </is>
      </c>
      <c r="H714">
        <f>IF(G714&lt;&gt;"",G714,F714)</f>
        <v/>
      </c>
      <c r="I714" t="n">
        <v>0</v>
      </c>
      <c r="J714" t="n">
        <v>0</v>
      </c>
      <c r="K714" t="n">
        <v>0</v>
      </c>
      <c r="L714" s="5" t="inlineStr"/>
      <c r="M714" s="5" t="n"/>
    </row>
    <row r="715">
      <c r="A715" t="inlineStr">
        <is>
          <t>YX-MIG-11</t>
        </is>
      </c>
      <c r="B715" t="inlineStr">
        <is>
          <t>P15</t>
        </is>
      </c>
      <c r="C715" t="inlineStr">
        <is>
          <t>YX-MIG</t>
        </is>
      </c>
      <c r="D715" t="inlineStr">
        <is>
          <t>6+</t>
        </is>
      </c>
      <c r="E715" s="5" t="inlineStr">
        <is>
          <t>Direct API pull connectors (Q1): the customer connects its own account on the old system (API key or OAuth consent) with read-only scope; data is pulled into the same staging → validate → preview → commit pipeline (never written directly); pulls can repeat during the parallel run; stored credentials are encrypted, limited to the migration, and deleted automatically when migration is marked complete or after 90 days; where a vendor offers no suitable API or its terms forbid it, the file mapper is used.</t>
        </is>
      </c>
      <c r="F715" t="inlineStr">
        <is>
          <t>Not started</t>
        </is>
      </c>
      <c r="H715">
        <f>IF(G715&lt;&gt;"",G715,F715)</f>
        <v/>
      </c>
      <c r="I715" t="n">
        <v>0</v>
      </c>
      <c r="J715" t="n">
        <v>0</v>
      </c>
      <c r="K715" t="n">
        <v>0</v>
      </c>
      <c r="L715" s="5" t="inlineStr"/>
      <c r="M715" s="5" t="n"/>
    </row>
    <row r="716">
      <c r="A716" t="inlineStr">
        <is>
          <t>YX-MIG-12</t>
        </is>
      </c>
      <c r="B716" t="inlineStr">
        <is>
          <t>P15</t>
        </is>
      </c>
      <c r="C716" t="inlineStr">
        <is>
          <t>YX-MIG</t>
        </is>
      </c>
      <c r="D716" t="inlineStr">
        <is>
          <t>6+</t>
        </is>
      </c>
      <c r="E716" s="5" t="inlineStr">
        <is>
          <t>Full-history import (Q2 option): past financial years imported as data are loaded as closed and locked periods (P08 status *filed / locked*), marked with their import batch, never recalculated by the payroll or leave engines, and used for reports, analytics, employee history and statutory look-ups; storage beyond fair use counts toward the storage add-on (D18).</t>
        </is>
      </c>
      <c r="F716" t="inlineStr">
        <is>
          <t>Not started</t>
        </is>
      </c>
      <c r="H716">
        <f>IF(G716&lt;&gt;"",G716,F716)</f>
        <v/>
      </c>
      <c r="I716" t="n">
        <v>0</v>
      </c>
      <c r="J716" t="n">
        <v>0</v>
      </c>
      <c r="K716" t="n">
        <v>0</v>
      </c>
      <c r="L716" s="5" t="inlineStr"/>
      <c r="M716" s="5" t="n"/>
    </row>
    <row r="717">
      <c r="A717" t="inlineStr">
        <is>
          <t>YX-MIG-13</t>
        </is>
      </c>
      <c r="B717" t="inlineStr">
        <is>
          <t>P15</t>
        </is>
      </c>
      <c r="C717" t="inlineStr">
        <is>
          <t>YX-MIG</t>
        </is>
      </c>
      <c r="D717" t="inlineStr">
        <is>
          <t>6+</t>
        </is>
      </c>
      <c r="E717" s="5" t="inlineStr">
        <is>
          <t>Public launch is gated on the Q6 pilot exit criteria, tracked in the platform console (P14) with evidence per criterion (variance reports, portal acknowledgements, incident register, readiness scores, customer sign-offs).</t>
        </is>
      </c>
      <c r="F717" t="inlineStr">
        <is>
          <t>Not started</t>
        </is>
      </c>
      <c r="H717">
        <f>IF(G717&lt;&gt;"",G717,F717)</f>
        <v/>
      </c>
      <c r="I717" t="n">
        <v>0</v>
      </c>
      <c r="J717" t="n">
        <v>0</v>
      </c>
      <c r="K717" t="n">
        <v>0</v>
      </c>
      <c r="L717" s="5" t="inlineStr"/>
      <c r="M717" s="5" t="n"/>
    </row>
    <row r="718">
      <c r="A718" t="inlineStr">
        <is>
          <t>YX-MIG-14</t>
        </is>
      </c>
      <c r="B718" t="inlineStr">
        <is>
          <t>P15</t>
        </is>
      </c>
      <c r="C718" t="inlineStr">
        <is>
          <t>YX-MIG</t>
        </is>
      </c>
      <c r="D718" t="inlineStr">
        <is>
          <t>6+</t>
        </is>
      </c>
      <c r="E718" s="5" t="inlineStr">
        <is>
          <t>ATS and open-source HR mappers (G11): ready file mappers (Q1 pipeline, YX-MIG-01–07) for Freshteam, OrangeHRM and Horilla standard exports and a generic ATS CSV template covering candidates, jobs, pipeline stages (mapped to the M10 stage set), notes and attachments (ZIP + index, YX-MIG-07); a public "Freshteam switch kit" page (export steps from Freshteam, field map, what carries over, what to check) is linked from the setup hub and the website. Included in the price (D18).</t>
        </is>
      </c>
      <c r="F718" t="inlineStr">
        <is>
          <t>Not started</t>
        </is>
      </c>
      <c r="H718">
        <f>IF(G718&lt;&gt;"",G718,F718)</f>
        <v/>
      </c>
      <c r="I718" t="n">
        <v>0</v>
      </c>
      <c r="J718" t="n">
        <v>0</v>
      </c>
      <c r="K718" t="n">
        <v>0</v>
      </c>
      <c r="L718" s="5" t="inlineStr"/>
      <c r="M718" s="5" t="n"/>
    </row>
    <row r="719">
      <c r="A719" t="inlineStr">
        <is>
          <t>YX-MIG-15</t>
        </is>
      </c>
      <c r="B719" t="inlineStr">
        <is>
          <t>P15</t>
        </is>
      </c>
      <c r="C719" t="inlineStr">
        <is>
          <t>YX-MIG</t>
        </is>
      </c>
      <c r="D719" t="inlineStr">
        <is>
          <t>6+</t>
        </is>
      </c>
      <c r="E719" s="5" t="inlineStr">
        <is>
          <t>As-paid pay lines (J3): payroll go-live needs, for every employee paid in the current tax year before go-live, the as-paid lines per month and per component (earnings, deductions, employer contributions, TDS, PF / ESI wages) — not only YTD totals; YTD for tax (M03 YX-TAX-15) is derived from them. Validation checks each month's lines add up to the imported net and statutory totals. They load as imported payslips in locked periods (source = import, import batch; never recalculated, YX-MIG-12) and are the as-paid base for arrears on back-dated revisions effective before go-live (M03 YX-PAY-52, la</t>
        </is>
      </c>
      <c r="F719" t="inlineStr">
        <is>
          <t>Not started</t>
        </is>
      </c>
      <c r="H719">
        <f>IF(G719&lt;&gt;"",G719,F719)</f>
        <v/>
      </c>
      <c r="I719" t="n">
        <v>0</v>
      </c>
      <c r="J719" t="n">
        <v>0</v>
      </c>
      <c r="K719" t="n">
        <v>0</v>
      </c>
      <c r="L719" s="5" t="inlineStr"/>
      <c r="M719" s="5" t="n"/>
    </row>
    <row r="720">
      <c r="A720" t="inlineStr">
        <is>
          <t>YX-PTR-01</t>
        </is>
      </c>
      <c r="B720" t="inlineStr">
        <is>
          <t>P16</t>
        </is>
      </c>
      <c r="C720" t="inlineStr">
        <is>
          <t>YX-PTR</t>
        </is>
      </c>
      <c r="D720" t="inlineStr">
        <is>
          <t>6+</t>
        </is>
      </c>
      <c r="E720" s="5" t="inlineStr">
        <is>
          <t>A partner firm must be verified (identity, tax ids, agreement) before any client link becomes active. Suspension of a partner immediately suspends all its client access.</t>
        </is>
      </c>
      <c r="F720" t="inlineStr">
        <is>
          <t>UI prototype only</t>
        </is>
      </c>
      <c r="H720">
        <f>IF(G720&lt;&gt;"",G720,F720)</f>
        <v/>
      </c>
      <c r="I720" t="n">
        <v>0</v>
      </c>
      <c r="J720" t="n">
        <v>0</v>
      </c>
      <c r="K720" t="n">
        <v>1</v>
      </c>
      <c r="L720" s="5" t="inlineStr"/>
      <c r="M720" s="5" t="n"/>
    </row>
    <row r="721">
      <c r="A721" t="inlineStr">
        <is>
          <t>YX-PTR-02</t>
        </is>
      </c>
      <c r="B721" t="inlineStr">
        <is>
          <t>P16</t>
        </is>
      </c>
      <c r="C721" t="inlineStr">
        <is>
          <t>YX-PTR</t>
        </is>
      </c>
      <c r="D721" t="inlineStr">
        <is>
          <t>6+</t>
        </is>
      </c>
      <c r="E721" s="5" t="inlineStr">
        <is>
          <t>Tenant ownership (client-owned or partner-owned) is chosen at creation and recorded on the link (Q2). In a client-owned tenant, partner access exists only through a grant approved by a client admin, who can view, change or end it at any time; ending it removes access immediately. In a partner-owned tenant, the named client contact always keeps audit-log view, full export and the right to transfer ownership, and the partner can't remove these.</t>
        </is>
      </c>
      <c r="F721" t="inlineStr">
        <is>
          <t>Not started</t>
        </is>
      </c>
      <c r="H721">
        <f>IF(G721&lt;&gt;"",G721,F721)</f>
        <v/>
      </c>
      <c r="I721" t="n">
        <v>0</v>
      </c>
      <c r="J721" t="n">
        <v>0</v>
      </c>
      <c r="K721" t="n">
        <v>0</v>
      </c>
      <c r="L721" s="5" t="inlineStr"/>
      <c r="M721" s="5" t="n"/>
    </row>
    <row r="722">
      <c r="A722" t="inlineStr">
        <is>
          <t>YX-PTR-03</t>
        </is>
      </c>
      <c r="B722" t="inlineStr">
        <is>
          <t>P16</t>
        </is>
      </c>
      <c r="C722" t="inlineStr">
        <is>
          <t>YX-PTR</t>
        </is>
      </c>
      <c r="D722" t="inlineStr">
        <is>
          <t>6+</t>
        </is>
      </c>
      <c r="E722" s="5" t="inlineStr">
        <is>
          <t>Partner users reach a client only if assigned to that client, and only within the grant's modules, entities and actions. Field classes (P02) apply as for tenant roles; Special data (medical, POSH, biometrics) is never in a partner grant.</t>
        </is>
      </c>
      <c r="F722" t="inlineStr">
        <is>
          <t>Not started</t>
        </is>
      </c>
      <c r="H722">
        <f>IF(G722&lt;&gt;"",G722,F722)</f>
        <v/>
      </c>
      <c r="I722" t="n">
        <v>0</v>
      </c>
      <c r="J722" t="n">
        <v>0</v>
      </c>
      <c r="K722" t="n">
        <v>0</v>
      </c>
      <c r="L722" s="5" t="inlineStr"/>
      <c r="M722" s="5" t="n"/>
    </row>
    <row r="723">
      <c r="A723" t="inlineStr">
        <is>
          <t>YX-PTR-04</t>
        </is>
      </c>
      <c r="B723" t="inlineStr">
        <is>
          <t>P16</t>
        </is>
      </c>
      <c r="C723" t="inlineStr">
        <is>
          <t>YX-PTR</t>
        </is>
      </c>
      <c r="D723" t="inlineStr">
        <is>
          <t>6+</t>
        </is>
      </c>
      <c r="E723" s="5" t="inlineStr">
        <is>
          <t>Every partner action inside a client tenant is recorded in that client's audit log with the partner firm and user, and is visible to the client in "who accessed my data" (P08).</t>
        </is>
      </c>
      <c r="F723" t="inlineStr">
        <is>
          <t>Not started</t>
        </is>
      </c>
      <c r="H723">
        <f>IF(G723&lt;&gt;"",G723,F723)</f>
        <v/>
      </c>
      <c r="I723" t="n">
        <v>0</v>
      </c>
      <c r="J723" t="n">
        <v>0</v>
      </c>
      <c r="K723" t="n">
        <v>0</v>
      </c>
      <c r="L723" s="5" t="inlineStr"/>
      <c r="M723" s="5" t="n"/>
    </row>
    <row r="724">
      <c r="A724" t="inlineStr">
        <is>
          <t>YX-PTR-05</t>
        </is>
      </c>
      <c r="B724" t="inlineStr">
        <is>
          <t>P16</t>
        </is>
      </c>
      <c r="C724" t="inlineStr">
        <is>
          <t>YX-PTR</t>
        </is>
      </c>
      <c r="D724" t="inlineStr">
        <is>
          <t>6+</t>
        </is>
      </c>
      <c r="E724" s="5" t="inlineStr">
        <is>
          <t>Payroll release, bank-file release, statutory filing and DSC signing need a client-side approval, unless the client has delegated that step to the partner in the grant (D17). Step-up MFA (P12) applies either way.</t>
        </is>
      </c>
      <c r="F724" t="inlineStr">
        <is>
          <t>Not started</t>
        </is>
      </c>
      <c r="H724">
        <f>IF(G724&lt;&gt;"",G724,F724)</f>
        <v/>
      </c>
      <c r="I724" t="n">
        <v>0</v>
      </c>
      <c r="J724" t="n">
        <v>0</v>
      </c>
      <c r="K724" t="n">
        <v>0</v>
      </c>
      <c r="L724" s="5" t="inlineStr"/>
      <c r="M724" s="5" t="n"/>
    </row>
    <row r="725">
      <c r="A725" t="inlineStr">
        <is>
          <t>YX-PTR-06</t>
        </is>
      </c>
      <c r="B725" t="inlineStr">
        <is>
          <t>P16</t>
        </is>
      </c>
      <c r="C725" t="inlineStr">
        <is>
          <t>YX-PTR</t>
        </is>
      </c>
      <c r="D725" t="inlineStr">
        <is>
          <t>6+</t>
        </is>
      </c>
      <c r="E725" s="5" t="inlineStr">
        <is>
          <t>Partner users must use MFA. Partners with 10+ users must use SSO or passkeys. Partner sessions follow the P12 desk session limits.</t>
        </is>
      </c>
      <c r="F725" t="inlineStr">
        <is>
          <t>Not started</t>
        </is>
      </c>
      <c r="H725">
        <f>IF(G725&lt;&gt;"",G725,F725)</f>
        <v/>
      </c>
      <c r="I725" t="n">
        <v>0</v>
      </c>
      <c r="J725" t="n">
        <v>0</v>
      </c>
      <c r="K725" t="n">
        <v>0</v>
      </c>
      <c r="L725" s="5" t="inlineStr"/>
      <c r="M725" s="5" t="n"/>
    </row>
    <row r="726">
      <c r="A726" t="inlineStr">
        <is>
          <t>YX-PTR-07</t>
        </is>
      </c>
      <c r="B726" t="inlineStr">
        <is>
          <t>P16</t>
        </is>
      </c>
      <c r="C726" t="inlineStr">
        <is>
          <t>YX-PTR</t>
        </is>
      </c>
      <c r="D726" t="inlineStr">
        <is>
          <t>6+</t>
        </is>
      </c>
      <c r="E726" s="5" t="inlineStr">
        <is>
          <t>The cross-client dashboard shows only statuses, counts and due dates from each client's partner status feed; no personal data leaves a client tenant for the dashboard.</t>
        </is>
      </c>
      <c r="F726" t="inlineStr">
        <is>
          <t>Not started</t>
        </is>
      </c>
      <c r="H726">
        <f>IF(G726&lt;&gt;"",G726,F726)</f>
        <v/>
      </c>
      <c r="I726" t="n">
        <v>0</v>
      </c>
      <c r="J726" t="n">
        <v>0</v>
      </c>
      <c r="K726" t="n">
        <v>0</v>
      </c>
      <c r="L726" s="5" t="inlineStr"/>
      <c r="M726" s="5" t="n"/>
    </row>
    <row r="727">
      <c r="A727" t="inlineStr">
        <is>
          <t>YX-PTR-08</t>
        </is>
      </c>
      <c r="B727" t="inlineStr">
        <is>
          <t>P16</t>
        </is>
      </c>
      <c r="C727" t="inlineStr">
        <is>
          <t>YX-PTR</t>
        </is>
      </c>
      <c r="D727" t="inlineStr">
        <is>
          <t>6+</t>
        </is>
      </c>
      <c r="E727" s="5" t="inlineStr">
        <is>
          <t>Every partner-created tenant must have a named client contact invited at creation. Live payroll can't run until that contact has accepted, whichever ownership model is chosen.</t>
        </is>
      </c>
      <c r="F727" t="inlineStr">
        <is>
          <t>Not started</t>
        </is>
      </c>
      <c r="H727">
        <f>IF(G727&lt;&gt;"",G727,F727)</f>
        <v/>
      </c>
      <c r="I727" t="n">
        <v>0</v>
      </c>
      <c r="J727" t="n">
        <v>0</v>
      </c>
      <c r="K727" t="n">
        <v>0</v>
      </c>
      <c r="L727" s="5" t="inlineStr"/>
      <c r="M727" s="5" t="n"/>
    </row>
    <row r="728">
      <c r="A728" t="inlineStr">
        <is>
          <t>YX-PTR-09</t>
        </is>
      </c>
      <c r="B728" t="inlineStr">
        <is>
          <t>P16</t>
        </is>
      </c>
      <c r="C728" t="inlineStr">
        <is>
          <t>YX-PTR</t>
        </is>
      </c>
      <c r="D728" t="inlineStr">
        <is>
          <t>6+</t>
        </is>
      </c>
      <c r="E728" s="5" t="inlineStr">
        <is>
          <t>Partner templates are copied into a client, never shared live, so one client's change never affects another.</t>
        </is>
      </c>
      <c r="F728" t="inlineStr">
        <is>
          <t>UI prototype only</t>
        </is>
      </c>
      <c r="H728">
        <f>IF(G728&lt;&gt;"",G728,F728)</f>
        <v/>
      </c>
      <c r="I728" t="n">
        <v>0</v>
      </c>
      <c r="J728" t="n">
        <v>0</v>
      </c>
      <c r="K728" t="n">
        <v>1</v>
      </c>
      <c r="L728" s="5" t="inlineStr"/>
      <c r="M728" s="5" t="n"/>
    </row>
    <row r="729">
      <c r="A729" t="inlineStr">
        <is>
          <t>YX-PTR-10</t>
        </is>
      </c>
      <c r="B729" t="inlineStr">
        <is>
          <t>P16</t>
        </is>
      </c>
      <c r="C729" t="inlineStr">
        <is>
          <t>YX-PTR</t>
        </is>
      </c>
      <c r="D729" t="inlineStr">
        <is>
          <t>6+</t>
        </is>
      </c>
      <c r="E729" s="5" t="inlineStr">
        <is>
          <t>Reseller hierarchy is at most two levels. Commissions and reports roll up, but a master partner never gets client data access through a sub-partner.</t>
        </is>
      </c>
      <c r="F729" t="inlineStr">
        <is>
          <t>Not started</t>
        </is>
      </c>
      <c r="H729">
        <f>IF(G729&lt;&gt;"",G729,F729)</f>
        <v/>
      </c>
      <c r="I729" t="n">
        <v>0</v>
      </c>
      <c r="J729" t="n">
        <v>0</v>
      </c>
      <c r="K729" t="n">
        <v>0</v>
      </c>
      <c r="L729" s="5" t="inlineStr"/>
      <c r="M729" s="5" t="n"/>
    </row>
    <row r="730">
      <c r="A730" t="inlineStr">
        <is>
          <t>YX-PTR-11</t>
        </is>
      </c>
      <c r="B730" t="inlineStr">
        <is>
          <t>P16</t>
        </is>
      </c>
      <c r="C730" t="inlineStr">
        <is>
          <t>YX-PTR</t>
        </is>
      </c>
      <c r="D730" t="inlineStr">
        <is>
          <t>6+</t>
        </is>
      </c>
      <c r="E730" s="5" t="inlineStr">
        <is>
          <t>Billing per client follows Q3: direct billing + referral commission, or partner-billed consolidated invoice at a partner discount. The client's YukthiX price is never above the published D18 price; commission and discount rates must pass YX-BILL-09; every commission line links to the client invoice it came from. If a partner-billed account goes unpaid, the client may switch to direct billing and is not suspended for the partner's debt.</t>
        </is>
      </c>
      <c r="F730" t="inlineStr">
        <is>
          <t>UI prototype only</t>
        </is>
      </c>
      <c r="H730">
        <f>IF(G730&lt;&gt;"",G730,F730)</f>
        <v/>
      </c>
      <c r="I730" t="n">
        <v>0</v>
      </c>
      <c r="J730" t="n">
        <v>0</v>
      </c>
      <c r="K730" t="n">
        <v>1</v>
      </c>
      <c r="L730" s="5" t="inlineStr"/>
      <c r="M730" s="5" t="n"/>
    </row>
    <row r="731">
      <c r="A731" t="inlineStr">
        <is>
          <t>YX-PTR-12</t>
        </is>
      </c>
      <c r="B731" t="inlineStr">
        <is>
          <t>P16</t>
        </is>
      </c>
      <c r="C731" t="inlineStr">
        <is>
          <t>YX-PTR</t>
        </is>
      </c>
      <c r="D731" t="inlineStr">
        <is>
          <t>6+</t>
        </is>
      </c>
      <c r="E731" s="5" t="inlineStr">
        <is>
          <t>When a link ends or ownership moves to the client, the partner keeps only its own work records (tasks, invoices, commission). Client data, documents and templates copied into the client stay with the client.</t>
        </is>
      </c>
      <c r="F731" t="inlineStr">
        <is>
          <t>Not started</t>
        </is>
      </c>
      <c r="H731">
        <f>IF(G731&lt;&gt;"",G731,F731)</f>
        <v/>
      </c>
      <c r="I731" t="n">
        <v>0</v>
      </c>
      <c r="J731" t="n">
        <v>0</v>
      </c>
      <c r="K731" t="n">
        <v>0</v>
      </c>
      <c r="L731" s="5" t="inlineStr"/>
      <c r="M731" s="5" t="n"/>
    </row>
    <row r="732">
      <c r="A732" t="inlineStr">
        <is>
          <t>YX-PTR-13</t>
        </is>
      </c>
      <c r="B732" t="inlineStr">
        <is>
          <t>P16</t>
        </is>
      </c>
      <c r="C732" t="inlineStr">
        <is>
          <t>YX-PTR</t>
        </is>
      </c>
      <c r="D732" t="inlineStr">
        <is>
          <t>6+</t>
        </is>
      </c>
      <c r="E732" s="5" t="inlineStr">
        <is>
          <t>A partner-owned → client-owned transfer completes after the agreement's notice period (never more than 30 days) and the partner can't block it; open runs are completed or handed over, and the billing account moves with ownership. Every transfer is verified and audited.</t>
        </is>
      </c>
      <c r="F732" t="inlineStr">
        <is>
          <t>UI prototype only</t>
        </is>
      </c>
      <c r="H732">
        <f>IF(G732&lt;&gt;"",G732,F732)</f>
        <v/>
      </c>
      <c r="I732" t="n">
        <v>0</v>
      </c>
      <c r="J732" t="n">
        <v>0</v>
      </c>
      <c r="K732" t="n">
        <v>1</v>
      </c>
      <c r="L732" s="5" t="inlineStr"/>
      <c r="M732" s="5" t="n"/>
    </row>
    <row r="733">
      <c r="A733" t="inlineStr">
        <is>
          <t>YX-PTR-14</t>
        </is>
      </c>
      <c r="B733" t="inlineStr">
        <is>
          <t>P16</t>
        </is>
      </c>
      <c r="C733" t="inlineStr">
        <is>
          <t>YX-PTR</t>
        </is>
      </c>
      <c r="D733" t="inlineStr">
        <is>
          <t>6+</t>
        </is>
      </c>
      <c r="E733" s="5" t="inlineStr">
        <is>
          <t>YukthiX does not run payroll or filings for clients as a service; managed payroll is delivered only by verified partners (Q4). The partner directory lists verified partners only, and ordering never depends on payment to YukthiX.</t>
        </is>
      </c>
      <c r="F733" t="inlineStr">
        <is>
          <t>Not started</t>
        </is>
      </c>
      <c r="H733">
        <f>IF(G733&lt;&gt;"",G733,F733)</f>
        <v/>
      </c>
      <c r="I733" t="n">
        <v>0</v>
      </c>
      <c r="J733" t="n">
        <v>0</v>
      </c>
      <c r="K733" t="n">
        <v>0</v>
      </c>
      <c r="L733" s="5" t="inlineStr"/>
      <c r="M733" s="5" t="n"/>
    </row>
    <row r="734">
      <c r="A734" t="inlineStr">
        <is>
          <t>YX-SRCH-01</t>
        </is>
      </c>
      <c r="B734" t="inlineStr">
        <is>
          <t>P17</t>
        </is>
      </c>
      <c r="C734" t="inlineStr">
        <is>
          <t>YX-SRCH</t>
        </is>
      </c>
      <c r="D734" t="inlineStr">
        <is>
          <t>6+</t>
        </is>
      </c>
      <c r="E734" s="5" t="inlineStr">
        <is>
          <t>Every search result, count, snippet and suggestion is filtered at query time by tenant RLS and the viewer's P02 scope for that source; a result is returned only if the viewer could open the record through its own screen.</t>
        </is>
      </c>
      <c r="F734" t="inlineStr">
        <is>
          <t>Not started</t>
        </is>
      </c>
      <c r="H734">
        <f>IF(G734&lt;&gt;"",G734,F734)</f>
        <v/>
      </c>
      <c r="I734" t="n">
        <v>0</v>
      </c>
      <c r="J734" t="n">
        <v>0</v>
      </c>
      <c r="K734" t="n">
        <v>0</v>
      </c>
      <c r="L734" s="5" t="inlineStr"/>
      <c r="M734" s="5" t="n"/>
    </row>
    <row r="735">
      <c r="A735" t="inlineStr">
        <is>
          <t>YX-SRCH-02</t>
        </is>
      </c>
      <c r="B735" t="inlineStr">
        <is>
          <t>P17</t>
        </is>
      </c>
      <c r="C735" t="inlineStr">
        <is>
          <t>YX-SRCH</t>
        </is>
      </c>
      <c r="D735" t="inlineStr">
        <is>
          <t>6+</t>
        </is>
      </c>
      <c r="E735" s="5" t="inlineStr">
        <is>
          <t>The search index is per tenant (organization_id + RLS, or a per-tenant index / filtered alias in any future engine); no query, ranking signal or suggestion uses another tenant's data.</t>
        </is>
      </c>
      <c r="F735" t="inlineStr">
        <is>
          <t>Not started</t>
        </is>
      </c>
      <c r="H735">
        <f>IF(G735&lt;&gt;"",G735,F735)</f>
        <v/>
      </c>
      <c r="I735" t="n">
        <v>0</v>
      </c>
      <c r="J735" t="n">
        <v>0</v>
      </c>
      <c r="K735" t="n">
        <v>0</v>
      </c>
      <c r="L735" s="5" t="inlineStr"/>
      <c r="M735" s="5" t="n"/>
    </row>
    <row r="736">
      <c r="A736" t="inlineStr">
        <is>
          <t>YX-SRCH-03</t>
        </is>
      </c>
      <c r="B736" t="inlineStr">
        <is>
          <t>P17</t>
        </is>
      </c>
      <c r="C736" t="inlineStr">
        <is>
          <t>YX-SRCH</t>
        </is>
      </c>
      <c r="D736" t="inlineStr">
        <is>
          <t>6+</t>
        </is>
      </c>
      <c r="E736" s="5" t="inlineStr">
        <is>
          <t>Indexed text is stored per P02 field class; a query matches only the classes the viewer holds for that record's scope, and snippets never show a value of a class the viewer lacks.</t>
        </is>
      </c>
      <c r="F736" t="inlineStr">
        <is>
          <t>Not started</t>
        </is>
      </c>
      <c r="H736">
        <f>IF(G736&lt;&gt;"",G736,F736)</f>
        <v/>
      </c>
      <c r="I736" t="n">
        <v>0</v>
      </c>
      <c r="J736" t="n">
        <v>0</v>
      </c>
      <c r="K736" t="n">
        <v>0</v>
      </c>
      <c r="L736" s="5" t="inlineStr"/>
      <c r="M736" s="5" t="n"/>
    </row>
    <row r="737">
      <c r="A737" t="inlineStr">
        <is>
          <t>YX-SRCH-04</t>
        </is>
      </c>
      <c r="B737" t="inlineStr">
        <is>
          <t>P17</t>
        </is>
      </c>
      <c r="C737" t="inlineStr">
        <is>
          <t>YX-SRCH</t>
        </is>
      </c>
      <c r="D737" t="inlineStr">
        <is>
          <t>6+</t>
        </is>
      </c>
      <c r="E737" s="5" t="inlineStr">
        <is>
          <t>Special-class fields and restricted-area narratives are never indexed as text; a Special identifier may be indexed only as a keyed hash of the full value, matched only for roles that hold that field, with the result showing the masked value; the match is audited as a view (P08).</t>
        </is>
      </c>
      <c r="F737" t="inlineStr">
        <is>
          <t>Not started</t>
        </is>
      </c>
      <c r="H737">
        <f>IF(G737&lt;&gt;"",G737,F737)</f>
        <v/>
      </c>
      <c r="I737" t="n">
        <v>0</v>
      </c>
      <c r="J737" t="n">
        <v>0</v>
      </c>
      <c r="K737" t="n">
        <v>0</v>
      </c>
      <c r="L737" s="5" t="inlineStr"/>
      <c r="M737" s="5" t="n"/>
    </row>
    <row r="738">
      <c r="A738" t="inlineStr">
        <is>
          <t>YX-SRCH-05</t>
        </is>
      </c>
      <c r="B738" t="inlineStr">
        <is>
          <t>P17</t>
        </is>
      </c>
      <c r="C738" t="inlineStr">
        <is>
          <t>YX-SRCH</t>
        </is>
      </c>
      <c r="D738" t="inlineStr">
        <is>
          <t>6+</t>
        </is>
      </c>
      <c r="E738" s="5" t="inlineStr">
        <is>
          <t>Restricted-area records (YX-SEC-10) appear only to their members, matched on reference and neutral title only; for everyone else search behaves exactly as for a record that does not exist.</t>
        </is>
      </c>
      <c r="F738" t="inlineStr">
        <is>
          <t>Not started</t>
        </is>
      </c>
      <c r="H738">
        <f>IF(G738&lt;&gt;"",G738,F738)</f>
        <v/>
      </c>
      <c r="I738" t="n">
        <v>0</v>
      </c>
      <c r="J738" t="n">
        <v>0</v>
      </c>
      <c r="K738" t="n">
        <v>0</v>
      </c>
      <c r="L738" s="5" t="inlineStr"/>
      <c r="M738" s="5" t="n"/>
    </row>
    <row r="739">
      <c r="A739" t="inlineStr">
        <is>
          <t>YX-SRCH-06</t>
        </is>
      </c>
      <c r="B739" t="inlineStr">
        <is>
          <t>P17</t>
        </is>
      </c>
      <c r="C739" t="inlineStr">
        <is>
          <t>YX-SRCH</t>
        </is>
      </c>
      <c r="D739" t="inlineStr">
        <is>
          <t>6+</t>
        </is>
      </c>
      <c r="E739" s="5" t="inlineStr">
        <is>
          <t>A change to a record's field class, restricted flag or scope keys re-indexes that record in the same transaction; other index updates follow domain events within 5 seconds (target). Permission changes take effect on the next query without re-indexing.</t>
        </is>
      </c>
      <c r="F739" t="inlineStr">
        <is>
          <t>Not started</t>
        </is>
      </c>
      <c r="H739">
        <f>IF(G739&lt;&gt;"",G739,F739)</f>
        <v/>
      </c>
      <c r="I739" t="n">
        <v>0</v>
      </c>
      <c r="J739" t="n">
        <v>0</v>
      </c>
      <c r="K739" t="n">
        <v>0</v>
      </c>
      <c r="L739" s="5" t="inlineStr"/>
      <c r="M739" s="5" t="n"/>
    </row>
    <row r="740">
      <c r="A740" t="inlineStr">
        <is>
          <t>YX-SRCH-07</t>
        </is>
      </c>
      <c r="B740" t="inlineStr">
        <is>
          <t>P17</t>
        </is>
      </c>
      <c r="C740" t="inlineStr">
        <is>
          <t>YX-SRCH</t>
        </is>
      </c>
      <c r="D740" t="inlineStr">
        <is>
          <t>6+</t>
        </is>
      </c>
      <c r="E740" s="5" t="inlineStr">
        <is>
          <t>The palette lists only actions the viewer holds the permission for and whose product / add-on is enabled; an action opens its sheet, inbox or wizard and never executes an irreversible step directly (APX-D §6.4).</t>
        </is>
      </c>
      <c r="F740" t="inlineStr">
        <is>
          <t>Not started</t>
        </is>
      </c>
      <c r="H740">
        <f>IF(G740&lt;&gt;"",G740,F740)</f>
        <v/>
      </c>
      <c r="I740" t="n">
        <v>0</v>
      </c>
      <c r="J740" t="n">
        <v>0</v>
      </c>
      <c r="K740" t="n">
        <v>0</v>
      </c>
      <c r="L740" s="5" t="inlineStr"/>
      <c r="M740" s="5" t="n"/>
    </row>
    <row r="741">
      <c r="A741" t="inlineStr">
        <is>
          <t>YX-SRCH-08</t>
        </is>
      </c>
      <c r="B741" t="inlineStr">
        <is>
          <t>P17</t>
        </is>
      </c>
      <c r="C741" t="inlineStr">
        <is>
          <t>YX-SRCH</t>
        </is>
      </c>
      <c r="D741" t="inlineStr">
        <is>
          <t>6+</t>
        </is>
      </c>
      <c r="E741" s="5" t="inlineStr">
        <is>
          <t>An exact identifier (employee code, request / ticket / case reference, candidate email or phone) typed in full returns that record first when visible.</t>
        </is>
      </c>
      <c r="F741" t="inlineStr">
        <is>
          <t>Not started</t>
        </is>
      </c>
      <c r="H741">
        <f>IF(G741&lt;&gt;"",G741,F741)</f>
        <v/>
      </c>
      <c r="I741" t="n">
        <v>0</v>
      </c>
      <c r="J741" t="n">
        <v>0</v>
      </c>
      <c r="K741" t="n">
        <v>0</v>
      </c>
      <c r="L741" s="5" t="inlineStr"/>
      <c r="M741" s="5" t="n"/>
    </row>
    <row r="742">
      <c r="A742" t="inlineStr">
        <is>
          <t>YX-SRCH-09</t>
        </is>
      </c>
      <c r="B742" t="inlineStr">
        <is>
          <t>P17</t>
        </is>
      </c>
      <c r="C742" t="inlineStr">
        <is>
          <t>YX-SRCH</t>
        </is>
      </c>
      <c r="D742" t="inlineStr">
        <is>
          <t>6+</t>
        </is>
      </c>
      <c r="E742" s="5" t="inlineStr">
        <is>
          <t>Name matching tolerates up to two typos and Indian transliteration / phonetic variants and matches across Latin and Indic scripts; actions, screen names and help topics are searchable in every P04 employee language.</t>
        </is>
      </c>
      <c r="F742" t="inlineStr">
        <is>
          <t>Not started</t>
        </is>
      </c>
      <c r="H742">
        <f>IF(G742&lt;&gt;"",G742,F742)</f>
        <v/>
      </c>
      <c r="I742" t="n">
        <v>0</v>
      </c>
      <c r="J742" t="n">
        <v>0</v>
      </c>
      <c r="K742" t="n">
        <v>0</v>
      </c>
      <c r="L742" s="5" t="inlineStr"/>
      <c r="M742" s="5" t="n"/>
    </row>
    <row r="743">
      <c r="A743" t="inlineStr">
        <is>
          <t>YX-SRCH-10</t>
        </is>
      </c>
      <c r="B743" t="inlineStr">
        <is>
          <t>P17</t>
        </is>
      </c>
      <c r="C743" t="inlineStr">
        <is>
          <t>YX-SRCH</t>
        </is>
      </c>
      <c r="D743" t="inlineStr">
        <is>
          <t>6+</t>
        </is>
      </c>
      <c r="E743" s="5" t="inlineStr">
        <is>
          <t>Document content is indexed only for document types the company has switched on and never for types classed Confidential or Special in P05; metadata search is always on.</t>
        </is>
      </c>
      <c r="F743" t="inlineStr">
        <is>
          <t>Not started</t>
        </is>
      </c>
      <c r="H743">
        <f>IF(G743&lt;&gt;"",G743,F743)</f>
        <v/>
      </c>
      <c r="I743" t="n">
        <v>0</v>
      </c>
      <c r="J743" t="n">
        <v>0</v>
      </c>
      <c r="K743" t="n">
        <v>0</v>
      </c>
      <c r="L743" s="5" t="inlineStr"/>
      <c r="M743" s="5" t="n"/>
    </row>
    <row r="744">
      <c r="A744" t="inlineStr">
        <is>
          <t>YX-SRCH-11</t>
        </is>
      </c>
      <c r="B744" t="inlineStr">
        <is>
          <t>P17</t>
        </is>
      </c>
      <c r="C744" t="inlineStr">
        <is>
          <t>YX-SRCH</t>
        </is>
      </c>
      <c r="D744" t="inlineStr">
        <is>
          <t>6+</t>
        </is>
      </c>
      <c r="E744" s="5" t="inlineStr">
        <is>
          <t>Synonyms ship as a labelled YukthiX starter list the company extends (D17); ranking uses only the tenant's data and the user's own history.</t>
        </is>
      </c>
      <c r="F744" t="inlineStr">
        <is>
          <t>Not started</t>
        </is>
      </c>
      <c r="H744">
        <f>IF(G744&lt;&gt;"",G744,F744)</f>
        <v/>
      </c>
      <c r="I744" t="n">
        <v>0</v>
      </c>
      <c r="J744" t="n">
        <v>0</v>
      </c>
      <c r="K744" t="n">
        <v>0</v>
      </c>
      <c r="L744" s="5" t="inlineStr"/>
      <c r="M744" s="5" t="n"/>
    </row>
    <row r="745">
      <c r="A745" t="inlineStr">
        <is>
          <t>YX-SRCH-12</t>
        </is>
      </c>
      <c r="B745" t="inlineStr">
        <is>
          <t>P17</t>
        </is>
      </c>
      <c r="C745" t="inlineStr">
        <is>
          <t>YX-SRCH</t>
        </is>
      </c>
      <c r="D745" t="inlineStr">
        <is>
          <t>6+</t>
        </is>
      </c>
      <c r="E745" s="5" t="inlineStr">
        <is>
          <t>Search is an API route like any other (YX-API-02): the same results for our apps and API clients with the same permissions; API keys search only the sources and field classes their scope lists (YX-SEC-22).</t>
        </is>
      </c>
      <c r="F745" t="inlineStr">
        <is>
          <t>Not started</t>
        </is>
      </c>
      <c r="H745">
        <f>IF(G745&lt;&gt;"",G745,F745)</f>
        <v/>
      </c>
      <c r="I745" t="n">
        <v>0</v>
      </c>
      <c r="J745" t="n">
        <v>0</v>
      </c>
      <c r="K745" t="n">
        <v>0</v>
      </c>
      <c r="L745" s="5" t="inlineStr"/>
      <c r="M745" s="5" t="n"/>
    </row>
    <row r="746">
      <c r="A746" t="inlineStr">
        <is>
          <t>YX-CUST-01</t>
        </is>
      </c>
      <c r="B746" t="inlineStr">
        <is>
          <t>P18</t>
        </is>
      </c>
      <c r="C746" t="inlineStr">
        <is>
          <t>YX-CUST</t>
        </is>
      </c>
      <c r="D746" t="inlineStr">
        <is>
          <t>6+</t>
        </is>
      </c>
      <c r="E746" s="5" t="inlineStr">
        <is>
          <t>Every custom field has exactly one P02 field class; reads, writes, API, exports, reports, search and AI apply it exactly as for core fields. Fields whose label or pick-list matches a recognised special category (health, disability, biometrics, religion, caste, Aadhaar, sexual orientation) must be Special.</t>
        </is>
      </c>
      <c r="F746" t="inlineStr">
        <is>
          <t>Not started</t>
        </is>
      </c>
      <c r="H746">
        <f>IF(G746&lt;&gt;"",G746,F746)</f>
        <v/>
      </c>
      <c r="I746" t="n">
        <v>0</v>
      </c>
      <c r="J746" t="n">
        <v>0</v>
      </c>
      <c r="K746" t="n">
        <v>0</v>
      </c>
      <c r="L746" s="5" t="inlineStr"/>
      <c r="M746" s="5" t="n"/>
    </row>
    <row r="747">
      <c r="A747" t="inlineStr">
        <is>
          <t>YX-CUST-02</t>
        </is>
      </c>
      <c r="B747" t="inlineStr">
        <is>
          <t>P18</t>
        </is>
      </c>
      <c r="C747" t="inlineStr">
        <is>
          <t>YX-CUST</t>
        </is>
      </c>
      <c r="D747" t="inlineStr">
        <is>
          <t>6+</t>
        </is>
      </c>
      <c r="E747" s="5" t="inlineStr">
        <is>
          <t>Every custom object declares a record scope model (linked employee / org unit / owner / restricted); P02 visibility is computed from it server-side; restricted objects behave like cases (members only; "not found" for others, YX-SEC-10).</t>
        </is>
      </c>
      <c r="F747" t="inlineStr">
        <is>
          <t>Not started</t>
        </is>
      </c>
      <c r="H747">
        <f>IF(G747&lt;&gt;"",G747,F747)</f>
        <v/>
      </c>
      <c r="I747" t="n">
        <v>0</v>
      </c>
      <c r="J747" t="n">
        <v>0</v>
      </c>
      <c r="K747" t="n">
        <v>0</v>
      </c>
      <c r="L747" s="5" t="inlineStr"/>
      <c r="M747" s="5" t="n"/>
    </row>
    <row r="748">
      <c r="A748" t="inlineStr">
        <is>
          <t>YX-CUST-03</t>
        </is>
      </c>
      <c r="B748" t="inlineStr">
        <is>
          <t>P18</t>
        </is>
      </c>
      <c r="C748" t="inlineStr">
        <is>
          <t>YX-CUST</t>
        </is>
      </c>
      <c r="D748" t="inlineStr">
        <is>
          <t>6+</t>
        </is>
      </c>
      <c r="E748" s="5" t="inlineStr">
        <is>
          <t>Every active custom object is automatically exposed through the public REST and GraphQL API, documented in the tenant's generated OpenAPI, and emits custom.&lt;api_name&gt;.created / updated / deleted events, with all P11 rules (RLS, scopes, field classes, idempotency, rate limits, audit, ID-only webhooks for Confidential / Special) applied.</t>
        </is>
      </c>
      <c r="F748" t="inlineStr">
        <is>
          <t>Not started</t>
        </is>
      </c>
      <c r="H748">
        <f>IF(G748&lt;&gt;"",G748,F748)</f>
        <v/>
      </c>
      <c r="I748" t="n">
        <v>0</v>
      </c>
      <c r="J748" t="n">
        <v>0</v>
      </c>
      <c r="K748" t="n">
        <v>0</v>
      </c>
      <c r="L748" s="5" t="inlineStr"/>
      <c r="M748" s="5" t="n"/>
    </row>
    <row r="749">
      <c r="A749" t="inlineStr">
        <is>
          <t>YX-CUST-04</t>
        </is>
      </c>
      <c r="B749" t="inlineStr">
        <is>
          <t>P18</t>
        </is>
      </c>
      <c r="C749" t="inlineStr">
        <is>
          <t>YX-CUST</t>
        </is>
      </c>
      <c r="D749" t="inlineStr">
        <is>
          <t>6+</t>
        </is>
      </c>
      <c r="E749" s="5" t="inlineStr">
        <is>
          <t>A layout controls presentation only: it never grants or removes access, cannot hide or un-require a field a YX rule or the law requires, cannot remove locked system sections (audit, approval trail), and conditional rules are enforced on the server as well as the client.</t>
        </is>
      </c>
      <c r="F749" t="inlineStr">
        <is>
          <t>Not started</t>
        </is>
      </c>
      <c r="H749">
        <f>IF(G749&lt;&gt;"",G749,F749)</f>
        <v/>
      </c>
      <c r="I749" t="n">
        <v>0</v>
      </c>
      <c r="J749" t="n">
        <v>0</v>
      </c>
      <c r="K749" t="n">
        <v>0</v>
      </c>
      <c r="L749" s="5" t="inlineStr"/>
      <c r="M749" s="5" t="n"/>
    </row>
    <row r="750">
      <c r="A750" t="inlineStr">
        <is>
          <t>YX-CUST-05</t>
        </is>
      </c>
      <c r="B750" t="inlineStr">
        <is>
          <t>P18</t>
        </is>
      </c>
      <c r="C750" t="inlineStr">
        <is>
          <t>YX-CUST</t>
        </is>
      </c>
      <c r="D750" t="inlineStr">
        <is>
          <t>6+</t>
        </is>
      </c>
      <c r="E750" s="5" t="inlineStr">
        <is>
          <t>Custom request types run on the P03 engine with the same approval, delegation, proxy, SLA, self-approval and audit rules as built-in types; their effects are limited to custom-object records, notifications, or submitting an input to a module's own API for that module's validation; they never write governed payroll, leave, attendance or statutory data directly.</t>
        </is>
      </c>
      <c r="F750" t="inlineStr">
        <is>
          <t>Not started</t>
        </is>
      </c>
      <c r="H750">
        <f>IF(G750&lt;&gt;"",G750,F750)</f>
        <v/>
      </c>
      <c r="I750" t="n">
        <v>0</v>
      </c>
      <c r="J750" t="n">
        <v>0</v>
      </c>
      <c r="K750" t="n">
        <v>0</v>
      </c>
      <c r="L750" s="5" t="inlineStr"/>
      <c r="M750" s="5" t="n"/>
    </row>
    <row r="751">
      <c r="A751" t="inlineStr">
        <is>
          <t>YX-CUST-06</t>
        </is>
      </c>
      <c r="B751" t="inlineStr">
        <is>
          <t>P18</t>
        </is>
      </c>
      <c r="C751" t="inlineStr">
        <is>
          <t>YX-CUST</t>
        </is>
      </c>
      <c r="D751" t="inlineStr">
        <is>
          <t>6+</t>
        </is>
      </c>
      <c r="E751" s="5" t="inlineStr">
        <is>
          <t>Custom objects are base entities in the P09 report builder and metric layer; custom calculated metrics inherit the most restrictive class of their inputs and obey small-group suppression (YX-MET-04, YX-MET-11).</t>
        </is>
      </c>
      <c r="F751" t="inlineStr">
        <is>
          <t>Not started</t>
        </is>
      </c>
      <c r="H751">
        <f>IF(G751&lt;&gt;"",G751,F751)</f>
        <v/>
      </c>
      <c r="I751" t="n">
        <v>0</v>
      </c>
      <c r="J751" t="n">
        <v>0</v>
      </c>
      <c r="K751" t="n">
        <v>0</v>
      </c>
      <c r="L751" s="5" t="inlineStr"/>
      <c r="M751" s="5" t="n"/>
    </row>
    <row r="752">
      <c r="A752" t="inlineStr">
        <is>
          <t>YX-CUST-07</t>
        </is>
      </c>
      <c r="B752" t="inlineStr">
        <is>
          <t>P18</t>
        </is>
      </c>
      <c r="C752" t="inlineStr">
        <is>
          <t>YX-CUST</t>
        </is>
      </c>
      <c r="D752" t="inlineStr">
        <is>
          <t>6+</t>
        </is>
      </c>
      <c r="E752" s="5" t="inlineStr">
        <is>
          <t>Metadata changes are versioned and diffable; destructive changes (delete object / field, type change) require an export offer, a typed confirmation and keep data archived for the audit period; API names are immutable once active.</t>
        </is>
      </c>
      <c r="F752" t="inlineStr">
        <is>
          <t>Not started</t>
        </is>
      </c>
      <c r="H752">
        <f>IF(G752&lt;&gt;"",G752,F752)</f>
        <v/>
      </c>
      <c r="I752" t="n">
        <v>0</v>
      </c>
      <c r="J752" t="n">
        <v>0</v>
      </c>
      <c r="K752" t="n">
        <v>0</v>
      </c>
      <c r="L752" s="5" t="inlineStr"/>
      <c r="M752" s="5" t="n"/>
    </row>
    <row r="753">
      <c r="A753" t="inlineStr">
        <is>
          <t>YX-CUST-08</t>
        </is>
      </c>
      <c r="B753" t="inlineStr">
        <is>
          <t>P18</t>
        </is>
      </c>
      <c r="C753" t="inlineStr">
        <is>
          <t>YX-CUST</t>
        </is>
      </c>
      <c r="D753" t="inlineStr">
        <is>
          <t>6+</t>
        </is>
      </c>
      <c r="E753" s="5" t="inlineStr">
        <is>
          <t>When "promotion required" is on, new or changed objects, fields and request types reach production only through a reviewed sandbox promotion (YX-MIG-10); every production metadata edit is audited with before / after (P08).</t>
        </is>
      </c>
      <c r="F753" t="inlineStr">
        <is>
          <t>Not started</t>
        </is>
      </c>
      <c r="H753">
        <f>IF(G753&lt;&gt;"",G753,F753)</f>
        <v/>
      </c>
      <c r="I753" t="n">
        <v>0</v>
      </c>
      <c r="J753" t="n">
        <v>0</v>
      </c>
      <c r="K753" t="n">
        <v>0</v>
      </c>
      <c r="L753" s="5" t="inlineStr"/>
      <c r="M753" s="5" t="n"/>
    </row>
    <row r="754">
      <c r="A754" t="inlineStr">
        <is>
          <t>YX-CUST-09</t>
        </is>
      </c>
      <c r="B754" t="inlineStr">
        <is>
          <t>P18</t>
        </is>
      </c>
      <c r="C754" t="inlineStr">
        <is>
          <t>YX-CUST</t>
        </is>
      </c>
      <c r="D754" t="inlineStr">
        <is>
          <t>6+</t>
        </is>
      </c>
      <c r="E754" s="5" t="inlineStr">
        <is>
          <t>Fair-use limits per tenant (objects, fields, layouts, request types, records) are shown on the usage page with 80 % / 100 % alerts (YX-BILL-07); exceeding them never blocks reading or exporting existing data; storage beyond fair use is the storage add-on (D18).</t>
        </is>
      </c>
      <c r="F754" t="inlineStr">
        <is>
          <t>Not started</t>
        </is>
      </c>
      <c r="H754">
        <f>IF(G754&lt;&gt;"",G754,F754)</f>
        <v/>
      </c>
      <c r="I754" t="n">
        <v>0</v>
      </c>
      <c r="J754" t="n">
        <v>0</v>
      </c>
      <c r="K754" t="n">
        <v>0</v>
      </c>
      <c r="L754" s="5" t="inlineStr"/>
      <c r="M754" s="5" t="n"/>
    </row>
    <row r="755">
      <c r="A755" t="inlineStr">
        <is>
          <t>YX-CUST-10</t>
        </is>
      </c>
      <c r="B755" t="inlineStr">
        <is>
          <t>P18</t>
        </is>
      </c>
      <c r="C755" t="inlineStr">
        <is>
          <t>YX-CUST</t>
        </is>
      </c>
      <c r="D755" t="inlineStr">
        <is>
          <t>6+</t>
        </is>
      </c>
      <c r="E755" s="5" t="inlineStr">
        <is>
          <t>Starter objects, layouts and request types are labelled "YukthiX starter — edit for your company" and are never updated in a tenant automatically; new starter versions are offered as a diff (D17).</t>
        </is>
      </c>
      <c r="F755" t="inlineStr">
        <is>
          <t>Not started</t>
        </is>
      </c>
      <c r="H755">
        <f>IF(G755&lt;&gt;"",G755,F755)</f>
        <v/>
      </c>
      <c r="I755" t="n">
        <v>0</v>
      </c>
      <c r="J755" t="n">
        <v>0</v>
      </c>
      <c r="K755" t="n">
        <v>0</v>
      </c>
      <c r="L755" s="5" t="inlineStr"/>
      <c r="M755" s="5" t="n"/>
    </row>
    <row r="756">
      <c r="A756" t="inlineStr">
        <is>
          <t>YX-CUST-11</t>
        </is>
      </c>
      <c r="B756" t="inlineStr">
        <is>
          <t>P18</t>
        </is>
      </c>
      <c r="C756" t="inlineStr">
        <is>
          <t>YX-CUST</t>
        </is>
      </c>
      <c r="D756" t="inlineStr">
        <is>
          <t>6+</t>
        </is>
      </c>
      <c r="E756" s="5" t="inlineStr">
        <is>
          <t>Custom fields may be used in any company rule through the P19 rule engine (policy values, eligibility, validation, routing, automations, company pay components). They never change statutory calculations, protected areas or locked periods (P19 YX-RULE-03 / 04 / 08). *(Amended 26 Sep 2026 by D19; previously core modules read custom fields only where their own doc allowed.)*</t>
        </is>
      </c>
      <c r="F756" t="inlineStr">
        <is>
          <t>Not started</t>
        </is>
      </c>
      <c r="H756">
        <f>IF(G756&lt;&gt;"",G756,F756)</f>
        <v/>
      </c>
      <c r="I756" t="n">
        <v>0</v>
      </c>
      <c r="J756" t="n">
        <v>0</v>
      </c>
      <c r="K756" t="n">
        <v>0</v>
      </c>
      <c r="L756" s="5" t="inlineStr"/>
      <c r="M756" s="5" t="n"/>
    </row>
    <row r="757">
      <c r="A757" t="inlineStr">
        <is>
          <t>YX-RULE-01</t>
        </is>
      </c>
      <c r="B757" t="inlineStr">
        <is>
          <t>P19</t>
        </is>
      </c>
      <c r="C757" t="inlineStr">
        <is>
          <t>YX-RULE</t>
        </is>
      </c>
      <c r="D757" t="inlineStr">
        <is>
          <t>6+</t>
        </is>
      </c>
      <c r="E757" s="5" t="inlineStr">
        <is>
          <t>Every company-variable decision in the product is a registered policy point answered by the rule engine. Modules ship starter rules, never hard-coded policy (D17 / D19).</t>
        </is>
      </c>
      <c r="F757" t="inlineStr">
        <is>
          <t>Not started</t>
        </is>
      </c>
      <c r="H757">
        <f>IF(G757&lt;&gt;"",G757,F757)</f>
        <v/>
      </c>
      <c r="I757" t="n">
        <v>0</v>
      </c>
      <c r="J757" t="n">
        <v>0</v>
      </c>
      <c r="K757" t="n">
        <v>0</v>
      </c>
      <c r="L757" s="5" t="inlineStr"/>
      <c r="M757" s="5" t="n"/>
    </row>
    <row r="758">
      <c r="A758" t="inlineStr">
        <is>
          <t>YX-RULE-02</t>
        </is>
      </c>
      <c r="B758" t="inlineStr">
        <is>
          <t>P19</t>
        </is>
      </c>
      <c r="C758" t="inlineStr">
        <is>
          <t>YX-RULE</t>
        </is>
      </c>
      <c r="D758" t="inlineStr">
        <is>
          <t>6+</t>
        </is>
      </c>
      <c r="E758" s="5" t="inlineStr">
        <is>
          <t>Rules may use any field the author is allowed to see: built-in, custom (P18) or related, referenced by fixed API names. A field used by an active rule can't be deleted or change type until the rule is updated.</t>
        </is>
      </c>
      <c r="F758" t="inlineStr">
        <is>
          <t>Not started</t>
        </is>
      </c>
      <c r="H758">
        <f>IF(G758&lt;&gt;"",G758,F758)</f>
        <v/>
      </c>
      <c r="I758" t="n">
        <v>0</v>
      </c>
      <c r="J758" t="n">
        <v>0</v>
      </c>
      <c r="K758" t="n">
        <v>0</v>
      </c>
      <c r="L758" s="5" t="inlineStr"/>
      <c r="M758" s="5" t="n"/>
    </row>
    <row r="759">
      <c r="A759" t="inlineStr">
        <is>
          <t>YX-RULE-03</t>
        </is>
      </c>
      <c r="B759" t="inlineStr">
        <is>
          <t>P19</t>
        </is>
      </c>
      <c r="C759" t="inlineStr">
        <is>
          <t>YX-RULE</t>
        </is>
      </c>
      <c r="D759" t="inlineStr">
        <is>
          <t>6+</t>
        </is>
      </c>
      <c r="E759" s="5" t="inlineStr">
        <is>
          <t>Where P07 defines a legal floor or cap, the legal value always applies over a company rule, per Q3. The builder warns at save with the number of people affected.</t>
        </is>
      </c>
      <c r="F759" t="inlineStr">
        <is>
          <t>UI prototype only</t>
        </is>
      </c>
      <c r="H759">
        <f>IF(G759&lt;&gt;"",G759,F759)</f>
        <v/>
      </c>
      <c r="I759" t="n">
        <v>0</v>
      </c>
      <c r="J759" t="n">
        <v>0</v>
      </c>
      <c r="K759" t="n">
        <v>1</v>
      </c>
      <c r="L759" s="5" t="inlineStr"/>
      <c r="M759" s="5" t="n"/>
    </row>
    <row r="760">
      <c r="A760" t="inlineStr">
        <is>
          <t>YX-RULE-04</t>
        </is>
      </c>
      <c r="B760" t="inlineStr">
        <is>
          <t>P19</t>
        </is>
      </c>
      <c r="C760" t="inlineStr">
        <is>
          <t>YX-RULE</t>
        </is>
      </c>
      <c r="D760" t="inlineStr">
        <is>
          <t>6+</t>
        </is>
      </c>
      <c r="E760" s="5" t="inlineStr">
        <is>
          <t>Protected areas (§3) can't be changed by any rule. Automations can update only company-owned and custom fields, never governed fields (statutory values, locked payroll, audit, consent).</t>
        </is>
      </c>
      <c r="F760" t="inlineStr">
        <is>
          <t>Not started</t>
        </is>
      </c>
      <c r="H760">
        <f>IF(G760&lt;&gt;"",G760,F760)</f>
        <v/>
      </c>
      <c r="I760" t="n">
        <v>0</v>
      </c>
      <c r="J760" t="n">
        <v>0</v>
      </c>
      <c r="K760" t="n">
        <v>0</v>
      </c>
      <c r="L760" s="5" t="inlineStr"/>
      <c r="M760" s="5" t="n"/>
    </row>
    <row r="761">
      <c r="A761" t="inlineStr">
        <is>
          <t>YX-RULE-05</t>
        </is>
      </c>
      <c r="B761" t="inlineStr">
        <is>
          <t>P19</t>
        </is>
      </c>
      <c r="C761" t="inlineStr">
        <is>
          <t>YX-RULE</t>
        </is>
      </c>
      <c r="D761" t="inlineStr">
        <is>
          <t>6+</t>
        </is>
      </c>
      <c r="E761" s="5" t="inlineStr">
        <is>
          <t>Expressions are type-checked at save, deterministic, side-effect free (except automation actions), time-limited and never call outside systems. External effects go only through P11 webhooks.</t>
        </is>
      </c>
      <c r="F761" t="inlineStr">
        <is>
          <t>Not started</t>
        </is>
      </c>
      <c r="H761">
        <f>IF(G761&lt;&gt;"",G761,F761)</f>
        <v/>
      </c>
      <c r="I761" t="n">
        <v>0</v>
      </c>
      <c r="J761" t="n">
        <v>0</v>
      </c>
      <c r="K761" t="n">
        <v>0</v>
      </c>
      <c r="L761" s="5" t="inlineStr"/>
      <c r="M761" s="5" t="n"/>
    </row>
    <row r="762">
      <c r="A762" t="inlineStr">
        <is>
          <t>YX-RULE-06</t>
        </is>
      </c>
      <c r="B762" t="inlineStr">
        <is>
          <t>P19</t>
        </is>
      </c>
      <c r="C762" t="inlineStr">
        <is>
          <t>YX-RULE</t>
        </is>
      </c>
      <c r="D762" t="inlineStr">
        <is>
          <t>6+</t>
        </is>
      </c>
      <c r="E762" s="5" t="inlineStr">
        <is>
          <t>Every rule change is versioned, effective-dated and audited. Changes to rules touching pay, leave balances, access or data visibility need a second-person approval (P02 maker ≠ checker).</t>
        </is>
      </c>
      <c r="F762" t="inlineStr">
        <is>
          <t>Not started</t>
        </is>
      </c>
      <c r="H762">
        <f>IF(G762&lt;&gt;"",G762,F762)</f>
        <v/>
      </c>
      <c r="I762" t="n">
        <v>0</v>
      </c>
      <c r="J762" t="n">
        <v>0</v>
      </c>
      <c r="K762" t="n">
        <v>0</v>
      </c>
      <c r="L762" s="5" t="inlineStr"/>
      <c r="M762" s="5" t="n"/>
    </row>
    <row r="763">
      <c r="A763" t="inlineStr">
        <is>
          <t>YX-RULE-07</t>
        </is>
      </c>
      <c r="B763" t="inlineStr">
        <is>
          <t>P19</t>
        </is>
      </c>
      <c r="C763" t="inlineStr">
        <is>
          <t>YX-RULE</t>
        </is>
      </c>
      <c r="D763" t="inlineStr">
        <is>
          <t>6+</t>
        </is>
      </c>
      <c r="E763" s="5" t="inlineStr">
        <is>
          <t>A rule can be activated only after an impact preview has been run on current data (or the sandbox). The preview result is stored with the version.</t>
        </is>
      </c>
      <c r="F763" t="inlineStr">
        <is>
          <t>UI prototype only</t>
        </is>
      </c>
      <c r="H763">
        <f>IF(G763&lt;&gt;"",G763,F763)</f>
        <v/>
      </c>
      <c r="I763" t="n">
        <v>0</v>
      </c>
      <c r="J763" t="n">
        <v>0</v>
      </c>
      <c r="K763" t="n">
        <v>1</v>
      </c>
      <c r="L763" s="5" t="inlineStr"/>
      <c r="M763" s="5" t="n"/>
    </row>
    <row r="764">
      <c r="A764" t="inlineStr">
        <is>
          <t>YX-RULE-08</t>
        </is>
      </c>
      <c r="B764" t="inlineStr">
        <is>
          <t>P19</t>
        </is>
      </c>
      <c r="C764" t="inlineStr">
        <is>
          <t>YX-RULE</t>
        </is>
      </c>
      <c r="D764" t="inlineStr">
        <is>
          <t>6+</t>
        </is>
      </c>
      <c r="E764" s="5" t="inlineStr">
        <is>
          <t>Back-dated changes follow P06 retro: arrears or balance adjustments are proposed, and locked periods and issued payslips are never rewritten (P08).</t>
        </is>
      </c>
      <c r="F764" t="inlineStr">
        <is>
          <t>Not started</t>
        </is>
      </c>
      <c r="H764">
        <f>IF(G764&lt;&gt;"",G764,F764)</f>
        <v/>
      </c>
      <c r="I764" t="n">
        <v>0</v>
      </c>
      <c r="J764" t="n">
        <v>0</v>
      </c>
      <c r="K764" t="n">
        <v>0</v>
      </c>
      <c r="L764" s="5" t="inlineStr"/>
      <c r="M764" s="5" t="n"/>
    </row>
    <row r="765">
      <c r="A765" t="inlineStr">
        <is>
          <t>YX-RULE-09</t>
        </is>
      </c>
      <c r="B765" t="inlineStr">
        <is>
          <t>P19</t>
        </is>
      </c>
      <c r="C765" t="inlineStr">
        <is>
          <t>YX-RULE</t>
        </is>
      </c>
      <c r="D765" t="inlineStr">
        <is>
          <t>6+</t>
        </is>
      </c>
      <c r="E765" s="5" t="inlineStr">
        <is>
          <t>Conflicts are resolved by most specific scope, then priority. Overlapping or unreachable rules are shown in the builder.</t>
        </is>
      </c>
      <c r="F765" t="inlineStr">
        <is>
          <t>UI prototype only</t>
        </is>
      </c>
      <c r="H765">
        <f>IF(G765&lt;&gt;"",G765,F765)</f>
        <v/>
      </c>
      <c r="I765" t="n">
        <v>0</v>
      </c>
      <c r="J765" t="n">
        <v>0</v>
      </c>
      <c r="K765" t="n">
        <v>1</v>
      </c>
      <c r="L765" s="5" t="inlineStr"/>
      <c r="M765" s="5" t="n"/>
    </row>
    <row r="766">
      <c r="A766" t="inlineStr">
        <is>
          <t>YX-RULE-10</t>
        </is>
      </c>
      <c r="B766" t="inlineStr">
        <is>
          <t>P19</t>
        </is>
      </c>
      <c r="C766" t="inlineStr">
        <is>
          <t>YX-RULE</t>
        </is>
      </c>
      <c r="D766" t="inlineStr">
        <is>
          <t>6+</t>
        </is>
      </c>
      <c r="E766" s="5" t="inlineStr">
        <is>
          <t>Any person affected by a rule can see a plain-language "why" for their result (e.g. leave entitlement), naming the rule and any legal adjustment, without seeing other people's data.</t>
        </is>
      </c>
      <c r="F766" t="inlineStr">
        <is>
          <t>Not started</t>
        </is>
      </c>
      <c r="H766">
        <f>IF(G766&lt;&gt;"",G766,F766)</f>
        <v/>
      </c>
      <c r="I766" t="n">
        <v>0</v>
      </c>
      <c r="J766" t="n">
        <v>0</v>
      </c>
      <c r="K766" t="n">
        <v>0</v>
      </c>
      <c r="L766" s="5" t="inlineStr"/>
      <c r="M766" s="5" t="n"/>
    </row>
    <row r="767">
      <c r="A767" t="inlineStr">
        <is>
          <t>YX-RULE-11</t>
        </is>
      </c>
      <c r="B767" t="inlineStr">
        <is>
          <t>P19</t>
        </is>
      </c>
      <c r="C767" t="inlineStr">
        <is>
          <t>YX-RULE</t>
        </is>
      </c>
      <c r="D767" t="inlineStr">
        <is>
          <t>6+</t>
        </is>
      </c>
      <c r="E767" s="5" t="inlineStr">
        <is>
          <t>Automations have loop protection (a rule's action can't re-trigger the same rule on the same record within one chain), daily run limits per tenant (fair use, D18), and retry with backoff. Every run is logged.</t>
        </is>
      </c>
      <c r="F767" t="inlineStr">
        <is>
          <t>Not started</t>
        </is>
      </c>
      <c r="H767">
        <f>IF(G767&lt;&gt;"",G767,F767)</f>
        <v/>
      </c>
      <c r="I767" t="n">
        <v>0</v>
      </c>
      <c r="J767" t="n">
        <v>0</v>
      </c>
      <c r="K767" t="n">
        <v>0</v>
      </c>
      <c r="L767" s="5" t="inlineStr"/>
      <c r="M767" s="5" t="n"/>
    </row>
    <row r="768">
      <c r="A768" t="inlineStr">
        <is>
          <t>YX-RULE-12</t>
        </is>
      </c>
      <c r="B768" t="inlineStr">
        <is>
          <t>P19</t>
        </is>
      </c>
      <c r="C768" t="inlineStr">
        <is>
          <t>YX-RULE</t>
        </is>
      </c>
      <c r="D768" t="inlineStr">
        <is>
          <t>6+</t>
        </is>
      </c>
      <c r="E768" s="5" t="inlineStr">
        <is>
          <t>Rules move between sandbox and production through P15 promotion when the company turns on "promotion required". Starter rules are never changed in a tenant by YukthiX updates without the company's acceptance (YX-CUST-10 pattern).</t>
        </is>
      </c>
      <c r="F768" t="inlineStr">
        <is>
          <t>Not started</t>
        </is>
      </c>
      <c r="H768">
        <f>IF(G768&lt;&gt;"",G768,F768)</f>
        <v/>
      </c>
      <c r="I768" t="n">
        <v>0</v>
      </c>
      <c r="J768" t="n">
        <v>0</v>
      </c>
      <c r="K768" t="n">
        <v>0</v>
      </c>
      <c r="L768" s="5" t="inlineStr"/>
      <c r="M768" s="5" t="n"/>
    </row>
    <row r="769">
      <c r="A769" t="inlineStr">
        <is>
          <t>YX-RULE-13</t>
        </is>
      </c>
      <c r="B769" t="inlineStr">
        <is>
          <t>P19</t>
        </is>
      </c>
      <c r="C769" t="inlineStr">
        <is>
          <t>YX-RULE</t>
        </is>
      </c>
      <c r="D769" t="inlineStr">
        <is>
          <t>6+</t>
        </is>
      </c>
      <c r="E769" s="5" t="inlineStr">
        <is>
          <t>Notice of change (J5). A rule version on a conditions-of-service policy point that changes the result for any worker (P07 worker classification) can't be activated with an effective date earlier than notice issue + the P07 IN.IR notice period (21 days, verify); the notice is generated and issued to affected workers and the recognised union; exceptions allowed by law (a settlement or award, M08 YX-CASE-18) are recorded with the reference. Law is the floor: a company may give a longer notice (D17).</t>
        </is>
      </c>
      <c r="F769" t="inlineStr">
        <is>
          <t>Tested, code not linked</t>
        </is>
      </c>
      <c r="H769">
        <f>IF(G769&lt;&gt;"",G769,F769)</f>
        <v/>
      </c>
      <c r="I769" t="n">
        <v>0</v>
      </c>
      <c r="J769" t="n">
        <v>1</v>
      </c>
      <c r="K769" t="n">
        <v>1</v>
      </c>
      <c r="L769" s="5" t="inlineStr">
        <is>
          <t>exam-app-org:packages/yx-ui/src/screens/platform-b/platform-b.test.tsx</t>
        </is>
      </c>
      <c r="M769" s="5" t="n"/>
    </row>
    <row r="770">
      <c r="A770" t="inlineStr">
        <is>
          <t>YX-RULE-14</t>
        </is>
      </c>
      <c r="B770" t="inlineStr">
        <is>
          <t>P19</t>
        </is>
      </c>
      <c r="C770" t="inlineStr">
        <is>
          <t>YX-RULE</t>
        </is>
      </c>
      <c r="D770" t="inlineStr">
        <is>
          <t>6+</t>
        </is>
      </c>
      <c r="E770" s="5" t="inlineStr">
        <is>
          <t>Policy link and re-acknowledgement (J5). Every active rule version names the M08 policy version it implements; activating a version marked material publishes / links the policy version and starts re-acknowledgement for the affected audience (YX-POL-01); a rule with no policy link can't be activated on an employee-facing policy point.</t>
        </is>
      </c>
      <c r="F770" t="inlineStr">
        <is>
          <t>Not started</t>
        </is>
      </c>
      <c r="H770">
        <f>IF(G770&lt;&gt;"",G770,F770)</f>
        <v/>
      </c>
      <c r="I770" t="n">
        <v>0</v>
      </c>
      <c r="J770" t="n">
        <v>0</v>
      </c>
      <c r="K770" t="n">
        <v>0</v>
      </c>
      <c r="L770" s="5" t="inlineStr"/>
      <c r="M770" s="5" t="n"/>
    </row>
    <row r="771">
      <c r="A771" t="inlineStr">
        <is>
          <t>YX-GRO-01</t>
        </is>
      </c>
      <c r="B771" t="inlineStr">
        <is>
          <t>P20</t>
        </is>
      </c>
      <c r="C771" t="inlineStr">
        <is>
          <t>YX-GRO</t>
        </is>
      </c>
      <c r="D771" t="inlineStr">
        <is>
          <t>3</t>
        </is>
      </c>
      <c r="E771" s="5" t="inlineStr">
        <is>
          <t>Quick start lanes (S3). Every product has a registered quick start lane of at most three steps that reaches its first value with starter templates applied in one click (APX-E §1.6): Assess sends a library test invite, Hire posts a job to the careers page, HR imports employees from Excel and shows a payslip preview. Lane steps are ordinary setup steps (YX-ORG-23); a lane never marks a module ready or live, never skips a go-live check, and respects every trial limit (P14 Q4). Sample data (P15) can stand in for real data and is labelled on every screen.</t>
        </is>
      </c>
      <c r="F771" t="inlineStr">
        <is>
          <t>Not started</t>
        </is>
      </c>
      <c r="H771">
        <f>IF(G771&lt;&gt;"",G771,F771)</f>
        <v/>
      </c>
      <c r="I771" t="n">
        <v>0</v>
      </c>
      <c r="J771" t="n">
        <v>0</v>
      </c>
      <c r="K771" t="n">
        <v>0</v>
      </c>
      <c r="L771" s="5" t="inlineStr"/>
      <c r="M771" s="5" t="n"/>
    </row>
    <row r="772">
      <c r="A772" t="inlineStr">
        <is>
          <t>YX-GRO-02</t>
        </is>
      </c>
      <c r="B772" t="inlineStr">
        <is>
          <t>P20</t>
        </is>
      </c>
      <c r="C772" t="inlineStr">
        <is>
          <t>YX-GRO</t>
        </is>
      </c>
      <c r="D772" t="inlineStr">
        <is>
          <t>3</t>
        </is>
      </c>
      <c r="E772" s="5" t="inlineStr">
        <is>
          <t>First value and activation (S1, S3). First value and activation are recorded per tenant × product in tenant_milestones from the registered events, and measured only through the P09 product.* metrics (YX-MET-21). Activation definitions are versioned; a change applies to new cohorts and is noted in the metric changelog.</t>
        </is>
      </c>
      <c r="F772" t="inlineStr">
        <is>
          <t>Not started</t>
        </is>
      </c>
      <c r="H772">
        <f>IF(G772&lt;&gt;"",G772,F772)</f>
        <v/>
      </c>
      <c r="I772" t="n">
        <v>0</v>
      </c>
      <c r="J772" t="n">
        <v>0</v>
      </c>
      <c r="K772" t="n">
        <v>0</v>
      </c>
      <c r="L772" s="5" t="inlineStr"/>
      <c r="M772" s="5" t="n"/>
    </row>
    <row r="773">
      <c r="A773" t="inlineStr">
        <is>
          <t>YX-GRO-03</t>
        </is>
      </c>
      <c r="B773" t="inlineStr">
        <is>
          <t>P20</t>
        </is>
      </c>
      <c r="C773" t="inlineStr">
        <is>
          <t>YX-GRO</t>
        </is>
      </c>
      <c r="D773" t="inlineStr">
        <is>
          <t>3</t>
        </is>
      </c>
      <c r="E773" s="5" t="inlineStr">
        <is>
          <t>Trial nudges (S2). During a trial each admin who signed up, and each System Admin, gets nudges on day 0, 1, 3, 7 and 14, chosen from setup-hub progress (never from product-analytics events, so opted-out tenants get the same help): a nudge whose step is already done is skipped or replaced by the next suggested step. At most one lifecycle message per admin per day and none on a day the admin gets a CS message (YX-CONSOLE-06); admins can mute set-up tips in one click; only admins receive them, never employees or candidates. The existing trial-ending notices (T-7, T-1) are always sent.</t>
        </is>
      </c>
      <c r="F773" t="inlineStr">
        <is>
          <t>Not started</t>
        </is>
      </c>
      <c r="H773">
        <f>IF(G773&lt;&gt;"",G773,F773)</f>
        <v/>
      </c>
      <c r="I773" t="n">
        <v>0</v>
      </c>
      <c r="J773" t="n">
        <v>0</v>
      </c>
      <c r="K773" t="n">
        <v>0</v>
      </c>
      <c r="L773" s="5" t="inlineStr"/>
      <c r="M773" s="5" t="n"/>
    </row>
    <row r="774">
      <c r="A774" t="inlineStr">
        <is>
          <t>YX-GRO-04</t>
        </is>
      </c>
      <c r="B774" t="inlineStr">
        <is>
          <t>P20</t>
        </is>
      </c>
      <c r="C774" t="inlineStr">
        <is>
          <t>YX-GRO</t>
        </is>
      </c>
      <c r="D774" t="inlineStr">
        <is>
          <t>3</t>
        </is>
      </c>
      <c r="E774" s="5" t="inlineStr">
        <is>
          <t>"Switch on" moments (S2). A "switch on" card appears only when (a) an admin opens a product the tenant does not have, (b) a trial limit is reached (live bank file, statutory filing, partner add-on, bulk WhatsApp / SMS), or (c) the product's first value is reached. It states what the product does, the published price (YX-BILL-14) and that billing starts at go-live (YX-BILL-12), with Switch on, Talk to us and Not now. It never hides or blocks the tenant's own data or previews; a dismissed card is not shown again for 14 days; admins without billing permission see "Ask your System Admin" instead.</t>
        </is>
      </c>
      <c r="F774" t="inlineStr">
        <is>
          <t>Not started</t>
        </is>
      </c>
      <c r="H774">
        <f>IF(G774&lt;&gt;"",G774,F774)</f>
        <v/>
      </c>
      <c r="I774" t="n">
        <v>0</v>
      </c>
      <c r="J774" t="n">
        <v>0</v>
      </c>
      <c r="K774" t="n">
        <v>0</v>
      </c>
      <c r="L774" s="5" t="inlineStr"/>
      <c r="M774" s="5" t="n"/>
    </row>
    <row r="775">
      <c r="A775" t="inlineStr">
        <is>
          <t>YX-GRO-05</t>
        </is>
      </c>
      <c r="B775" t="inlineStr">
        <is>
          <t>P20</t>
        </is>
      </c>
      <c r="C775" t="inlineStr">
        <is>
          <t>YX-GRO</t>
        </is>
      </c>
      <c r="D775" t="inlineStr">
        <is>
          <t>3</t>
        </is>
      </c>
      <c r="E775" s="5" t="inlineStr">
        <is>
          <t>Talk to us (S2). A trial whose company is above the size threshold (starter: 200 employees imported or declared, 3 legal entities, 10 recruiters, or 2,000 test attempts expected; the team sets the numbers) or that asks for help with migration or a parallel run raises a cs_alerts item (trial_talk_to_us) to a sales-assist owner within one business day, and the admins see a "Talk to us" option to book a call. The self-serve path stays open; the price is the published price (no private discounting, YX-BILL-14).</t>
        </is>
      </c>
      <c r="F775" t="inlineStr">
        <is>
          <t>Not started</t>
        </is>
      </c>
      <c r="H775">
        <f>IF(G775&lt;&gt;"",G775,F775)</f>
        <v/>
      </c>
      <c r="I775" t="n">
        <v>0</v>
      </c>
      <c r="J775" t="n">
        <v>0</v>
      </c>
      <c r="K775" t="n">
        <v>0</v>
      </c>
      <c r="L775" s="5" t="inlineStr"/>
      <c r="M775" s="5" t="n"/>
    </row>
    <row r="776">
      <c r="A776" t="inlineStr">
        <is>
          <t>YX-GRO-06</t>
        </is>
      </c>
      <c r="B776" t="inlineStr">
        <is>
          <t>P20</t>
        </is>
      </c>
      <c r="C776" t="inlineStr">
        <is>
          <t>YX-GRO</t>
        </is>
      </c>
      <c r="D776" t="inlineStr">
        <is>
          <t>3</t>
        </is>
      </c>
      <c r="E776" s="5" t="inlineStr">
        <is>
          <t xml:space="preserve">Trial extensions (S2; amended 28 Sep 2026, founder decision on trial end). At day 30 the trial is extended once, automatically, by 14 days when the company has reached first value (YX-GRO-02); a company that has not reached first value can request the same single 14-day extension itself. This replaces the earlier self-serve 15-day extension (P14 Q4). A further extension is given only by YukthiX staff with a reason (for example, waiting for a payroll parallel run or the customer's approval), for at most 30 days at a time, audited and shown to the tenant's admins (YX-TEN-06 pattern). Extensions </t>
        </is>
      </c>
      <c r="F776" t="inlineStr">
        <is>
          <t>UI prototype only</t>
        </is>
      </c>
      <c r="H776">
        <f>IF(G776&lt;&gt;"",G776,F776)</f>
        <v/>
      </c>
      <c r="I776" t="n">
        <v>0</v>
      </c>
      <c r="J776" t="n">
        <v>0</v>
      </c>
      <c r="K776" t="n">
        <v>1</v>
      </c>
      <c r="L776" s="5" t="inlineStr"/>
      <c r="M776" s="5" t="n"/>
    </row>
    <row r="777">
      <c r="A777" t="inlineStr">
        <is>
          <t>YX-GRO-07</t>
        </is>
      </c>
      <c r="B777" t="inlineStr">
        <is>
          <t>P20</t>
        </is>
      </c>
      <c r="C777" t="inlineStr">
        <is>
          <t>YX-GRO</t>
        </is>
      </c>
      <c r="D777" t="inlineStr">
        <is>
          <t>3</t>
        </is>
      </c>
      <c r="E777" s="5" t="inlineStr">
        <is>
          <t>Help centre (S10). help.yukthix.com is public and searchable, with versioned articles and short captioned videos per product, owned by the support lead. Every APX-D help topic links to a published article by key; a CI check fails the release when a screen's help key has no published English article. Articles are available in the four launch languages (English, Hindi, Tamil, Telugu); a missing translation shows the English article with a notice and is tracked by the owner. Screenshots use demo data only; articles carry no tenant data; each shows "applies from" (release or wave) and a last-revie</t>
        </is>
      </c>
      <c r="F777" t="inlineStr">
        <is>
          <t>UI prototype only</t>
        </is>
      </c>
      <c r="H777">
        <f>IF(G777&lt;&gt;"",G777,F777)</f>
        <v/>
      </c>
      <c r="I777" t="n">
        <v>0</v>
      </c>
      <c r="J777" t="n">
        <v>0</v>
      </c>
      <c r="K777" t="n">
        <v>1</v>
      </c>
      <c r="L777" s="5" t="inlineStr"/>
      <c r="M777" s="5" t="n"/>
    </row>
    <row r="778">
      <c r="A778" t="inlineStr">
        <is>
          <t>YX-GRO-08</t>
        </is>
      </c>
      <c r="B778" t="inlineStr">
        <is>
          <t>P20</t>
        </is>
      </c>
      <c r="C778" t="inlineStr">
        <is>
          <t>YX-GRO</t>
        </is>
      </c>
      <c r="D778" t="inlineStr">
        <is>
          <t>3</t>
        </is>
      </c>
      <c r="E778" s="5" t="inlineStr">
        <is>
          <t>Incident and maintenance messages (S11). Every notice under YX-CONSOLE-07 uses an approved template for its stage: incident investigating → identified → monitoring → resolved → post-incident summary; maintenance scheduled (≥ 72 hours ahead) → reminder (24 hours ahead) → started → completed (or extended). Each message states the affected products, regions and components, the impact in plain words, what the company should do, and when the next update will come; when the incident falls in a tenant's payroll-critical window or on a statutory due date, the payroll-day note says whether payroll runs</t>
        </is>
      </c>
      <c r="F778" t="inlineStr">
        <is>
          <t>UI prototype only</t>
        </is>
      </c>
      <c r="H778">
        <f>IF(G778&lt;&gt;"",G778,F778)</f>
        <v/>
      </c>
      <c r="I778" t="n">
        <v>0</v>
      </c>
      <c r="J778" t="n">
        <v>0</v>
      </c>
      <c r="K778" t="n">
        <v>2</v>
      </c>
      <c r="L778" s="5" t="inlineStr"/>
      <c r="M778" s="5" t="n"/>
    </row>
    <row r="779">
      <c r="A779" t="inlineStr">
        <is>
          <t>YX-GRO-09</t>
        </is>
      </c>
      <c r="B779" t="inlineStr">
        <is>
          <t>P20</t>
        </is>
      </c>
      <c r="C779" t="inlineStr">
        <is>
          <t>YX-GRO</t>
        </is>
      </c>
      <c r="D779" t="inlineStr">
        <is>
          <t>3</t>
        </is>
      </c>
      <c r="E779" s="5" t="inlineStr">
        <is>
          <t>Where messages go (S11). Incident and maintenance messages go to the public status page (per product and region), in-app to the admins of affected tenants (always shown, YX-CONSOLE-06) and by email to those admins and to status-page subscribers. Employees and candidates see the status page link on the sign-in and error screens, not direct messages. Probe results (P13 #6) open or update the status components; a human confirms the stage wording.</t>
        </is>
      </c>
      <c r="F779" t="inlineStr">
        <is>
          <t>UI prototype only</t>
        </is>
      </c>
      <c r="H779">
        <f>IF(G779&lt;&gt;"",G779,F779)</f>
        <v/>
      </c>
      <c r="I779" t="n">
        <v>0</v>
      </c>
      <c r="J779" t="n">
        <v>0</v>
      </c>
      <c r="K779" t="n">
        <v>1</v>
      </c>
      <c r="L779" s="5" t="inlineStr"/>
      <c r="M779" s="5" t="n"/>
    </row>
    <row r="780">
      <c r="A780" t="inlineStr">
        <is>
          <t>YX-GRO-10</t>
        </is>
      </c>
      <c r="B780" t="inlineStr">
        <is>
          <t>P20</t>
        </is>
      </c>
      <c r="C780" t="inlineStr">
        <is>
          <t>YX-GRO</t>
        </is>
      </c>
      <c r="D780" t="inlineStr">
        <is>
          <t>3</t>
        </is>
      </c>
      <c r="E780" s="5" t="inlineStr">
        <is>
          <t>Growth data stays out of HR data (S1). Growth, CS and support staff use only the P09 product.* metrics, tenant_milestones, setup-hub progress and billing status; never employee, candidate or payroll records. Nudges, "switch on" moments and the sales-assist hand-off are decided at tenant and admin level only.</t>
        </is>
      </c>
      <c r="F780" t="inlineStr">
        <is>
          <t>Not started</t>
        </is>
      </c>
      <c r="H780">
        <f>IF(G780&lt;&gt;"",G780,F780)</f>
        <v/>
      </c>
      <c r="I780" t="n">
        <v>0</v>
      </c>
      <c r="J780" t="n">
        <v>0</v>
      </c>
      <c r="K780" t="n">
        <v>0</v>
      </c>
      <c r="L780" s="5" t="inlineStr"/>
      <c r="M780" s="5" t="n"/>
    </row>
    <row r="781">
      <c r="A781" t="inlineStr">
        <is>
          <t>YX-GRO-11</t>
        </is>
      </c>
      <c r="B781" t="inlineStr">
        <is>
          <t>P20</t>
        </is>
      </c>
      <c r="C781" t="inlineStr">
        <is>
          <t>YX-GRO</t>
        </is>
      </c>
      <c r="D781" t="inlineStr">
        <is>
          <t>3</t>
        </is>
      </c>
      <c r="E781" s="5" t="inlineStr">
        <is>
          <t>What's new feed. Each product has a dated feed of changes; entries are targeted by role (admin, manager, employee) and by product switched on, shown once in app and kept on a feed page. Price or feature-change notices still follow P14 YX-BILL-12; the feed never replaces them.</t>
        </is>
      </c>
      <c r="F781" t="inlineStr">
        <is>
          <t>UI prototype only</t>
        </is>
      </c>
      <c r="H781">
        <f>IF(G781&lt;&gt;"",G781,F781)</f>
        <v/>
      </c>
      <c r="I781" t="n">
        <v>0</v>
      </c>
      <c r="J781" t="n">
        <v>0</v>
      </c>
      <c r="K781" t="n">
        <v>1</v>
      </c>
      <c r="L781" s="5" t="inlineStr"/>
      <c r="M781" s="5" t="n"/>
    </row>
    <row r="782">
      <c r="A782" t="inlineStr">
        <is>
          <t>YX-GRO-12</t>
        </is>
      </c>
      <c r="B782" t="inlineStr">
        <is>
          <t>P20</t>
        </is>
      </c>
      <c r="C782" t="inlineStr">
        <is>
          <t>YX-GRO</t>
        </is>
      </c>
      <c r="D782" t="inlineStr">
        <is>
          <t>3</t>
        </is>
      </c>
      <c r="E782" s="5" t="inlineStr">
        <is>
          <t>Feature requests, roadmap, beta. Tenant users can raise and vote on requests (one vote per user per request); each request carries a status (under review, planned, in progress, shipped, not planned). The public roadmap shows only items marked public. Beta / early access is opt-in per company by an admin and can be switched off at any time; beta features are labelled in the UI.</t>
        </is>
      </c>
      <c r="F782" t="inlineStr">
        <is>
          <t>UI prototype only</t>
        </is>
      </c>
      <c r="H782">
        <f>IF(G782&lt;&gt;"",G782,F782)</f>
        <v/>
      </c>
      <c r="I782" t="n">
        <v>0</v>
      </c>
      <c r="J782" t="n">
        <v>0</v>
      </c>
      <c r="K782" t="n">
        <v>2</v>
      </c>
      <c r="L782" s="5" t="inlineStr"/>
      <c r="M782" s="5" t="n"/>
    </row>
    <row r="783">
      <c r="A783" t="inlineStr">
        <is>
          <t>YX-GRO-13</t>
        </is>
      </c>
      <c r="B783" t="inlineStr">
        <is>
          <t>P20</t>
        </is>
      </c>
      <c r="C783" t="inlineStr">
        <is>
          <t>YX-GRO</t>
        </is>
      </c>
      <c r="D783" t="inlineStr">
        <is>
          <t>3</t>
        </is>
      </c>
      <c r="E783" s="5" t="inlineStr">
        <is>
          <t>Cancellation and win-back. Switching off a product or the company asks for a reason (fixed list + free text; answering is optional). Save offers shown: pause, fewer products, partner help; the customer can always cancel without accepting an offer, one click past the offers (no dark patterns). Win-back messages after deletion go only with marketing consent and stop on opt-out; deletion itself follows P14 YX-TEN-08.</t>
        </is>
      </c>
      <c r="F783" t="inlineStr">
        <is>
          <t>Not started</t>
        </is>
      </c>
      <c r="H783">
        <f>IF(G783&lt;&gt;"",G783,F783)</f>
        <v/>
      </c>
      <c r="I783" t="n">
        <v>0</v>
      </c>
      <c r="J783" t="n">
        <v>0</v>
      </c>
      <c r="K783" t="n">
        <v>0</v>
      </c>
      <c r="L783" s="5" t="inlineStr"/>
      <c r="M783" s="5" t="n"/>
    </row>
    <row r="784">
      <c r="A784" t="inlineStr">
        <is>
          <t>YX-GRO-14</t>
        </is>
      </c>
      <c r="B784" t="inlineStr">
        <is>
          <t>P20</t>
        </is>
      </c>
      <c r="C784" t="inlineStr">
        <is>
          <t>YX-GRO</t>
        </is>
      </c>
      <c r="D784" t="inlineStr">
        <is>
          <t>3</t>
        </is>
      </c>
      <c r="E784" s="5" t="inlineStr">
        <is>
          <t>Referral. A referral link / code is tied to the referring company. When the referred company completes its first paid month, both companies get one month of their own bill as credit (P14 YX-BILL-21). Self-referral and referrals between companies of the same group are not credited. "Powered by YukthiX" links (careers pages, payslips, public tools) carry attribution; clicks and resulting sign-ups are counted in the P09 §4.10 product metrics, never with HR data.</t>
        </is>
      </c>
      <c r="F784" t="inlineStr">
        <is>
          <t>UI prototype only</t>
        </is>
      </c>
      <c r="H784">
        <f>IF(G784&lt;&gt;"",G784,F784)</f>
        <v/>
      </c>
      <c r="I784" t="n">
        <v>0</v>
      </c>
      <c r="J784" t="n">
        <v>0</v>
      </c>
      <c r="K784" t="n">
        <v>1</v>
      </c>
      <c r="L784" s="5" t="inlineStr"/>
      <c r="M784" s="5" t="n"/>
    </row>
    <row r="785">
      <c r="A785" t="inlineStr">
        <is>
          <t>YX-GRO-15</t>
        </is>
      </c>
      <c r="B785" t="inlineStr">
        <is>
          <t>P20</t>
        </is>
      </c>
      <c r="C785" t="inlineStr">
        <is>
          <t>YX-GRO</t>
        </is>
      </c>
      <c r="D785" t="inlineStr">
        <is>
          <t>3</t>
        </is>
      </c>
      <c r="E785" s="5" t="inlineStr">
        <is>
          <t>Free public tools. Public calculators reuse the P07 versioned calculators and rule-set parameters (same numbers as in the product, FY shown); letter generators reuse APX-F templates. No sign-up required; inputs are not stored beyond the session unless the user asks to email the result (with consent). Each result shows a "not tax advice" note and the rule-set version.</t>
        </is>
      </c>
      <c r="F785" t="inlineStr">
        <is>
          <t>UI prototype only</t>
        </is>
      </c>
      <c r="H785">
        <f>IF(G785&lt;&gt;"",G785,F785)</f>
        <v/>
      </c>
      <c r="I785" t="n">
        <v>0</v>
      </c>
      <c r="J785" t="n">
        <v>0</v>
      </c>
      <c r="K785" t="n">
        <v>2</v>
      </c>
      <c r="L785" s="5" t="inlineStr"/>
      <c r="M785" s="5" t="n"/>
    </row>
    <row r="786">
      <c r="A786" t="inlineStr">
        <is>
          <t>YX-GRO-16</t>
        </is>
      </c>
      <c r="B786" t="inlineStr">
        <is>
          <t>P20</t>
        </is>
      </c>
      <c r="C786" t="inlineStr">
        <is>
          <t>YX-GRO</t>
        </is>
      </c>
      <c r="D786" t="inlineStr">
        <is>
          <t>3</t>
        </is>
      </c>
      <c r="E786" s="5" t="inlineStr">
        <is>
          <t>Integrations directory. A public page lists each integration (partner, category, what data moves, direction, status: live / beta / coming) from the same catalogue the product uses, so the directory never lists an integration the product does not have.</t>
        </is>
      </c>
      <c r="F786" t="inlineStr">
        <is>
          <t>UI prototype only</t>
        </is>
      </c>
      <c r="H786">
        <f>IF(G786&lt;&gt;"",G786,F786)</f>
        <v/>
      </c>
      <c r="I786" t="n">
        <v>0</v>
      </c>
      <c r="J786" t="n">
        <v>0</v>
      </c>
      <c r="K786" t="n">
        <v>1</v>
      </c>
      <c r="L786" s="5" t="inlineStr"/>
      <c r="M786" s="5" t="n"/>
    </row>
    <row r="787">
      <c r="A787" t="inlineStr">
        <is>
          <t>YX-GRO-17</t>
        </is>
      </c>
      <c r="B787" t="inlineStr">
        <is>
          <t>P20</t>
        </is>
      </c>
      <c r="C787" t="inlineStr">
        <is>
          <t>YX-GRO</t>
        </is>
      </c>
      <c r="D787" t="inlineStr">
        <is>
          <t>3</t>
        </is>
      </c>
      <c r="E787" s="5" t="inlineStr">
        <is>
          <t>Academy (after public launch). Admin and partner courses with certification; certificates expire and can be verified by a public link. Partner certification is required before a partner implements for customers (P16 partner programme).</t>
        </is>
      </c>
      <c r="F787" t="inlineStr">
        <is>
          <t>UI prototype only</t>
        </is>
      </c>
      <c r="H787">
        <f>IF(G787&lt;&gt;"",G787,F787)</f>
        <v/>
      </c>
      <c r="I787" t="n">
        <v>0</v>
      </c>
      <c r="J787" t="n">
        <v>0</v>
      </c>
      <c r="K787" t="n">
        <v>1</v>
      </c>
      <c r="L787" s="5" t="inlineStr"/>
      <c r="M787" s="5" t="n"/>
    </row>
    <row r="788">
      <c r="A788" t="inlineStr">
        <is>
          <t>YX-GLB-01</t>
        </is>
      </c>
      <c r="B788" t="inlineStr">
        <is>
          <t>P21</t>
        </is>
      </c>
      <c r="C788" t="inlineStr">
        <is>
          <t>YX-GLB</t>
        </is>
      </c>
      <c r="D788" t="inlineStr">
        <is>
          <t>6+</t>
        </is>
      </c>
      <c r="E788" s="5" t="inlineStr">
        <is>
          <t>Region gate. A country is offered at sign-up, for a new legal entity or for a region move only when its region is live and every gate item in §5a for that country is live. The platform console shows the gate per country; a staff override is not possible.</t>
        </is>
      </c>
      <c r="F788" t="inlineStr">
        <is>
          <t>Built, no test cites it</t>
        </is>
      </c>
      <c r="H788">
        <f>IF(G788&lt;&gt;"",G788,F788)</f>
        <v/>
      </c>
      <c r="I788" t="n">
        <v>2</v>
      </c>
      <c r="J788" t="n">
        <v>0</v>
      </c>
      <c r="K788" t="n">
        <v>1</v>
      </c>
      <c r="L788" s="5" t="inlineStr">
        <is>
          <t>exam-app-org:apps/api/src/org-structure/org-structure.service.ts
exam-app-org:apps/api/src/org-structure/org-validation.ts</t>
        </is>
      </c>
      <c r="M788" s="5" t="n"/>
    </row>
    <row r="789">
      <c r="A789" t="inlineStr">
        <is>
          <t>YX-GLB-02</t>
        </is>
      </c>
      <c r="B789" t="inlineStr">
        <is>
          <t>P21</t>
        </is>
      </c>
      <c r="C789" t="inlineStr">
        <is>
          <t>YX-GLB</t>
        </is>
      </c>
      <c r="D789" t="inlineStr">
        <is>
          <t>6+</t>
        </is>
      </c>
      <c r="E789" s="5" t="inlineStr">
        <is>
          <t>Direction from locale (G1). Layout direction follows the user's locale (dir="rtl" for Arabic); components use logical CSS properties only (a CI lint fails on left / right in shared components); directional icons, progress, steppers, timelines and time-series charts mirror; media controls, logos, code, phone numbers and IBANs do not. Mixed-script strings (names, IDs) are bidi-isolated. PDFs (letters, payslips, reports) render Arabic with correct shaping.</t>
        </is>
      </c>
      <c r="F789" t="inlineStr">
        <is>
          <t>Not started</t>
        </is>
      </c>
      <c r="H789">
        <f>IF(G789&lt;&gt;"",G789,F789)</f>
        <v/>
      </c>
      <c r="I789" t="n">
        <v>0</v>
      </c>
      <c r="J789" t="n">
        <v>0</v>
      </c>
      <c r="K789" t="n">
        <v>0</v>
      </c>
      <c r="L789" s="5" t="inlineStr"/>
      <c r="M789" s="5" t="n"/>
    </row>
    <row r="790">
      <c r="A790" t="inlineStr">
        <is>
          <t>YX-GLB-03</t>
        </is>
      </c>
      <c r="B790" t="inlineStr">
        <is>
          <t>P21</t>
        </is>
      </c>
      <c r="C790" t="inlineStr">
        <is>
          <t>YX-GLB</t>
        </is>
      </c>
      <c r="D790" t="inlineStr">
        <is>
          <t>6+</t>
        </is>
      </c>
      <c r="E790" s="5" t="inlineStr">
        <is>
          <t>Numerals and calendars (G1). Stored numbers and dates are Western digits and Gregorian. Display digits (Western default / Arabic-Indic) and a Hijri (Umm al-Qura) date beside the Gregorian date are user or tenant display choices. Files for banks, WPS, GOSI, tax and e-invoicing always use the format the receiver requires, never the display setting.</t>
        </is>
      </c>
      <c r="F790" t="inlineStr">
        <is>
          <t>Not started</t>
        </is>
      </c>
      <c r="H790">
        <f>IF(G790&lt;&gt;"",G790,F790)</f>
        <v/>
      </c>
      <c r="I790" t="n">
        <v>0</v>
      </c>
      <c r="J790" t="n">
        <v>0</v>
      </c>
      <c r="K790" t="n">
        <v>0</v>
      </c>
      <c r="L790" s="5" t="inlineStr"/>
      <c r="M790" s="5" t="n"/>
    </row>
    <row r="791">
      <c r="A791" t="inlineStr">
        <is>
          <t>YX-GLB-04</t>
        </is>
      </c>
      <c r="B791" t="inlineStr">
        <is>
          <t>P21</t>
        </is>
      </c>
      <c r="C791" t="inlineStr">
        <is>
          <t>YX-GLB</t>
        </is>
      </c>
      <c r="D791" t="inlineStr">
        <is>
          <t>6+</t>
        </is>
      </c>
      <c r="E791" s="5" t="inlineStr">
        <is>
          <t>Arabic content (G1). Employee-facing screens, notifications (P04) and GCC starter templates (P05: offer, contract, payslip, warning, end-of-service) ship in Arabic; contracts and payslips for UAE / KSA entities are bilingual Arabic + English, with the Arabic text marked as prevailing where the pack says so. Admin screens: English first, Arabic before the first GCC customer.</t>
        </is>
      </c>
      <c r="F791" t="inlineStr">
        <is>
          <t>Not started</t>
        </is>
      </c>
      <c r="H791">
        <f>IF(G791&lt;&gt;"",G791,F791)</f>
        <v/>
      </c>
      <c r="I791" t="n">
        <v>0</v>
      </c>
      <c r="J791" t="n">
        <v>0</v>
      </c>
      <c r="K791" t="n">
        <v>0</v>
      </c>
      <c r="L791" s="5" t="inlineStr"/>
      <c r="M791" s="5" t="n"/>
    </row>
    <row r="792">
      <c r="A792" t="inlineStr">
        <is>
          <t>YX-GLB-05</t>
        </is>
      </c>
      <c r="B792" t="inlineStr">
        <is>
          <t>P21</t>
        </is>
      </c>
      <c r="C792" t="inlineStr">
        <is>
          <t>YX-GLB</t>
        </is>
      </c>
      <c r="D792" t="inlineStr">
        <is>
          <t>6+</t>
        </is>
      </c>
      <c r="E792" s="5" t="inlineStr">
        <is>
          <t>Holiday feeds (G2). Each country pack names its holiday feed; each item cites its source. Moving holidays are published as *expected* and later *confirmed*; a confirmed date that differs updates subscribed calendars and re-computes leave counts, attendance day status and holiday OT in open periods, and raises P08 adjustments for locked periods. Tenants choose auto-apply or HR approval per calendar; every change is notified to HR (P04) and audited.</t>
        </is>
      </c>
      <c r="F792" t="inlineStr">
        <is>
          <t>Not started</t>
        </is>
      </c>
      <c r="H792">
        <f>IF(G792&lt;&gt;"",G792,F792)</f>
        <v/>
      </c>
      <c r="I792" t="n">
        <v>0</v>
      </c>
      <c r="J792" t="n">
        <v>0</v>
      </c>
      <c r="K792" t="n">
        <v>0</v>
      </c>
      <c r="L792" s="5" t="inlineStr"/>
      <c r="M792" s="5" t="n"/>
    </row>
    <row r="793">
      <c r="A793" t="inlineStr">
        <is>
          <t>YX-GLB-06</t>
        </is>
      </c>
      <c r="B793" t="inlineStr">
        <is>
          <t>P21</t>
        </is>
      </c>
      <c r="C793" t="inlineStr">
        <is>
          <t>YX-GLB</t>
        </is>
      </c>
      <c r="D793" t="inlineStr">
        <is>
          <t>6+</t>
        </is>
      </c>
      <c r="E793" s="5" t="inlineStr">
        <is>
          <t>Work authorisations (G4 + T18). A person may hold several authorisations; each has a type from the country pack, an expiry and a sponsor entity. Reminders at 90 / 60 / 30 / 7 days (starter, editable) open a renewal task. An expired or missing required authorisation flags the person in payroll pre-flight, blocks a new employment or assignment start in that country, and is shown on the profile; stopping pay is never automatic (HR decides with a reason). There is no field or status for the employer holding a passport.</t>
        </is>
      </c>
      <c r="F793" t="inlineStr">
        <is>
          <t>Not started</t>
        </is>
      </c>
      <c r="H793">
        <f>IF(G793&lt;&gt;"",G793,F793)</f>
        <v/>
      </c>
      <c r="I793" t="n">
        <v>0</v>
      </c>
      <c r="J793" t="n">
        <v>0</v>
      </c>
      <c r="K793" t="n">
        <v>0</v>
      </c>
      <c r="L793" s="5" t="inlineStr"/>
      <c r="M793" s="5" t="n"/>
    </row>
    <row r="794">
      <c r="A794" t="inlineStr">
        <is>
          <t>YX-GLB-07</t>
        </is>
      </c>
      <c r="B794" t="inlineStr">
        <is>
          <t>P21</t>
        </is>
      </c>
      <c r="C794" t="inlineStr">
        <is>
          <t>YX-GLB</t>
        </is>
      </c>
      <c r="D794" t="inlineStr">
        <is>
          <t>6+</t>
        </is>
      </c>
      <c r="E794" s="5" t="inlineStr">
        <is>
          <t>IDs that drive registrations (G4, R16). WPS salary files (UAE SIF, KSA Mudad), GOSI registration and other pack-listed filings take the person's identifiers from work_authorisations / employee_identifiers; a missing or expired identifier fails the file's pre-flight with a "Fix" link, never a silent skip. Occupation on permit differing from the designation is flagged for HR.</t>
        </is>
      </c>
      <c r="F794" t="inlineStr">
        <is>
          <t>Not started</t>
        </is>
      </c>
      <c r="H794">
        <f>IF(G794&lt;&gt;"",G794,F794)</f>
        <v/>
      </c>
      <c r="I794" t="n">
        <v>0</v>
      </c>
      <c r="J794" t="n">
        <v>0</v>
      </c>
      <c r="K794" t="n">
        <v>0</v>
      </c>
      <c r="L794" s="5" t="inlineStr"/>
      <c r="M794" s="5" t="n"/>
    </row>
    <row r="795">
      <c r="A795" t="inlineStr">
        <is>
          <t>YX-GLB-08</t>
        </is>
      </c>
      <c r="B795" t="inlineStr">
        <is>
          <t>P21</t>
        </is>
      </c>
      <c r="C795" t="inlineStr">
        <is>
          <t>YX-GLB</t>
        </is>
      </c>
      <c r="D795" t="inlineStr">
        <is>
          <t>6+</t>
        </is>
      </c>
      <c r="E795" s="5" t="inlineStr">
        <is>
          <t>Bank formats (G5). Account details are validated by country: IBAN (mod-97 and country length), BIC / SWIFT (structure + directory where licensed), US ABA routing, UK sort code, IFSC (India). Payment files come from M03 exporters per pack: SEPA credit transfer (pain.001), NACHA (ACH), BACS Standard 18, SWIFT MT103 / pain.001 for cross-border, plus WPS files. Changes follow YX-SEC-13 approval and cooling.</t>
        </is>
      </c>
      <c r="F795" t="inlineStr">
        <is>
          <t>UI prototype only</t>
        </is>
      </c>
      <c r="H795">
        <f>IF(G795&lt;&gt;"",G795,F795)</f>
        <v/>
      </c>
      <c r="I795" t="n">
        <v>0</v>
      </c>
      <c r="J795" t="n">
        <v>0</v>
      </c>
      <c r="K795" t="n">
        <v>1</v>
      </c>
      <c r="L795" s="5" t="inlineStr"/>
      <c r="M795" s="5" t="n"/>
    </row>
    <row r="796">
      <c r="A796" t="inlineStr">
        <is>
          <t>YX-GLB-09</t>
        </is>
      </c>
      <c r="B796" t="inlineStr">
        <is>
          <t>P21</t>
        </is>
      </c>
      <c r="C796" t="inlineStr">
        <is>
          <t>YX-GLB</t>
        </is>
      </c>
      <c r="D796" t="inlineStr">
        <is>
          <t>6+</t>
        </is>
      </c>
      <c r="E796" s="5" t="inlineStr">
        <is>
          <t>Multi-currency and split pay (G5). Pay is computed in the employment's pay currency; a payout may go in another currency using a dated rate from a named source, stored with the payslip. An employee may split net pay across at most 3 accounts (fixed amounts first, then %, remainder to the primary); WPS countries require the WPS-registered account to receive at least the amount the pack sets.</t>
        </is>
      </c>
      <c r="F796" t="inlineStr">
        <is>
          <t>UI prototype only</t>
        </is>
      </c>
      <c r="H796">
        <f>IF(G796&lt;&gt;"",G796,F796)</f>
        <v/>
      </c>
      <c r="I796" t="n">
        <v>0</v>
      </c>
      <c r="J796" t="n">
        <v>0</v>
      </c>
      <c r="K796" t="n">
        <v>1</v>
      </c>
      <c r="L796" s="5" t="inlineStr"/>
      <c r="M796" s="5" t="n"/>
    </row>
    <row r="797">
      <c r="A797" t="inlineStr">
        <is>
          <t>YX-GLB-10</t>
        </is>
      </c>
      <c r="B797" t="inlineStr">
        <is>
          <t>P21</t>
        </is>
      </c>
      <c r="C797" t="inlineStr">
        <is>
          <t>YX-GLB</t>
        </is>
      </c>
      <c r="D797" t="inlineStr">
        <is>
          <t>6+</t>
        </is>
      </c>
      <c r="E797" s="5" t="inlineStr">
        <is>
          <t>Residency and multi-region tenants (G9 + S16). Each legal entity's people data lives in its data region (P02 YX-SEC-37); UAE and KSA entity data, files, backups and DR stay in-country. A multi-region tenant has one home region for control data; cross-region screens query the entity's region at request time; only the directory card (P02 Public / Internal fields) may be copied to the home region. Aggregates are computed in-region and returned with small-group suppression (YX-SEC-14).</t>
        </is>
      </c>
      <c r="F797" t="inlineStr">
        <is>
          <t>Not started</t>
        </is>
      </c>
      <c r="H797">
        <f>IF(G797&lt;&gt;"",G797,F797)</f>
        <v/>
      </c>
      <c r="I797" t="n">
        <v>0</v>
      </c>
      <c r="J797" t="n">
        <v>0</v>
      </c>
      <c r="K797" t="n">
        <v>0</v>
      </c>
      <c r="L797" s="5" t="inlineStr"/>
      <c r="M797" s="5" t="n"/>
    </row>
    <row r="798">
      <c r="A798" t="inlineStr">
        <is>
          <t>YX-GLB-11</t>
        </is>
      </c>
      <c r="B798" t="inlineStr">
        <is>
          <t>P21</t>
        </is>
      </c>
      <c r="C798" t="inlineStr">
        <is>
          <t>YX-GLB</t>
        </is>
      </c>
      <c r="D798" t="inlineStr">
        <is>
          <t>6+</t>
        </is>
      </c>
      <c r="E798" s="5" t="inlineStr">
        <is>
          <t>Region move (G9 + S16). A tenant or entity moves only on a System Admin request approved by YukthiX, outside the payroll-critical window (YX-CONSOLE-07) and within a planned freeze of at most 24 hours; data is copied, verified by checksums and row counts, cut over, and then deleted from the source (backups expire on their schedule) with a deletion certificate. Privacy rules: P02 YX-SEC-38. A move out of an in-country region (UAE, KSA) is refused unless the pack records a lawful transfer route.</t>
        </is>
      </c>
      <c r="F798" t="inlineStr">
        <is>
          <t>Not started</t>
        </is>
      </c>
      <c r="H798">
        <f>IF(G798&lt;&gt;"",G798,F798)</f>
        <v/>
      </c>
      <c r="I798" t="n">
        <v>0</v>
      </c>
      <c r="J798" t="n">
        <v>0</v>
      </c>
      <c r="K798" t="n">
        <v>0</v>
      </c>
      <c r="L798" s="5" t="inlineStr"/>
      <c r="M798" s="5" t="n"/>
    </row>
    <row r="799">
      <c r="A799" t="inlineStr">
        <is>
          <t>YX-GLB-12</t>
        </is>
      </c>
      <c r="B799" t="inlineStr">
        <is>
          <t>P21</t>
        </is>
      </c>
      <c r="C799" t="inlineStr">
        <is>
          <t>YX-GLB</t>
        </is>
      </c>
      <c r="D799" t="inlineStr">
        <is>
          <t>6+</t>
        </is>
      </c>
      <c r="E799" s="5" t="inlineStr">
        <is>
          <t>E-invoicing (G10). Before YukthiX bills in KSA, UAE or an EU country, or a staffing tenant there issues M10 client invoices, the invoice is produced in the country scheme held as dated pack data: KSA ZATCA Fatoora (clearance / reporting, QR, cryptographic stamp), UAE e-invoicing (accredited service provider model), EU Peppol BIS / ViDA formats. An invoice is final only after the scheme's acceptance; rejections return errors to the maker; credit notes follow the same path.</t>
        </is>
      </c>
      <c r="F799" t="inlineStr">
        <is>
          <t>Not started</t>
        </is>
      </c>
      <c r="H799">
        <f>IF(G799&lt;&gt;"",G799,F799)</f>
        <v/>
      </c>
      <c r="I799" t="n">
        <v>0</v>
      </c>
      <c r="J799" t="n">
        <v>0</v>
      </c>
      <c r="K799" t="n">
        <v>0</v>
      </c>
      <c r="L799" s="5" t="inlineStr"/>
      <c r="M799" s="5" t="n"/>
    </row>
    <row r="800">
      <c r="A800" t="inlineStr">
        <is>
          <t>YX-GLB-13</t>
        </is>
      </c>
      <c r="B800" t="inlineStr">
        <is>
          <t>P21</t>
        </is>
      </c>
      <c r="C800" t="inlineStr">
        <is>
          <t>YX-GLB</t>
        </is>
      </c>
      <c r="D800" t="inlineStr">
        <is>
          <t>6+</t>
        </is>
      </c>
      <c r="E800" s="5" t="inlineStr">
        <is>
          <t>GCC nationalisation (R16). Emiratisation (Nafis) and Nitaqat targets, bands and counting rules are dated P07 data (AE.EMIRATISATION, SA.NITAQAT). Each GCC entity gets a monthly snapshot (nationals / non-nationals, band, target, gap), a warning when a planned exit or hire would breach the target, and the pack's filings. GOSI contributions and registrations come from SA.GOSI; WPS files per YX-GLB-07.</t>
        </is>
      </c>
      <c r="F800" t="inlineStr">
        <is>
          <t>Not started</t>
        </is>
      </c>
      <c r="H800">
        <f>IF(G800&lt;&gt;"",G800,F800)</f>
        <v/>
      </c>
      <c r="I800" t="n">
        <v>0</v>
      </c>
      <c r="J800" t="n">
        <v>0</v>
      </c>
      <c r="K800" t="n">
        <v>0</v>
      </c>
      <c r="L800" s="5" t="inlineStr"/>
      <c r="M800" s="5" t="n"/>
    </row>
    <row r="801">
      <c r="A801" t="inlineStr">
        <is>
          <t>YX-GLB-14</t>
        </is>
      </c>
      <c r="B801" t="inlineStr">
        <is>
          <t>P21</t>
        </is>
      </c>
      <c r="C801" t="inlineStr">
        <is>
          <t>YX-GLB</t>
        </is>
      </c>
      <c r="D801" t="inlineStr">
        <is>
          <t>6+</t>
        </is>
      </c>
      <c r="E801" s="5" t="inlineStr">
        <is>
          <t>Singapore (R17). SG.* packs hold CPF (age bands, wage ceilings), SDL, IR8A / AIS; Key Employment Terms and itemised payslips follow the MOM content and timing held in the pack (starter templates in P05). Flexible-work requests are a P03 request type with the response deadline and written-reason rule from the pack; Workplace Fairness Act duties (grievance process, protected characteristics) use M08 grievance with pack dates.</t>
        </is>
      </c>
      <c r="F801" t="inlineStr">
        <is>
          <t>Not started</t>
        </is>
      </c>
      <c r="H801">
        <f>IF(G801&lt;&gt;"",G801,F801)</f>
        <v/>
      </c>
      <c r="I801" t="n">
        <v>0</v>
      </c>
      <c r="J801" t="n">
        <v>0</v>
      </c>
      <c r="K801" t="n">
        <v>0</v>
      </c>
      <c r="L801" s="5" t="inlineStr"/>
      <c r="M801" s="5" t="n"/>
    </row>
    <row r="802">
      <c r="A802" t="inlineStr">
        <is>
          <t>YX-GLB-15</t>
        </is>
      </c>
      <c r="B802" t="inlineStr">
        <is>
          <t>P21</t>
        </is>
      </c>
      <c r="C802" t="inlineStr">
        <is>
          <t>YX-GLB</t>
        </is>
      </c>
      <c r="D802" t="inlineStr">
        <is>
          <t>6+</t>
        </is>
      </c>
      <c r="E802" s="5" t="inlineStr">
        <is>
          <t>EU whistleblower timings (R18). For an EU legal entity with 50 or more workers, M08 whistleblower cases take clocks from EU.WHISTLEBLOWER plus the member-state pack: acknowledge within 7 days, feedback within 3 months of the acknowledgement, records kept only as long as the pack allows; reporter identity is confidential by default (YX-SEC-10) and anonymous reports follow the member-state choice (YX-CASE-11 return path).</t>
        </is>
      </c>
      <c r="F802" t="inlineStr">
        <is>
          <t>Not started</t>
        </is>
      </c>
      <c r="H802">
        <f>IF(G802&lt;&gt;"",G802,F802)</f>
        <v/>
      </c>
      <c r="I802" t="n">
        <v>0</v>
      </c>
      <c r="J802" t="n">
        <v>0</v>
      </c>
      <c r="K802" t="n">
        <v>0</v>
      </c>
      <c r="L802" s="5" t="inlineStr"/>
      <c r="M802" s="5" t="n"/>
    </row>
    <row r="803">
      <c r="A803" t="inlineStr">
        <is>
          <t>YX-GLB-16</t>
        </is>
      </c>
      <c r="B803" t="inlineStr">
        <is>
          <t>P21</t>
        </is>
      </c>
      <c r="C803" t="inlineStr">
        <is>
          <t>YX-GLB</t>
        </is>
      </c>
      <c r="D803" t="inlineStr">
        <is>
          <t>6+</t>
        </is>
      </c>
      <c r="E803" s="5" t="inlineStr">
        <is>
          <t>Law as data (all). Every dated value named here (holiday dates, quotas, rates, deadlines, formats) sits in a P07 pack with source, version and maker ≠ checker publishing (YX-STAT-01–04); P21 code holds no country constant.</t>
        </is>
      </c>
      <c r="F803" t="inlineStr">
        <is>
          <t>Not started</t>
        </is>
      </c>
      <c r="H803">
        <f>IF(G803&lt;&gt;"",G803,F803)</f>
        <v/>
      </c>
      <c r="I803" t="n">
        <v>0</v>
      </c>
      <c r="J803" t="n">
        <v>0</v>
      </c>
      <c r="K803" t="n">
        <v>0</v>
      </c>
      <c r="L803" s="5" t="inlineStr"/>
      <c r="M803" s="5" t="n"/>
    </row>
    <row r="804">
      <c r="A804" t="inlineStr">
        <is>
          <t>YX-WFS-01</t>
        </is>
      </c>
      <c r="B804" t="inlineStr">
        <is>
          <t>P22</t>
        </is>
      </c>
      <c r="C804" t="inlineStr">
        <is>
          <t>YX-WFS</t>
        </is>
      </c>
      <c r="D804" t="inlineStr">
        <is>
          <t>6+</t>
        </is>
      </c>
      <c r="E804" s="5" t="inlineStr">
        <is>
          <t>Every P19 automation is a one-step workflow (simple mode). Converting one never changes its behaviour; the P19 form stays available for one-step workflows.</t>
        </is>
      </c>
      <c r="F804" t="inlineStr">
        <is>
          <t>Not started</t>
        </is>
      </c>
      <c r="H804">
        <f>IF(G804&lt;&gt;"",G804,F804)</f>
        <v/>
      </c>
      <c r="I804" t="n">
        <v>0</v>
      </c>
      <c r="J804" t="n">
        <v>0</v>
      </c>
      <c r="K804" t="n">
        <v>0</v>
      </c>
      <c r="L804" s="5" t="inlineStr"/>
      <c r="M804" s="5" t="n"/>
    </row>
    <row r="805">
      <c r="A805" t="inlineStr">
        <is>
          <t>YX-WFS-02</t>
        </is>
      </c>
      <c r="B805" t="inlineStr">
        <is>
          <t>P22</t>
        </is>
      </c>
      <c r="C805" t="inlineStr">
        <is>
          <t>YX-WFS</t>
        </is>
      </c>
      <c r="D805" t="inlineStr">
        <is>
          <t>6+</t>
        </is>
      </c>
      <c r="E805" s="5" t="inlineStr">
        <is>
          <t>Create / update steps and scripts may change only company-owned and custom fields. Governed fields (statutory values, locked periods, audit, consent) are refused at save and at run (P19 YX-RULE-04).</t>
        </is>
      </c>
      <c r="F805" t="inlineStr">
        <is>
          <t>Not started</t>
        </is>
      </c>
      <c r="H805">
        <f>IF(G805&lt;&gt;"",G805,F805)</f>
        <v/>
      </c>
      <c r="I805" t="n">
        <v>0</v>
      </c>
      <c r="J805" t="n">
        <v>0</v>
      </c>
      <c r="K805" t="n">
        <v>0</v>
      </c>
      <c r="L805" s="5" t="inlineStr"/>
      <c r="M805" s="5" t="n"/>
    </row>
    <row r="806">
      <c r="A806" t="inlineStr">
        <is>
          <t>YX-WFS-03</t>
        </is>
      </c>
      <c r="B806" t="inlineStr">
        <is>
          <t>P22</t>
        </is>
      </c>
      <c r="C806" t="inlineStr">
        <is>
          <t>YX-WFS</t>
        </is>
      </c>
      <c r="D806" t="inlineStr">
        <is>
          <t>6+</t>
        </is>
      </c>
      <c r="E806" s="5" t="inlineStr">
        <is>
          <t>A workflow version can be published only after an impact preview (P19 YX-RULE-07) and a test run on sample records. The preview is stored with the version.</t>
        </is>
      </c>
      <c r="F806" t="inlineStr">
        <is>
          <t>UI prototype only</t>
        </is>
      </c>
      <c r="H806">
        <f>IF(G806&lt;&gt;"",G806,F806)</f>
        <v/>
      </c>
      <c r="I806" t="n">
        <v>0</v>
      </c>
      <c r="J806" t="n">
        <v>0</v>
      </c>
      <c r="K806" t="n">
        <v>2</v>
      </c>
      <c r="L806" s="5" t="inlineStr"/>
      <c r="M806" s="5" t="n"/>
    </row>
    <row r="807">
      <c r="A807" t="inlineStr">
        <is>
          <t>YX-WFS-04</t>
        </is>
      </c>
      <c r="B807" t="inlineStr">
        <is>
          <t>P22</t>
        </is>
      </c>
      <c r="C807" t="inlineStr">
        <is>
          <t>YX-WFS</t>
        </is>
      </c>
      <c r="D807" t="inlineStr">
        <is>
          <t>6+</t>
        </is>
      </c>
      <c r="E807" s="5" t="inlineStr">
        <is>
          <t>Publishing a version that touches pay, leave balances, access or people data needs a second approver (P19 YX-RULE-06; maker ≠ checker).</t>
        </is>
      </c>
      <c r="F807" t="inlineStr">
        <is>
          <t>Not started</t>
        </is>
      </c>
      <c r="H807">
        <f>IF(G807&lt;&gt;"",G807,F807)</f>
        <v/>
      </c>
      <c r="I807" t="n">
        <v>0</v>
      </c>
      <c r="J807" t="n">
        <v>0</v>
      </c>
      <c r="K807" t="n">
        <v>0</v>
      </c>
      <c r="L807" s="5" t="inlineStr"/>
      <c r="M807" s="5" t="n"/>
    </row>
    <row r="808">
      <c r="A808" t="inlineStr">
        <is>
          <t>YX-WFS-05</t>
        </is>
      </c>
      <c r="B808" t="inlineStr">
        <is>
          <t>P22</t>
        </is>
      </c>
      <c r="C808" t="inlineStr">
        <is>
          <t>YX-WFS</t>
        </is>
      </c>
      <c r="D808" t="inlineStr">
        <is>
          <t>6+</t>
        </is>
      </c>
      <c r="E808" s="5" t="inlineStr">
        <is>
          <t>Every version is kept; any past version can be viewed, compared and re-published. Runs record the version they used.</t>
        </is>
      </c>
      <c r="F808" t="inlineStr">
        <is>
          <t>UI prototype only</t>
        </is>
      </c>
      <c r="H808">
        <f>IF(G808&lt;&gt;"",G808,F808)</f>
        <v/>
      </c>
      <c r="I808" t="n">
        <v>0</v>
      </c>
      <c r="J808" t="n">
        <v>0</v>
      </c>
      <c r="K808" t="n">
        <v>2</v>
      </c>
      <c r="L808" s="5" t="inlineStr"/>
      <c r="M808" s="5" t="n"/>
    </row>
    <row r="809">
      <c r="A809" t="inlineStr">
        <is>
          <t>YX-WFS-06</t>
        </is>
      </c>
      <c r="B809" t="inlineStr">
        <is>
          <t>P22</t>
        </is>
      </c>
      <c r="C809" t="inlineStr">
        <is>
          <t>YX-WFS</t>
        </is>
      </c>
      <c r="D809" t="inlineStr">
        <is>
          <t>6+</t>
        </is>
      </c>
      <c r="E809" s="5" t="inlineStr">
        <is>
          <t>Every wait has a timeout and a timeout branch. Every loop has a max item count. A workflow without them can't be saved.</t>
        </is>
      </c>
      <c r="F809" t="inlineStr">
        <is>
          <t>UI prototype only</t>
        </is>
      </c>
      <c r="H809">
        <f>IF(G809&lt;&gt;"",G809,F809)</f>
        <v/>
      </c>
      <c r="I809" t="n">
        <v>0</v>
      </c>
      <c r="J809" t="n">
        <v>0</v>
      </c>
      <c r="K809" t="n">
        <v>2</v>
      </c>
      <c r="L809" s="5" t="inlineStr"/>
      <c r="M809" s="5" t="n"/>
    </row>
    <row r="810">
      <c r="A810" t="inlineStr">
        <is>
          <t>YX-WFS-07</t>
        </is>
      </c>
      <c r="B810" t="inlineStr">
        <is>
          <t>P22</t>
        </is>
      </c>
      <c r="C810" t="inlineStr">
        <is>
          <t>YX-WFS</t>
        </is>
      </c>
      <c r="D810" t="inlineStr">
        <is>
          <t>6+</t>
        </is>
      </c>
      <c r="E810" s="5" t="inlineStr">
        <is>
          <t>Per-run limits (records touched, steps, duration) stop the run with an alert when reached. Per-tenant daily limits follow fair use (D18) with 80 % / 100 % alerts; beyond is the usage add-on, never a silent stop of in-flight runs.</t>
        </is>
      </c>
      <c r="F810" t="inlineStr">
        <is>
          <t>Not started</t>
        </is>
      </c>
      <c r="H810">
        <f>IF(G810&lt;&gt;"",G810,F810)</f>
        <v/>
      </c>
      <c r="I810" t="n">
        <v>0</v>
      </c>
      <c r="J810" t="n">
        <v>0</v>
      </c>
      <c r="K810" t="n">
        <v>0</v>
      </c>
      <c r="L810" s="5" t="inlineStr"/>
      <c r="M810" s="5" t="n"/>
    </row>
    <row r="811">
      <c r="A811" t="inlineStr">
        <is>
          <t>YX-WFS-08</t>
        </is>
      </c>
      <c r="B811" t="inlineStr">
        <is>
          <t>P22</t>
        </is>
      </c>
      <c r="C811" t="inlineStr">
        <is>
          <t>YX-WFS</t>
        </is>
      </c>
      <c r="D811" t="inlineStr">
        <is>
          <t>6+</t>
        </is>
      </c>
      <c r="E811" s="5" t="inlineStr">
        <is>
          <t>Loop protection as P19 YX-RULE-11: a workflow's action can't re-trigger the same workflow on the same record in one chain; cross-workflow chains stop at a depth limit and log a loop warning.</t>
        </is>
      </c>
      <c r="F811" t="inlineStr">
        <is>
          <t>Not started</t>
        </is>
      </c>
      <c r="H811">
        <f>IF(G811&lt;&gt;"",G811,F811)</f>
        <v/>
      </c>
      <c r="I811" t="n">
        <v>0</v>
      </c>
      <c r="J811" t="n">
        <v>0</v>
      </c>
      <c r="K811" t="n">
        <v>0</v>
      </c>
      <c r="L811" s="5" t="inlineStr"/>
      <c r="M811" s="5" t="n"/>
    </row>
    <row r="812">
      <c r="A812" t="inlineStr">
        <is>
          <t>YX-WFS-09</t>
        </is>
      </c>
      <c r="B812" t="inlineStr">
        <is>
          <t>P22</t>
        </is>
      </c>
      <c r="C812" t="inlineStr">
        <is>
          <t>YX-WFS</t>
        </is>
      </c>
      <c r="D812" t="inlineStr">
        <is>
          <t>6+</t>
        </is>
      </c>
      <c r="E812" s="5" t="inlineStr">
        <is>
          <t>Each step declares retry, fallback branch or stop-and-alert. A failed run is visible in the failure queue with the step, input and error.</t>
        </is>
      </c>
      <c r="F812" t="inlineStr">
        <is>
          <t>Not started</t>
        </is>
      </c>
      <c r="H812">
        <f>IF(G812&lt;&gt;"",G812,F812)</f>
        <v/>
      </c>
      <c r="I812" t="n">
        <v>0</v>
      </c>
      <c r="J812" t="n">
        <v>0</v>
      </c>
      <c r="K812" t="n">
        <v>0</v>
      </c>
      <c r="L812" s="5" t="inlineStr"/>
      <c r="M812" s="5" t="n"/>
    </row>
    <row r="813">
      <c r="A813" t="inlineStr">
        <is>
          <t>YX-WFS-10</t>
        </is>
      </c>
      <c r="B813" t="inlineStr">
        <is>
          <t>P22</t>
        </is>
      </c>
      <c r="C813" t="inlineStr">
        <is>
          <t>YX-WFS</t>
        </is>
      </c>
      <c r="D813" t="inlineStr">
        <is>
          <t>6+</t>
        </is>
      </c>
      <c r="E813" s="5" t="inlineStr">
        <is>
          <t>Undo of a run reverses reversible steps in reverse order using their compensating actions; irreversible steps are listed and left as they are. Undo is refused for any step whose record has since changed or whose period is locked (P08), and the conflict is shown.</t>
        </is>
      </c>
      <c r="F813" t="inlineStr">
        <is>
          <t>Tested, code not linked</t>
        </is>
      </c>
      <c r="H813">
        <f>IF(G813&lt;&gt;"",G813,F813)</f>
        <v/>
      </c>
      <c r="I813" t="n">
        <v>0</v>
      </c>
      <c r="J813" t="n">
        <v>1</v>
      </c>
      <c r="K813" t="n">
        <v>1</v>
      </c>
      <c r="L813" s="5" t="inlineStr">
        <is>
          <t>exam-app-org:packages/yx-ui/src/screens/platform-b/platform-b.test.tsx</t>
        </is>
      </c>
      <c r="M813" s="5" t="n"/>
    </row>
    <row r="814">
      <c r="A814" t="inlineStr">
        <is>
          <t>YX-WFS-11</t>
        </is>
      </c>
      <c r="B814" t="inlineStr">
        <is>
          <t>P22</t>
        </is>
      </c>
      <c r="C814" t="inlineStr">
        <is>
          <t>YX-WFS</t>
        </is>
      </c>
      <c r="D814" t="inlineStr">
        <is>
          <t>6+</t>
        </is>
      </c>
      <c r="E814" s="5" t="inlineStr">
        <is>
          <t>Outbound HTTP and connection steps call only admin-approved endpoints or P10 connectors. Inbound webhooks need a valid HMAC signature and timestamp within 5 minutes; inbound email only from allow-listed senders.</t>
        </is>
      </c>
      <c r="F814" t="inlineStr">
        <is>
          <t>Not started</t>
        </is>
      </c>
      <c r="H814">
        <f>IF(G814&lt;&gt;"",G814,F814)</f>
        <v/>
      </c>
      <c r="I814" t="n">
        <v>0</v>
      </c>
      <c r="J814" t="n">
        <v>0</v>
      </c>
      <c r="K814" t="n">
        <v>0</v>
      </c>
      <c r="L814" s="5" t="inlineStr"/>
      <c r="M814" s="5" t="n"/>
    </row>
    <row r="815">
      <c r="A815" t="inlineStr">
        <is>
          <t>YX-WFS-12</t>
        </is>
      </c>
      <c r="B815" t="inlineStr">
        <is>
          <t>P22</t>
        </is>
      </c>
      <c r="C815" t="inlineStr">
        <is>
          <t>YX-WFS</t>
        </is>
      </c>
      <c r="D815" t="inlineStr">
        <is>
          <t>6+</t>
        </is>
      </c>
      <c r="E815" s="5" t="inlineStr">
        <is>
          <t>Kill switch: an admin can pause one workflow or all workflows in the tenant at once; pausing takes effect before the next step of every run.</t>
        </is>
      </c>
      <c r="F815" t="inlineStr">
        <is>
          <t>Not started</t>
        </is>
      </c>
      <c r="H815">
        <f>IF(G815&lt;&gt;"",G815,F815)</f>
        <v/>
      </c>
      <c r="I815" t="n">
        <v>0</v>
      </c>
      <c r="J815" t="n">
        <v>0</v>
      </c>
      <c r="K815" t="n">
        <v>0</v>
      </c>
      <c r="L815" s="5" t="inlineStr"/>
      <c r="M815" s="5" t="n"/>
    </row>
    <row r="816">
      <c r="A816" t="inlineStr">
        <is>
          <t>YX-WFS-13</t>
        </is>
      </c>
      <c r="B816" t="inlineStr">
        <is>
          <t>P22</t>
        </is>
      </c>
      <c r="C816" t="inlineStr">
        <is>
          <t>YX-WFS</t>
        </is>
      </c>
      <c r="D816" t="inlineStr">
        <is>
          <t>6+</t>
        </is>
      </c>
      <c r="E816" s="5" t="inlineStr">
        <is>
          <t>Script sandbox. Scripts run isolated: no file system, no network except approved endpoints, CPU / memory / time limits, SDK sandbox-safe subset only. Inputs, outputs and SDK calls are logged.</t>
        </is>
      </c>
      <c r="F816" t="inlineStr">
        <is>
          <t>Not started</t>
        </is>
      </c>
      <c r="H816">
        <f>IF(G816&lt;&gt;"",G816,F816)</f>
        <v/>
      </c>
      <c r="I816" t="n">
        <v>0</v>
      </c>
      <c r="J816" t="n">
        <v>0</v>
      </c>
      <c r="K816" t="n">
        <v>0</v>
      </c>
      <c r="L816" s="5" t="inlineStr"/>
      <c r="M816" s="5" t="n"/>
    </row>
    <row r="817">
      <c r="A817" t="inlineStr">
        <is>
          <t>YX-WFS-14</t>
        </is>
      </c>
      <c r="B817" t="inlineStr">
        <is>
          <t>P22</t>
        </is>
      </c>
      <c r="C817" t="inlineStr">
        <is>
          <t>YX-WFS</t>
        </is>
      </c>
      <c r="D817" t="inlineStr">
        <is>
          <t>6+</t>
        </is>
      </c>
      <c r="E817" s="5" t="inlineStr">
        <is>
          <t>Script identity. A script runs as a service identity whose permissions are equal to or narrower than the publishing admin's; never broader. Secrets come only from the vault. If the publisher's rights drop, the workflow pauses.</t>
        </is>
      </c>
      <c r="F817" t="inlineStr">
        <is>
          <t>Not started</t>
        </is>
      </c>
      <c r="H817">
        <f>IF(G817&lt;&gt;"",G817,F817)</f>
        <v/>
      </c>
      <c r="I817" t="n">
        <v>0</v>
      </c>
      <c r="J817" t="n">
        <v>0</v>
      </c>
      <c r="K817" t="n">
        <v>0</v>
      </c>
      <c r="L817" s="5" t="inlineStr"/>
      <c r="M817" s="5" t="n"/>
    </row>
    <row r="818">
      <c r="A818" t="inlineStr">
        <is>
          <t>YX-WFS-15</t>
        </is>
      </c>
      <c r="B818" t="inlineStr">
        <is>
          <t>P22</t>
        </is>
      </c>
      <c r="C818" t="inlineStr">
        <is>
          <t>YX-WFS</t>
        </is>
      </c>
      <c r="D818" t="inlineStr">
        <is>
          <t>6+</t>
        </is>
      </c>
      <c r="E818" s="5" t="inlineStr">
        <is>
          <t>Script review. Scripts pass static checks before publish, are versioned and reviewed like rules, and need a second approver when they touch pay or people data.</t>
        </is>
      </c>
      <c r="F818" t="inlineStr">
        <is>
          <t>Not started</t>
        </is>
      </c>
      <c r="H818">
        <f>IF(G818&lt;&gt;"",G818,F818)</f>
        <v/>
      </c>
      <c r="I818" t="n">
        <v>0</v>
      </c>
      <c r="J818" t="n">
        <v>0</v>
      </c>
      <c r="K818" t="n">
        <v>0</v>
      </c>
      <c r="L818" s="5" t="inlineStr"/>
      <c r="M818" s="5" t="n"/>
    </row>
    <row r="819">
      <c r="A819" t="inlineStr">
        <is>
          <t>YX-WFS-16</t>
        </is>
      </c>
      <c r="B819" t="inlineStr">
        <is>
          <t>P22</t>
        </is>
      </c>
      <c r="C819" t="inlineStr">
        <is>
          <t>YX-WFS</t>
        </is>
      </c>
      <c r="D819" t="inlineStr">
        <is>
          <t>6+</t>
        </is>
      </c>
      <c r="E819" s="5" t="inlineStr">
        <is>
          <t>AI build mode. The AI may draft workflows and scripts, explain them and run the impact preview; it can never publish. A person with publish rights publishes, under YX-WFS-03/04/15.</t>
        </is>
      </c>
      <c r="F819" t="inlineStr">
        <is>
          <t>Not started</t>
        </is>
      </c>
      <c r="H819">
        <f>IF(G819&lt;&gt;"",G819,F819)</f>
        <v/>
      </c>
      <c r="I819" t="n">
        <v>0</v>
      </c>
      <c r="J819" t="n">
        <v>0</v>
      </c>
      <c r="K819" t="n">
        <v>0</v>
      </c>
      <c r="L819" s="5" t="inlineStr"/>
      <c r="M819" s="5" t="n"/>
    </row>
    <row r="820">
      <c r="A820" t="inlineStr">
        <is>
          <t>YX-WFS-17</t>
        </is>
      </c>
      <c r="B820" t="inlineStr">
        <is>
          <t>P22</t>
        </is>
      </c>
      <c r="C820" t="inlineStr">
        <is>
          <t>YX-WFS</t>
        </is>
      </c>
      <c r="D820" t="inlineStr">
        <is>
          <t>6+</t>
        </is>
      </c>
      <c r="E820" s="5" t="inlineStr">
        <is>
          <t>AI do mode. A plan is executed only after the person approves it (plan approval, P10 YX-AI-15), only through public APIs, only with the person's permissions, and only within the approved plan. A step outside the plan stops the run.</t>
        </is>
      </c>
      <c r="F820" t="inlineStr">
        <is>
          <t>Not started</t>
        </is>
      </c>
      <c r="H820">
        <f>IF(G820&lt;&gt;"",G820,F820)</f>
        <v/>
      </c>
      <c r="I820" t="n">
        <v>0</v>
      </c>
      <c r="J820" t="n">
        <v>0</v>
      </c>
      <c r="K820" t="n">
        <v>0</v>
      </c>
      <c r="L820" s="5" t="inlineStr"/>
      <c r="M820" s="5" t="n"/>
    </row>
    <row r="821">
      <c r="A821" t="inlineStr">
        <is>
          <t>YX-WFS-18</t>
        </is>
      </c>
      <c r="B821" t="inlineStr">
        <is>
          <t>P22</t>
        </is>
      </c>
      <c r="C821" t="inlineStr">
        <is>
          <t>YX-WFS</t>
        </is>
      </c>
      <c r="D821" t="inlineStr">
        <is>
          <t>6+</t>
        </is>
      </c>
      <c r="E821" s="5" t="inlineStr">
        <is>
          <t>Always-confirm steps. Money (payroll release, payouts, bank files), statutory filing, approving or rejecting others' requests, candidate rejection, dismissal / termination and pay changes need a separate explicit confirmation per step, on the app's own screen; never executed autonomously, by workflow or by agent (P10 YX-AI-13).</t>
        </is>
      </c>
      <c r="F821" t="inlineStr">
        <is>
          <t>UI prototype only</t>
        </is>
      </c>
      <c r="H821">
        <f>IF(G821&lt;&gt;"",G821,F821)</f>
        <v/>
      </c>
      <c r="I821" t="n">
        <v>0</v>
      </c>
      <c r="J821" t="n">
        <v>0</v>
      </c>
      <c r="K821" t="n">
        <v>1</v>
      </c>
      <c r="L821" s="5" t="inlineStr"/>
      <c r="M821" s="5" t="n"/>
    </row>
    <row r="822">
      <c r="A822" t="inlineStr">
        <is>
          <t>YX-WFS-19</t>
        </is>
      </c>
      <c r="B822" t="inlineStr">
        <is>
          <t>P22</t>
        </is>
      </c>
      <c r="C822" t="inlineStr">
        <is>
          <t>YX-WFS</t>
        </is>
      </c>
      <c r="D822" t="inlineStr">
        <is>
          <t>6+</t>
        </is>
      </c>
      <c r="E822" s="5" t="inlineStr">
        <is>
          <t>Every workflow run, script call, agent plan and plan step is audited (P08): who, what, version, identity, records, result, undo.</t>
        </is>
      </c>
      <c r="F822" t="inlineStr">
        <is>
          <t>Not started</t>
        </is>
      </c>
      <c r="H822">
        <f>IF(G822&lt;&gt;"",G822,F822)</f>
        <v/>
      </c>
      <c r="I822" t="n">
        <v>0</v>
      </c>
      <c r="J822" t="n">
        <v>0</v>
      </c>
      <c r="K822" t="n">
        <v>0</v>
      </c>
      <c r="L822" s="5" t="inlineStr"/>
      <c r="M822" s="5" t="n"/>
    </row>
    <row r="823">
      <c r="A823" t="inlineStr">
        <is>
          <t>YX-WFS-20</t>
        </is>
      </c>
      <c r="B823" t="inlineStr">
        <is>
          <t>P22</t>
        </is>
      </c>
      <c r="C823" t="inlineStr">
        <is>
          <t>YX-WFS</t>
        </is>
      </c>
      <c r="D823" t="inlineStr">
        <is>
          <t>6+</t>
        </is>
      </c>
      <c r="E823" s="5" t="inlineStr">
        <is>
          <t>Workflows move between sandbox and production through P15 promotion when "promotion required" is on. YukthiX updates to gallery templates never change a tenant's workflows without acceptance.</t>
        </is>
      </c>
      <c r="F823" t="inlineStr">
        <is>
          <t>Not started</t>
        </is>
      </c>
      <c r="H823">
        <f>IF(G823&lt;&gt;"",G823,F823)</f>
        <v/>
      </c>
      <c r="I823" t="n">
        <v>0</v>
      </c>
      <c r="J823" t="n">
        <v>0</v>
      </c>
      <c r="K823" t="n">
        <v>0</v>
      </c>
      <c r="L823" s="5" t="inlineStr"/>
      <c r="M823" s="5" t="n"/>
    </row>
    <row r="824">
      <c r="A824" t="inlineStr">
        <is>
          <t>YX-AST-01</t>
        </is>
      </c>
      <c r="B824" t="inlineStr">
        <is>
          <t>P23</t>
        </is>
      </c>
      <c r="C824" t="inlineStr">
        <is>
          <t>YX-AST</t>
        </is>
      </c>
      <c r="D824" t="inlineStr">
        <is>
          <t>6+</t>
        </is>
      </c>
      <c r="E824" s="5" t="inlineStr">
        <is>
          <t>Advisory only. Every P23 output (explanation, draft, nudge, bias flag, suggestion, estimate, split, quote comparison) is a suggestion; a person accepts, edits or ignores it. Nothing is submitted, published, chosen or bought without that person's action (P10 YX-AI-01, YX-AI-13).</t>
        </is>
      </c>
      <c r="F824" t="inlineStr">
        <is>
          <t>Not started</t>
        </is>
      </c>
      <c r="H824">
        <f>IF(G824&lt;&gt;"",G824,F824)</f>
        <v/>
      </c>
      <c r="I824" t="n">
        <v>0</v>
      </c>
      <c r="J824" t="n">
        <v>0</v>
      </c>
      <c r="K824" t="n">
        <v>0</v>
      </c>
      <c r="L824" s="5" t="inlineStr"/>
      <c r="M824" s="5" t="n"/>
    </row>
    <row r="825">
      <c r="A825" t="inlineStr">
        <is>
          <t>YX-AST-02</t>
        </is>
      </c>
      <c r="B825" t="inlineStr">
        <is>
          <t>P23</t>
        </is>
      </c>
      <c r="C825" t="inlineStr">
        <is>
          <t>YX-AST</t>
        </is>
      </c>
      <c r="D825" t="inlineStr">
        <is>
          <t>6+</t>
        </is>
      </c>
      <c r="E825" s="5" t="inlineStr">
        <is>
          <t>AI data tiers. P23 AI features are registered (YX-AI-07) with allowed data classes. Special data is never sent to external models. Raw salary, bank and PAN values are sent only as placeholders and filled in by the app. Tenants whose region requires it use an in-region model (YX-AI-02/04).</t>
        </is>
      </c>
      <c r="F825" t="inlineStr">
        <is>
          <t>Not started</t>
        </is>
      </c>
      <c r="H825">
        <f>IF(G825&lt;&gt;"",G825,F825)</f>
        <v/>
      </c>
      <c r="I825" t="n">
        <v>0</v>
      </c>
      <c r="J825" t="n">
        <v>0</v>
      </c>
      <c r="K825" t="n">
        <v>0</v>
      </c>
      <c r="L825" s="5" t="inlineStr"/>
      <c r="M825" s="5" t="n"/>
    </row>
    <row r="826">
      <c r="A826" t="inlineStr">
        <is>
          <t>YX-AST-03</t>
        </is>
      </c>
      <c r="B826" t="inlineStr">
        <is>
          <t>P23</t>
        </is>
      </c>
      <c r="C826" t="inlineStr">
        <is>
          <t>YX-AST</t>
        </is>
      </c>
      <c r="D826" t="inlineStr">
        <is>
          <t>6+</t>
        </is>
      </c>
      <c r="E826" s="5" t="inlineStr">
        <is>
          <t>Visibility. Each helper reads only what the person already sees under P02. The payslip explainer and tax planner work only on the signed-in employee's own data; asking about someone else is refused and logged.</t>
        </is>
      </c>
      <c r="F826" t="inlineStr">
        <is>
          <t>Not started</t>
        </is>
      </c>
      <c r="H826">
        <f>IF(G826&lt;&gt;"",G826,F826)</f>
        <v/>
      </c>
      <c r="I826" t="n">
        <v>0</v>
      </c>
      <c r="J826" t="n">
        <v>0</v>
      </c>
      <c r="K826" t="n">
        <v>0</v>
      </c>
      <c r="L826" s="5" t="inlineStr"/>
      <c r="M826" s="5" t="n"/>
    </row>
    <row r="827">
      <c r="A827" t="inlineStr">
        <is>
          <t>YX-AST-04</t>
        </is>
      </c>
      <c r="B827" t="inlineStr">
        <is>
          <t>P23</t>
        </is>
      </c>
      <c r="C827" t="inlineStr">
        <is>
          <t>YX-AST</t>
        </is>
      </c>
      <c r="D827" t="inlineStr">
        <is>
          <t>6+</t>
        </is>
      </c>
      <c r="E827" s="5" t="inlineStr">
        <is>
          <t>Payslip causes from data. The pay-diff engine names a cause only when a payroll record supports it (LOP input, arrears line, tax projection change, component start / end, loan schedule, one-time pay, wage add-back, withhold). Anything left over is shown as "not explained" with a Raise payslip query action; the AI never invents a cause.</t>
        </is>
      </c>
      <c r="F827" t="inlineStr">
        <is>
          <t>Not started</t>
        </is>
      </c>
      <c r="H827">
        <f>IF(G827&lt;&gt;"",G827,F827)</f>
        <v/>
      </c>
      <c r="I827" t="n">
        <v>0</v>
      </c>
      <c r="J827" t="n">
        <v>0</v>
      </c>
      <c r="K827" t="n">
        <v>0</v>
      </c>
      <c r="L827" s="5" t="inlineStr"/>
      <c r="M827" s="5" t="n"/>
    </row>
    <row r="828">
      <c r="A828" t="inlineStr">
        <is>
          <t>YX-AST-05</t>
        </is>
      </c>
      <c r="B828" t="inlineStr">
        <is>
          <t>P23</t>
        </is>
      </c>
      <c r="C828" t="inlineStr">
        <is>
          <t>YX-AST</t>
        </is>
      </c>
      <c r="D828" t="inlineStr">
        <is>
          <t>6+</t>
        </is>
      </c>
      <c r="E828" s="5" t="inlineStr">
        <is>
          <t>Numbers from engines. Tax, take-home, statutory and pay amounts shown by P23 come from the M03 / P07 engines for the stated law version, never from an AI model.</t>
        </is>
      </c>
      <c r="F828" t="inlineStr">
        <is>
          <t>Not started</t>
        </is>
      </c>
      <c r="H828">
        <f>IF(G828&lt;&gt;"",G828,F828)</f>
        <v/>
      </c>
      <c r="I828" t="n">
        <v>0</v>
      </c>
      <c r="J828" t="n">
        <v>0</v>
      </c>
      <c r="K828" t="n">
        <v>0</v>
      </c>
      <c r="L828" s="5" t="inlineStr"/>
      <c r="M828" s="5" t="n"/>
    </row>
    <row r="829">
      <c r="A829" t="inlineStr">
        <is>
          <t>YX-AST-06</t>
        </is>
      </c>
      <c r="B829" t="inlineStr">
        <is>
          <t>P23</t>
        </is>
      </c>
      <c r="C829" t="inlineStr">
        <is>
          <t>YX-AST</t>
        </is>
      </c>
      <c r="D829" t="inlineStr">
        <is>
          <t>6+</t>
        </is>
      </c>
      <c r="E829" s="5" t="inlineStr">
        <is>
          <t>Policy drafts. A policy draft can be approved only after the P07 law-floor check for every chosen state has run and each finding is resolved or acknowledged. Drafts never auto-publish. Approved values enter P19 with impact preview; text enters M08 as a new policy version with acknowledgement. Every draft shows the disclaimer "Not legal advice; review by counsel recommended."</t>
        </is>
      </c>
      <c r="F829" t="inlineStr">
        <is>
          <t>Not started</t>
        </is>
      </c>
      <c r="H829">
        <f>IF(G829&lt;&gt;"",G829,F829)</f>
        <v/>
      </c>
      <c r="I829" t="n">
        <v>0</v>
      </c>
      <c r="J829" t="n">
        <v>0</v>
      </c>
      <c r="K829" t="n">
        <v>0</v>
      </c>
      <c r="L829" s="5" t="inlineStr"/>
      <c r="M829" s="5" t="n"/>
    </row>
    <row r="830">
      <c r="A830" t="inlineStr">
        <is>
          <t>YX-AST-07</t>
        </is>
      </c>
      <c r="B830" t="inlineStr">
        <is>
          <t>P23</t>
        </is>
      </c>
      <c r="C830" t="inlineStr">
        <is>
          <t>YX-AST</t>
        </is>
      </c>
      <c r="D830" t="inlineStr">
        <is>
          <t>6+</t>
        </is>
      </c>
      <c r="E830" s="5" t="inlineStr">
        <is>
          <t>Clause sources. Every clause in a policy draft is tagged as law (P07 rule ref), company answer, or AI suggestion; the tag stays visible until approval.</t>
        </is>
      </c>
      <c r="F830" t="inlineStr">
        <is>
          <t>UI prototype only</t>
        </is>
      </c>
      <c r="H830">
        <f>IF(G830&lt;&gt;"",G830,F830)</f>
        <v/>
      </c>
      <c r="I830" t="n">
        <v>0</v>
      </c>
      <c r="J830" t="n">
        <v>0</v>
      </c>
      <c r="K830" t="n">
        <v>1</v>
      </c>
      <c r="L830" s="5" t="inlineStr"/>
      <c r="M830" s="5" t="n"/>
    </row>
    <row r="831">
      <c r="A831" t="inlineStr">
        <is>
          <t>YX-AST-08</t>
        </is>
      </c>
      <c r="B831" t="inlineStr">
        <is>
          <t>P23</t>
        </is>
      </c>
      <c r="C831" t="inlineStr">
        <is>
          <t>YX-AST</t>
        </is>
      </c>
      <c r="D831" t="inlineStr">
        <is>
          <t>6+</t>
        </is>
      </c>
      <c r="E831" s="5" t="inlineStr">
        <is>
          <t>Work tool connectors. Calendar, Jira and GitHub are connected per user by OAuth with read-only scopes, revocable by the user at any time (tokens deleted on revoke or exit). Only metadata is read: titles, times, durations, issue keys, repository names. Code, diffs and message or comment bodies are never read or stored.</t>
        </is>
      </c>
      <c r="F831" t="inlineStr">
        <is>
          <t>UI prototype only</t>
        </is>
      </c>
      <c r="H831">
        <f>IF(G831&lt;&gt;"",G831,F831)</f>
        <v/>
      </c>
      <c r="I831" t="n">
        <v>0</v>
      </c>
      <c r="J831" t="n">
        <v>0</v>
      </c>
      <c r="K831" t="n">
        <v>1</v>
      </c>
      <c r="L831" s="5" t="inlineStr"/>
      <c r="M831" s="5" t="n"/>
    </row>
    <row r="832">
      <c r="A832" t="inlineStr">
        <is>
          <t>YX-AST-09</t>
        </is>
      </c>
      <c r="B832" t="inlineStr">
        <is>
          <t>P23</t>
        </is>
      </c>
      <c r="C832" t="inlineStr">
        <is>
          <t>YX-AST</t>
        </is>
      </c>
      <c r="D832" t="inlineStr">
        <is>
          <t>6+</t>
        </is>
      </c>
      <c r="E832" s="5" t="inlineStr">
        <is>
          <t>Timesheet never auto-submitted. Suggestions pre-fill a draft; only the employee submits. Raw activity and unaccepted suggestions are visible only to the employee, never to managers, HR reports or analytics.</t>
        </is>
      </c>
      <c r="F832" t="inlineStr">
        <is>
          <t>UI prototype only</t>
        </is>
      </c>
      <c r="H832">
        <f>IF(G832&lt;&gt;"",G832,F832)</f>
        <v/>
      </c>
      <c r="I832" t="n">
        <v>0</v>
      </c>
      <c r="J832" t="n">
        <v>0</v>
      </c>
      <c r="K832" t="n">
        <v>1</v>
      </c>
      <c r="L832" s="5" t="inlineStr"/>
      <c r="M832" s="5" t="n"/>
    </row>
    <row r="833">
      <c r="A833" t="inlineStr">
        <is>
          <t>YX-AST-10</t>
        </is>
      </c>
      <c r="B833" t="inlineStr">
        <is>
          <t>P23</t>
        </is>
      </c>
      <c r="C833" t="inlineStr">
        <is>
          <t>YX-AST</t>
        </is>
      </c>
      <c r="D833" t="inlineStr">
        <is>
          <t>6+</t>
        </is>
      </c>
      <c r="E833" s="5" t="inlineStr">
        <is>
          <t>Coach signals. Nudges use only signals the manager is allowed to see; never Special data, leave reasons or health information; attrition-risk only where the manager already has that access. Frequency is a company setting; each manager can opt out.</t>
        </is>
      </c>
      <c r="F833" t="inlineStr">
        <is>
          <t>UI prototype only</t>
        </is>
      </c>
      <c r="H833">
        <f>IF(G833&lt;&gt;"",G833,F833)</f>
        <v/>
      </c>
      <c r="I833" t="n">
        <v>0</v>
      </c>
      <c r="J833" t="n">
        <v>0</v>
      </c>
      <c r="K833" t="n">
        <v>1</v>
      </c>
      <c r="L833" s="5" t="inlineStr"/>
      <c r="M833" s="5" t="n"/>
    </row>
    <row r="834">
      <c r="A834" t="inlineStr">
        <is>
          <t>YX-AST-11</t>
        </is>
      </c>
      <c r="B834" t="inlineStr">
        <is>
          <t>P23</t>
        </is>
      </c>
      <c r="C834" t="inlineStr">
        <is>
          <t>YX-AST</t>
        </is>
      </c>
      <c r="D834" t="inlineStr">
        <is>
          <t>6+</t>
        </is>
      </c>
      <c r="E834" s="5" t="inlineStr">
        <is>
          <t>Bias check. Bias flags are suggestions; the manager's text and rating are final. Flag acceptance is reported only in aggregate with small-group suppression (P02), for fairness analytics (A13 / T05 style). The review assistant follows P10 EU classification (YX-AI-11) and the tenant's AI review summaries opt-in.</t>
        </is>
      </c>
      <c r="F834" t="inlineStr">
        <is>
          <t>Tested, code not linked</t>
        </is>
      </c>
      <c r="H834">
        <f>IF(G834&lt;&gt;"",G834,F834)</f>
        <v/>
      </c>
      <c r="I834" t="n">
        <v>0</v>
      </c>
      <c r="J834" t="n">
        <v>1</v>
      </c>
      <c r="K834" t="n">
        <v>2</v>
      </c>
      <c r="L834" s="5" t="inlineStr">
        <is>
          <t>exam-app-org:packages/yx-ui/src/screens/growth/growth.test.tsx</t>
        </is>
      </c>
      <c r="M834" s="5" t="n"/>
    </row>
    <row r="835">
      <c r="A835" t="inlineStr">
        <is>
          <t>YX-AST-12</t>
        </is>
      </c>
      <c r="B835" t="inlineStr">
        <is>
          <t>P23</t>
        </is>
      </c>
      <c r="C835" t="inlineStr">
        <is>
          <t>YX-AST</t>
        </is>
      </c>
      <c r="D835" t="inlineStr">
        <is>
          <t>6+</t>
        </is>
      </c>
      <c r="E835" s="5" t="inlineStr">
        <is>
          <t>Tax planner. Uses the employee's projected salary and the P07 IN.TDS law version for the tax year; shows "Estimate, not tax advice"; never selects a regime. Scenarios are private to the employee and never shown to the manager or in reports.</t>
        </is>
      </c>
      <c r="F835" t="inlineStr">
        <is>
          <t>UI prototype only</t>
        </is>
      </c>
      <c r="H835">
        <f>IF(G835&lt;&gt;"",G835,F835)</f>
        <v/>
      </c>
      <c r="I835" t="n">
        <v>0</v>
      </c>
      <c r="J835" t="n">
        <v>0</v>
      </c>
      <c r="K835" t="n">
        <v>1</v>
      </c>
      <c r="L835" s="5" t="inlineStr"/>
      <c r="M835" s="5" t="n"/>
    </row>
    <row r="836">
      <c r="A836" t="inlineStr">
        <is>
          <t>YX-AST-13</t>
        </is>
      </c>
      <c r="B836" t="inlineStr">
        <is>
          <t>P23</t>
        </is>
      </c>
      <c r="C836" t="inlineStr">
        <is>
          <t>YX-AST</t>
        </is>
      </c>
      <c r="D836" t="inlineStr">
        <is>
          <t>6+</t>
        </is>
      </c>
      <c r="E836" s="5" t="inlineStr">
        <is>
          <t>Salary optimiser. Every suggested split passes company CTC rules (P19) and law (Code wage 50 % rule YX-STAT-21, state minimum wage, PF / ESI) before it is shown. HR chooses; the options shown and the choice are audited (P08). A later law change marks saved suggestions as stale.</t>
        </is>
      </c>
      <c r="F836" t="inlineStr">
        <is>
          <t>UI prototype only</t>
        </is>
      </c>
      <c r="H836">
        <f>IF(G836&lt;&gt;"",G836,F836)</f>
        <v/>
      </c>
      <c r="I836" t="n">
        <v>0</v>
      </c>
      <c r="J836" t="n">
        <v>0</v>
      </c>
      <c r="K836" t="n">
        <v>1</v>
      </c>
      <c r="L836" s="5" t="inlineStr"/>
      <c r="M836" s="5" t="n"/>
    </row>
    <row r="837">
      <c r="A837" t="inlineStr">
        <is>
          <t>YX-AST-14</t>
        </is>
      </c>
      <c r="B837" t="inlineStr">
        <is>
          <t>P23</t>
        </is>
      </c>
      <c r="C837" t="inlineStr">
        <is>
          <t>YX-AST</t>
        </is>
      </c>
      <c r="D837" t="inlineStr">
        <is>
          <t>6+</t>
        </is>
      </c>
      <c r="E837" s="5" t="inlineStr">
        <is>
          <t>Insurance only through a licensed partner. Group insurance is quoted and sold only by an IRDAI-licensed broker or corporate agent whose licence is recorded and in date; an expired licence hides the offer. YukthiX never advises on or sells cover. The comparison uses the same fields for every quote and has no YukthiX recommendation.</t>
        </is>
      </c>
      <c r="F837" t="inlineStr">
        <is>
          <t>Not started</t>
        </is>
      </c>
      <c r="H837">
        <f>IF(G837&lt;&gt;"",G837,F837)</f>
        <v/>
      </c>
      <c r="I837" t="n">
        <v>0</v>
      </c>
      <c r="J837" t="n">
        <v>0</v>
      </c>
      <c r="K837" t="n">
        <v>0</v>
      </c>
      <c r="L837" s="5" t="inlineStr"/>
      <c r="M837" s="5" t="n"/>
    </row>
    <row r="838">
      <c r="A838" t="inlineStr">
        <is>
          <t>YX-AST-15</t>
        </is>
      </c>
      <c r="B838" t="inlineStr">
        <is>
          <t>P23</t>
        </is>
      </c>
      <c r="C838" t="inlineStr">
        <is>
          <t>YX-AST</t>
        </is>
      </c>
      <c r="D838" t="inlineStr">
        <is>
          <t>6+</t>
        </is>
      </c>
      <c r="E838" s="5" t="inlineStr">
        <is>
          <t>Insurance eligibility and data. The offer shows only to companies meeting the insurer's minimum headcount (default 7, to verify). The partner receives census fields only; health declarations stay on the partner's screen. Commission to YukthiX only as IRDAI rules permit.</t>
        </is>
      </c>
      <c r="F838" t="inlineStr">
        <is>
          <t>Not started</t>
        </is>
      </c>
      <c r="H838">
        <f>IF(G838&lt;&gt;"",G838,F838)</f>
        <v/>
      </c>
      <c r="I838" t="n">
        <v>0</v>
      </c>
      <c r="J838" t="n">
        <v>0</v>
      </c>
      <c r="K838" t="n">
        <v>0</v>
      </c>
      <c r="L838" s="5" t="inlineStr"/>
      <c r="M838" s="5" t="n"/>
    </row>
    <row r="839">
      <c r="A839" t="inlineStr">
        <is>
          <t>YX-AST-16</t>
        </is>
      </c>
      <c r="B839" t="inlineStr">
        <is>
          <t>P23</t>
        </is>
      </c>
      <c r="C839" t="inlineStr">
        <is>
          <t>YX-AST</t>
        </is>
      </c>
      <c r="D839" t="inlineStr">
        <is>
          <t>6+</t>
        </is>
      </c>
      <c r="E839" s="5" t="inlineStr">
        <is>
          <t>Perks. Off until the company switches it on; the company chooses categories (D17). Offers are labelled "Partner offer". No employee data goes to a merchant except the fields the employee consents to at redemption (consent recorded, YX-SEC-28). No offers or ads on payroll, payslip, tax or statutory screens.</t>
        </is>
      </c>
      <c r="F839" t="inlineStr">
        <is>
          <t>UI prototype only</t>
        </is>
      </c>
      <c r="H839">
        <f>IF(G839&lt;&gt;"",G839,F839)</f>
        <v/>
      </c>
      <c r="I839" t="n">
        <v>0</v>
      </c>
      <c r="J839" t="n">
        <v>0</v>
      </c>
      <c r="K839" t="n">
        <v>1</v>
      </c>
      <c r="L839" s="5" t="inlineStr"/>
      <c r="M839" s="5" t="n"/>
    </row>
    <row r="840">
      <c r="A840" t="inlineStr">
        <is>
          <t>YX-AST-17</t>
        </is>
      </c>
      <c r="B840" t="inlineStr">
        <is>
          <t>P23</t>
        </is>
      </c>
      <c r="C840" t="inlineStr">
        <is>
          <t>YX-AST</t>
        </is>
      </c>
      <c r="D840" t="inlineStr">
        <is>
          <t>6+</t>
        </is>
      </c>
      <c r="E840" s="5" t="inlineStr">
        <is>
          <t>Credits. AI helpers are included up to fair use per user per month; beyond it they draw AI credits (D18, YX-AI-14). With no credits left the rule-based parts (payslip diff, tax compare, salary split) keep working.</t>
        </is>
      </c>
      <c r="F840" t="inlineStr">
        <is>
          <t>Not started</t>
        </is>
      </c>
      <c r="H840">
        <f>IF(G840&lt;&gt;"",G840,F840)</f>
        <v/>
      </c>
      <c r="I840" t="n">
        <v>0</v>
      </c>
      <c r="J840" t="n">
        <v>0</v>
      </c>
      <c r="K840" t="n">
        <v>0</v>
      </c>
      <c r="L840" s="5" t="inlineStr"/>
      <c r="M840" s="5" t="n"/>
    </row>
    <row r="841">
      <c r="A841" t="inlineStr">
        <is>
          <t>YX-AST-18</t>
        </is>
      </c>
      <c r="B841" t="inlineStr">
        <is>
          <t>P23</t>
        </is>
      </c>
      <c r="C841" t="inlineStr">
        <is>
          <t>YX-AST</t>
        </is>
      </c>
      <c r="D841" t="inlineStr">
        <is>
          <t>6+</t>
        </is>
      </c>
      <c r="E841" s="5" t="inlineStr">
        <is>
          <t>Company switches (D17). Each P23 helper and marketplace can be switched on or off by the company; coach frequency, timesheet mapping rules and perk categories are company settings.</t>
        </is>
      </c>
      <c r="F841" t="inlineStr">
        <is>
          <t>Not started</t>
        </is>
      </c>
      <c r="H841">
        <f>IF(G841&lt;&gt;"",G841,F841)</f>
        <v/>
      </c>
      <c r="I841" t="n">
        <v>0</v>
      </c>
      <c r="J841" t="n">
        <v>0</v>
      </c>
      <c r="K841" t="n">
        <v>0</v>
      </c>
      <c r="L841" s="5" t="inlineStr"/>
      <c r="M841" s="5" t="n"/>
    </row>
    <row r="842">
      <c r="A842" t="inlineStr">
        <is>
          <t>YX-AST-19</t>
        </is>
      </c>
      <c r="B842" t="inlineStr">
        <is>
          <t>P23</t>
        </is>
      </c>
      <c r="C842" t="inlineStr">
        <is>
          <t>YX-AST</t>
        </is>
      </c>
      <c r="D842" t="inlineStr">
        <is>
          <t>6+</t>
        </is>
      </c>
      <c r="E842" s="5" t="inlineStr">
        <is>
          <t>Audit. Every AI call (P10 ai_calls), policy approval, salary-split choice, insurance purchase and perk redemption is audited (P08) with person, feature version and data classes.</t>
        </is>
      </c>
      <c r="F842" t="inlineStr">
        <is>
          <t>Not started</t>
        </is>
      </c>
      <c r="H842">
        <f>IF(G842&lt;&gt;"",G842,F842)</f>
        <v/>
      </c>
      <c r="I842" t="n">
        <v>0</v>
      </c>
      <c r="J842" t="n">
        <v>0</v>
      </c>
      <c r="K842" t="n">
        <v>0</v>
      </c>
      <c r="L842" s="5" t="inlineStr"/>
      <c r="M842" s="5" t="n"/>
    </row>
    <row r="843">
      <c r="A843" t="inlineStr">
        <is>
          <t>YX-QB-01</t>
        </is>
      </c>
      <c r="B843" t="inlineStr">
        <is>
          <t>T01</t>
        </is>
      </c>
      <c r="C843" t="inlineStr">
        <is>
          <t>YX-QB</t>
        </is>
      </c>
      <c r="D843" t="inlineStr">
        <is>
          <t>6+</t>
        </is>
      </c>
      <c r="E843" s="5" t="inlineStr">
        <is>
          <t>Only approved question versions can be added to a test that is being published. Draft / in-review versions can be previewed only.</t>
        </is>
      </c>
      <c r="F843" t="inlineStr">
        <is>
          <t>Not started</t>
        </is>
      </c>
      <c r="H843">
        <f>IF(G843&lt;&gt;"",G843,F843)</f>
        <v/>
      </c>
      <c r="I843" t="n">
        <v>0</v>
      </c>
      <c r="J843" t="n">
        <v>0</v>
      </c>
      <c r="K843" t="n">
        <v>0</v>
      </c>
      <c r="L843" s="5" t="inlineStr"/>
      <c r="M843" s="5" t="n"/>
    </row>
    <row r="844">
      <c r="A844" t="inlineStr">
        <is>
          <t>YX-QB-02</t>
        </is>
      </c>
      <c r="B844" t="inlineStr">
        <is>
          <t>T01</t>
        </is>
      </c>
      <c r="C844" t="inlineStr">
        <is>
          <t>YX-QB</t>
        </is>
      </c>
      <c r="D844" t="inlineStr">
        <is>
          <t>6+</t>
        </is>
      </c>
      <c r="E844" s="5" t="inlineStr">
        <is>
          <t>A major change always creates a new version. Published tests keep the version they were built with until the test owner upgrades them (Q4). Attempts keep a snapshot of the exact version served.</t>
        </is>
      </c>
      <c r="F844" t="inlineStr">
        <is>
          <t>Not started</t>
        </is>
      </c>
      <c r="H844">
        <f>IF(G844&lt;&gt;"",G844,F844)</f>
        <v/>
      </c>
      <c r="I844" t="n">
        <v>0</v>
      </c>
      <c r="J844" t="n">
        <v>0</v>
      </c>
      <c r="K844" t="n">
        <v>0</v>
      </c>
      <c r="L844" s="5" t="inlineStr"/>
      <c r="M844" s="5" t="n"/>
    </row>
    <row r="845">
      <c r="A845" t="inlineStr">
        <is>
          <t>YX-QB-03</t>
        </is>
      </c>
      <c r="B845" t="inlineStr">
        <is>
          <t>T01</t>
        </is>
      </c>
      <c r="C845" t="inlineStr">
        <is>
          <t>YX-QB</t>
        </is>
      </c>
      <c r="D845" t="inlineStr">
        <is>
          <t>6+</t>
        </is>
      </c>
      <c r="E845" s="5" t="inlineStr">
        <is>
          <t>Changing an answer key on a version already served offers a re-grade of affected attempts. The re-grade is audited and follows T05 result-release rules; it never silently changes released results.</t>
        </is>
      </c>
      <c r="F845" t="inlineStr">
        <is>
          <t>Not started</t>
        </is>
      </c>
      <c r="H845">
        <f>IF(G845&lt;&gt;"",G845,F845)</f>
        <v/>
      </c>
      <c r="I845" t="n">
        <v>0</v>
      </c>
      <c r="J845" t="n">
        <v>0</v>
      </c>
      <c r="K845" t="n">
        <v>0</v>
      </c>
      <c r="L845" s="5" t="inlineStr"/>
      <c r="M845" s="5" t="n"/>
    </row>
    <row r="846">
      <c r="A846" t="inlineStr">
        <is>
          <t>YX-QB-04</t>
        </is>
      </c>
      <c r="B846" t="inlineStr">
        <is>
          <t>T01</t>
        </is>
      </c>
      <c r="C846" t="inlineStr">
        <is>
          <t>YX-QB</t>
        </is>
      </c>
      <c r="D846" t="inlineStr">
        <is>
          <t>6+</t>
        </is>
      </c>
      <c r="E846" s="5" t="inlineStr">
        <is>
          <t>Marks and difficulty are separate fields. Difficulty uses the Q1 scale. Calibrated difficulty from T02 is stored alongside, never overwriting the authored value.</t>
        </is>
      </c>
      <c r="F846" t="inlineStr">
        <is>
          <t>Not started</t>
        </is>
      </c>
      <c r="H846">
        <f>IF(G846&lt;&gt;"",G846,F846)</f>
        <v/>
      </c>
      <c r="I846" t="n">
        <v>0</v>
      </c>
      <c r="J846" t="n">
        <v>0</v>
      </c>
      <c r="K846" t="n">
        <v>0</v>
      </c>
      <c r="L846" s="5" t="inlineStr"/>
      <c r="M846" s="5" t="n"/>
    </row>
    <row r="847">
      <c r="A847" t="inlineStr">
        <is>
          <t>YX-QB-05</t>
        </is>
      </c>
      <c r="B847" t="inlineStr">
        <is>
          <t>T01</t>
        </is>
      </c>
      <c r="C847" t="inlineStr">
        <is>
          <t>YX-QB</t>
        </is>
      </c>
      <c r="D847" t="inlineStr">
        <is>
          <t>6+</t>
        </is>
      </c>
      <c r="E847" s="5" t="inlineStr">
        <is>
          <t>Every question has at least one skill from the taxonomy before approval. Tags stay free-form.</t>
        </is>
      </c>
      <c r="F847" t="inlineStr">
        <is>
          <t>Not started</t>
        </is>
      </c>
      <c r="H847">
        <f>IF(G847&lt;&gt;"",G847,F847)</f>
        <v/>
      </c>
      <c r="I847" t="n">
        <v>0</v>
      </c>
      <c r="J847" t="n">
        <v>0</v>
      </c>
      <c r="K847" t="n">
        <v>0</v>
      </c>
      <c r="L847" s="5" t="inlineStr"/>
      <c r="M847" s="5" t="n"/>
    </row>
    <row r="848">
      <c r="A848" t="inlineStr">
        <is>
          <t>YX-QB-06</t>
        </is>
      </c>
      <c r="B848" t="inlineStr">
        <is>
          <t>T01</t>
        </is>
      </c>
      <c r="C848" t="inlineStr">
        <is>
          <t>YX-QB</t>
        </is>
      </c>
      <c r="D848" t="inlineStr">
        <is>
          <t>6+</t>
        </is>
      </c>
      <c r="E848" s="5" t="inlineStr">
        <is>
          <t>Retiring a question removes it from future test building. Historical attempts, reports and item statistics remain intact.</t>
        </is>
      </c>
      <c r="F848" t="inlineStr">
        <is>
          <t>Not started</t>
        </is>
      </c>
      <c r="H848">
        <f>IF(G848&lt;&gt;"",G848,F848)</f>
        <v/>
      </c>
      <c r="I848" t="n">
        <v>0</v>
      </c>
      <c r="J848" t="n">
        <v>0</v>
      </c>
      <c r="K848" t="n">
        <v>0</v>
      </c>
      <c r="L848" s="5" t="inlineStr"/>
      <c r="M848" s="5" t="n"/>
    </row>
    <row r="849">
      <c r="A849" t="inlineStr">
        <is>
          <t>YX-QB-07</t>
        </is>
      </c>
      <c r="B849" t="inlineStr">
        <is>
          <t>T01</t>
        </is>
      </c>
      <c r="C849" t="inlineStr">
        <is>
          <t>YX-QB</t>
        </is>
      </c>
      <c r="D849" t="inlineStr">
        <is>
          <t>6+</t>
        </is>
      </c>
      <c r="E849" s="5" t="inlineStr">
        <is>
          <t>The duplicate check runs on save (text + embedding similarity against the tenant bank). Near-duplicates above the threshold must be confirmed "not duplicate" by the reviewer before approval.</t>
        </is>
      </c>
      <c r="F849" t="inlineStr">
        <is>
          <t>Not started</t>
        </is>
      </c>
      <c r="H849">
        <f>IF(G849&lt;&gt;"",G849,F849)</f>
        <v/>
      </c>
      <c r="I849" t="n">
        <v>0</v>
      </c>
      <c r="J849" t="n">
        <v>0</v>
      </c>
      <c r="K849" t="n">
        <v>0</v>
      </c>
      <c r="L849" s="5" t="inlineStr"/>
      <c r="M849" s="5" t="n"/>
    </row>
    <row r="850">
      <c r="A850" t="inlineStr">
        <is>
          <t>YX-QB-08</t>
        </is>
      </c>
      <c r="B850" t="inlineStr">
        <is>
          <t>T01</t>
        </is>
      </c>
      <c r="C850" t="inlineStr">
        <is>
          <t>YX-QB</t>
        </is>
      </c>
      <c r="D850" t="inlineStr">
        <is>
          <t>6+</t>
        </is>
      </c>
      <c r="E850" s="5" t="inlineStr">
        <is>
          <t>A translation is served only when it is approved. A candidate's chosen language applies to the whole attempt. Code, formulas and option order stay identical across languages, so scores are comparable (Q5).</t>
        </is>
      </c>
      <c r="F850" t="inlineStr">
        <is>
          <t>Not started</t>
        </is>
      </c>
      <c r="H850">
        <f>IF(G850&lt;&gt;"",G850,F850)</f>
        <v/>
      </c>
      <c r="I850" t="n">
        <v>0</v>
      </c>
      <c r="J850" t="n">
        <v>0</v>
      </c>
      <c r="K850" t="n">
        <v>0</v>
      </c>
      <c r="L850" s="5" t="inlineStr"/>
      <c r="M850" s="5" t="n"/>
    </row>
    <row r="851">
      <c r="A851" t="inlineStr">
        <is>
          <t>YX-QB-09</t>
        </is>
      </c>
      <c r="B851" t="inlineStr">
        <is>
          <t>T01</t>
        </is>
      </c>
      <c r="C851" t="inlineStr">
        <is>
          <t>YX-QB</t>
        </is>
      </c>
      <c r="D851" t="inlineStr">
        <is>
          <t>6+</t>
        </is>
      </c>
      <c r="E851" s="5" t="inlineStr">
        <is>
          <t>Answer keys, test cases and model answers never reach the candidate runtime (browser) before the attempt is submitted.</t>
        </is>
      </c>
      <c r="F851" t="inlineStr">
        <is>
          <t>Not started</t>
        </is>
      </c>
      <c r="H851">
        <f>IF(G851&lt;&gt;"",G851,F851)</f>
        <v/>
      </c>
      <c r="I851" t="n">
        <v>0</v>
      </c>
      <c r="J851" t="n">
        <v>0</v>
      </c>
      <c r="K851" t="n">
        <v>0</v>
      </c>
      <c r="L851" s="5" t="inlineStr"/>
      <c r="M851" s="5" t="n"/>
    </row>
    <row r="852">
      <c r="A852" t="inlineStr">
        <is>
          <t>YX-QB-10</t>
        </is>
      </c>
      <c r="B852" t="inlineStr">
        <is>
          <t>T01</t>
        </is>
      </c>
      <c r="C852" t="inlineStr">
        <is>
          <t>YX-QB</t>
        </is>
      </c>
      <c r="D852" t="inlineStr">
        <is>
          <t>6+</t>
        </is>
      </c>
      <c r="E852" s="5" t="inlineStr">
        <is>
          <t>AI-generated questions are labelled with their source, always start as draft, and go through the same review (Q8).</t>
        </is>
      </c>
      <c r="F852" t="inlineStr">
        <is>
          <t>Not started</t>
        </is>
      </c>
      <c r="H852">
        <f>IF(G852&lt;&gt;"",G852,F852)</f>
        <v/>
      </c>
      <c r="I852" t="n">
        <v>0</v>
      </c>
      <c r="J852" t="n">
        <v>0</v>
      </c>
      <c r="K852" t="n">
        <v>0</v>
      </c>
      <c r="L852" s="5" t="inlineStr"/>
      <c r="M852" s="5" t="n"/>
    </row>
    <row r="853">
      <c r="A853" t="inlineStr">
        <is>
          <t>YX-QB-11</t>
        </is>
      </c>
      <c r="B853" t="inlineStr">
        <is>
          <t>T01</t>
        </is>
      </c>
      <c r="C853" t="inlineStr">
        <is>
          <t>YX-QB</t>
        </is>
      </c>
      <c r="D853" t="inlineStr">
        <is>
          <t>6+</t>
        </is>
      </c>
      <c r="E853" s="5" t="inlineStr">
        <is>
          <t>Media in questions carries alt text / captions (audio and video need a transcript) before approval (T03 accessibility).</t>
        </is>
      </c>
      <c r="F853" t="inlineStr">
        <is>
          <t>Not started</t>
        </is>
      </c>
      <c r="H853">
        <f>IF(G853&lt;&gt;"",G853,F853)</f>
        <v/>
      </c>
      <c r="I853" t="n">
        <v>0</v>
      </c>
      <c r="J853" t="n">
        <v>0</v>
      </c>
      <c r="K853" t="n">
        <v>0</v>
      </c>
      <c r="L853" s="5" t="inlineStr"/>
      <c r="M853" s="5" t="n"/>
    </row>
    <row r="854">
      <c r="A854" t="inlineStr">
        <is>
          <t>YX-QB-12</t>
        </is>
      </c>
      <c r="B854" t="inlineStr">
        <is>
          <t>T01</t>
        </is>
      </c>
      <c r="C854" t="inlineStr">
        <is>
          <t>YX-QB</t>
        </is>
      </c>
      <c r="D854" t="inlineStr">
        <is>
          <t>6+</t>
        </is>
      </c>
      <c r="E854" s="5" t="inlineStr">
        <is>
          <t>Export includes versions, translations, skills and media references in CSV / XLSX, and in QTI 2.1 for portability. Answer keys are exported only by users with the answer-key permission.</t>
        </is>
      </c>
      <c r="F854" t="inlineStr">
        <is>
          <t>Not started</t>
        </is>
      </c>
      <c r="H854">
        <f>IF(G854&lt;&gt;"",G854,F854)</f>
        <v/>
      </c>
      <c r="I854" t="n">
        <v>0</v>
      </c>
      <c r="J854" t="n">
        <v>0</v>
      </c>
      <c r="K854" t="n">
        <v>0</v>
      </c>
      <c r="L854" s="5" t="inlineStr"/>
      <c r="M854" s="5" t="n"/>
    </row>
    <row r="855">
      <c r="A855" t="inlineStr">
        <is>
          <t>YX-QB-13</t>
        </is>
      </c>
      <c r="B855" t="inlineStr">
        <is>
          <t>T01</t>
        </is>
      </c>
      <c r="C855" t="inlineStr">
        <is>
          <t>YX-QB</t>
        </is>
      </c>
      <c r="D855" t="inlineStr">
        <is>
          <t>6+</t>
        </is>
      </c>
      <c r="E855" s="5" t="inlineStr">
        <is>
          <t>Job-role profiles (B4). YukthiX starter role profiles are read-only, labelled "YukthiX starter" and versioned; a tenant copies a profile to edit it (D17). Updates to a starter profile show "newer starter version" on the tenant copy and are never applied automatically. Every profile skill must exist in the taxonomy (YX-QB-05).</t>
        </is>
      </c>
      <c r="F855" t="inlineStr">
        <is>
          <t>Not started</t>
        </is>
      </c>
      <c r="H855">
        <f>IF(G855&lt;&gt;"",G855,F855)</f>
        <v/>
      </c>
      <c r="I855" t="n">
        <v>0</v>
      </c>
      <c r="J855" t="n">
        <v>0</v>
      </c>
      <c r="K855" t="n">
        <v>0</v>
      </c>
      <c r="L855" s="5" t="inlineStr"/>
      <c r="M855" s="5" t="n"/>
    </row>
    <row r="856">
      <c r="A856" t="inlineStr">
        <is>
          <t>YX-QB-14</t>
        </is>
      </c>
      <c r="B856" t="inlineStr">
        <is>
          <t>T01</t>
        </is>
      </c>
      <c r="C856" t="inlineStr">
        <is>
          <t>YX-QB</t>
        </is>
      </c>
      <c r="D856" t="inlineStr">
        <is>
          <t>6+</t>
        </is>
      </c>
      <c r="E856" s="5" t="inlineStr">
        <is>
          <t>Language proficiency items (B14). A speaking or writing item can be approved only with a CEFR rubric attached and a target CEFR level. Recordings stay in-region; only transcripts / written text may reach external AI (P10, M10 R1, Q6). AI scoring is offered only for target languages YukthiX has validated (English at launch of this phase); other target languages are human-scored.</t>
        </is>
      </c>
      <c r="F856" t="inlineStr">
        <is>
          <t>Not started</t>
        </is>
      </c>
      <c r="H856">
        <f>IF(G856&lt;&gt;"",G856,F856)</f>
        <v/>
      </c>
      <c r="I856" t="n">
        <v>0</v>
      </c>
      <c r="J856" t="n">
        <v>0</v>
      </c>
      <c r="K856" t="n">
        <v>0</v>
      </c>
      <c r="L856" s="5" t="inlineStr"/>
      <c r="M856" s="5" t="n"/>
    </row>
    <row r="857">
      <c r="A857" t="inlineStr">
        <is>
          <t>YX-QB-15</t>
        </is>
      </c>
      <c r="B857" t="inlineStr">
        <is>
          <t>T01</t>
        </is>
      </c>
      <c r="C857" t="inlineStr">
        <is>
          <t>YX-QB</t>
        </is>
      </c>
      <c r="D857" t="inlineStr">
        <is>
          <t>6+</t>
        </is>
      </c>
      <c r="E857" s="5" t="inlineStr">
        <is>
          <t>Typing items (B14). Passages are rendered so they can't be copied into the answer (paste disabled, text not selectable); per-keystroke timings are captured for scoring and integrity only (T05 YX-EVAL-20, T04 YX-PROC-15) and follow biometric-class retention when keystroke dynamics is enabled.</t>
        </is>
      </c>
      <c r="F857" t="inlineStr">
        <is>
          <t>Not started</t>
        </is>
      </c>
      <c r="H857">
        <f>IF(G857&lt;&gt;"",G857,F857)</f>
        <v/>
      </c>
      <c r="I857" t="n">
        <v>0</v>
      </c>
      <c r="J857" t="n">
        <v>0</v>
      </c>
      <c r="K857" t="n">
        <v>0</v>
      </c>
      <c r="L857" s="5" t="inlineStr"/>
      <c r="M857" s="5" t="n"/>
    </row>
    <row r="858">
      <c r="A858" t="inlineStr">
        <is>
          <t>YX-QB-16</t>
        </is>
      </c>
      <c r="B858" t="inlineStr">
        <is>
          <t>T01</t>
        </is>
      </c>
      <c r="C858" t="inlineStr">
        <is>
          <t>YX-QB</t>
        </is>
      </c>
      <c r="D858" t="inlineStr">
        <is>
          <t>6+</t>
        </is>
      </c>
      <c r="E858" s="5" t="inlineStr">
        <is>
          <t>Skill tags from the library (T2). A question's skill tags are chosen from the company skills library (M06 YX-PERF-20) through its proctoring view; a tenant may keep its own domain / sub-skill labels, but each maps to exactly one library skill. Starter-taxonomy tags map automatically; an unmapped custom tag blocks approval until an author maps it. Renaming or merging a library skill updates the view, never a question version's history.</t>
        </is>
      </c>
      <c r="F858" t="inlineStr">
        <is>
          <t>Not started</t>
        </is>
      </c>
      <c r="H858">
        <f>IF(G858&lt;&gt;"",G858,F858)</f>
        <v/>
      </c>
      <c r="I858" t="n">
        <v>0</v>
      </c>
      <c r="J858" t="n">
        <v>0</v>
      </c>
      <c r="K858" t="n">
        <v>0</v>
      </c>
      <c r="L858" s="5" t="inlineStr"/>
      <c r="M858" s="5" t="n"/>
    </row>
    <row r="859">
      <c r="A859" t="inlineStr">
        <is>
          <t>YX-QB-17</t>
        </is>
      </c>
      <c r="B859" t="inlineStr">
        <is>
          <t>T01</t>
        </is>
      </c>
      <c r="C859" t="inlineStr">
        <is>
          <t>YX-QB</t>
        </is>
      </c>
      <c r="D859" t="inlineStr">
        <is>
          <t>6+</t>
        </is>
      </c>
      <c r="E859" s="5" t="inlineStr">
        <is>
          <t>Simulation and role-play items (T13). An in_tray, sim_chat_email or ai_role_play item is approved only with a rubric (criteria, levels, anchors) and, for role-play, a human-reviewed persona script with boundaries (topics, max turns, ending conditions). The AI persona sees only the script and the candidate's turns, never answer keys or other candidates; voice stays in-region and only text goes to external AI (as YX-QB-14). AI rubric scores are advisory; for hiring or promotion a human confirms them (T02 YX-TB-19, P10 YX-AI-01).</t>
        </is>
      </c>
      <c r="F859" t="inlineStr">
        <is>
          <t>Not started</t>
        </is>
      </c>
      <c r="H859">
        <f>IF(G859&lt;&gt;"",G859,F859)</f>
        <v/>
      </c>
      <c r="I859" t="n">
        <v>0</v>
      </c>
      <c r="J859" t="n">
        <v>0</v>
      </c>
      <c r="K859" t="n">
        <v>0</v>
      </c>
      <c r="L859" s="5" t="inlineStr"/>
      <c r="M859" s="5" t="n"/>
    </row>
    <row r="860">
      <c r="A860" t="inlineStr">
        <is>
          <t>YX-TB-01</t>
        </is>
      </c>
      <c r="B860" t="inlineStr">
        <is>
          <t>T02</t>
        </is>
      </c>
      <c r="C860" t="inlineStr">
        <is>
          <t>YX-TB</t>
        </is>
      </c>
      <c r="D860" t="inlineStr">
        <is>
          <t>6+</t>
        </is>
      </c>
      <c r="E860" s="5" t="inlineStr">
        <is>
          <t>A test can be published only when: every question version is approved (T01), section weights total 100 %, and every blueprint / adaptive cell meets the pool-depth minimum.</t>
        </is>
      </c>
      <c r="F860" t="inlineStr">
        <is>
          <t>Tested, code not linked</t>
        </is>
      </c>
      <c r="H860">
        <f>IF(G860&lt;&gt;"",G860,F860)</f>
        <v/>
      </c>
      <c r="I860" t="n">
        <v>0</v>
      </c>
      <c r="J860" t="n">
        <v>1</v>
      </c>
      <c r="K860" t="n">
        <v>1</v>
      </c>
      <c r="L860" s="5" t="inlineStr">
        <is>
          <t>exam-app-org:packages/yx-ui/src/screens/proctoring/proctoring.test.tsx</t>
        </is>
      </c>
      <c r="M860" s="5" t="n"/>
    </row>
    <row r="861">
      <c r="A861" t="inlineStr">
        <is>
          <t>YX-TB-02</t>
        </is>
      </c>
      <c r="B861" t="inlineStr">
        <is>
          <t>T02</t>
        </is>
      </c>
      <c r="C861" t="inlineStr">
        <is>
          <t>YX-TB</t>
        </is>
      </c>
      <c r="D861" t="inlineStr">
        <is>
          <t>6+</t>
        </is>
      </c>
      <c r="E861" s="5" t="inlineStr">
        <is>
          <t>Publishing creates an immutable test version. Editing a published test creates a new draft version. Candidates already invited keep their version unless an admin explicitly migrates them before they start (Q6).</t>
        </is>
      </c>
      <c r="F861" t="inlineStr">
        <is>
          <t>Not started</t>
        </is>
      </c>
      <c r="H861">
        <f>IF(G861&lt;&gt;"",G861,F861)</f>
        <v/>
      </c>
      <c r="I861" t="n">
        <v>0</v>
      </c>
      <c r="J861" t="n">
        <v>0</v>
      </c>
      <c r="K861" t="n">
        <v>0</v>
      </c>
      <c r="L861" s="5" t="inlineStr"/>
      <c r="M861" s="5" t="n"/>
    </row>
    <row r="862">
      <c r="A862" t="inlineStr">
        <is>
          <t>YX-TB-03</t>
        </is>
      </c>
      <c r="B862" t="inlineStr">
        <is>
          <t>T02</t>
        </is>
      </c>
      <c r="C862" t="inlineStr">
        <is>
          <t>YX-TB</t>
        </is>
      </c>
      <c r="D862" t="inlineStr">
        <is>
          <t>6+</t>
        </is>
      </c>
      <c r="E862" s="5" t="inlineStr">
        <is>
          <t>Randomised draws respect the blueprint exactly (count per skill × difficulty). Draws are seeded and stored on the attempt, so any attempt can be reproduced.</t>
        </is>
      </c>
      <c r="F862" t="inlineStr">
        <is>
          <t>Not started</t>
        </is>
      </c>
      <c r="H862">
        <f>IF(G862&lt;&gt;"",G862,F862)</f>
        <v/>
      </c>
      <c r="I862" t="n">
        <v>0</v>
      </c>
      <c r="J862" t="n">
        <v>0</v>
      </c>
      <c r="K862" t="n">
        <v>0</v>
      </c>
      <c r="L862" s="5" t="inlineStr"/>
      <c r="M862" s="5" t="n"/>
    </row>
    <row r="863">
      <c r="A863" t="inlineStr">
        <is>
          <t>YX-TB-04</t>
        </is>
      </c>
      <c r="B863" t="inlineStr">
        <is>
          <t>T02</t>
        </is>
      </c>
      <c r="C863" t="inlineStr">
        <is>
          <t>YX-TB</t>
        </is>
      </c>
      <c r="D863" t="inlineStr">
        <is>
          <t>6+</t>
        </is>
      </c>
      <c r="E863" s="5" t="inlineStr">
        <is>
          <t>Adaptive tests follow the Q1 engine. Step, floor / ceiling and termination rules are stored with the attempt. The adaptive path (item, answer, estimate after each item) is logged for review and appeals (T05).</t>
        </is>
      </c>
      <c r="F863" t="inlineStr">
        <is>
          <t>Not started</t>
        </is>
      </c>
      <c r="H863">
        <f>IF(G863&lt;&gt;"",G863,F863)</f>
        <v/>
      </c>
      <c r="I863" t="n">
        <v>0</v>
      </c>
      <c r="J863" t="n">
        <v>0</v>
      </c>
      <c r="K863" t="n">
        <v>0</v>
      </c>
      <c r="L863" s="5" t="inlineStr"/>
      <c r="M863" s="5" t="n"/>
    </row>
    <row r="864">
      <c r="A864" t="inlineStr">
        <is>
          <t>YX-TB-05</t>
        </is>
      </c>
      <c r="B864" t="inlineStr">
        <is>
          <t>T02</t>
        </is>
      </c>
      <c r="C864" t="inlineStr">
        <is>
          <t>YX-TB</t>
        </is>
      </c>
      <c r="D864" t="inlineStr">
        <is>
          <t>6+</t>
        </is>
      </c>
      <c r="E864" s="5" t="inlineStr">
        <is>
          <t>Adaptive, and any test where candidates see different forms, report a scaled score (Q3). Raw totals are never used to rank candidates across different forms.</t>
        </is>
      </c>
      <c r="F864" t="inlineStr">
        <is>
          <t>Not started</t>
        </is>
      </c>
      <c r="H864">
        <f>IF(G864&lt;&gt;"",G864,F864)</f>
        <v/>
      </c>
      <c r="I864" t="n">
        <v>0</v>
      </c>
      <c r="J864" t="n">
        <v>0</v>
      </c>
      <c r="K864" t="n">
        <v>0</v>
      </c>
      <c r="L864" s="5" t="inlineStr"/>
      <c r="M864" s="5" t="n"/>
    </row>
    <row r="865">
      <c r="A865" t="inlineStr">
        <is>
          <t>YX-TB-06</t>
        </is>
      </c>
      <c r="B865" t="inlineStr">
        <is>
          <t>T02</t>
        </is>
      </c>
      <c r="C865" t="inlineStr">
        <is>
          <t>YX-TB</t>
        </is>
      </c>
      <c r="D865" t="inlineStr">
        <is>
          <t>6+</t>
        </is>
      </c>
      <c r="E865" s="5" t="inlineStr">
        <is>
          <t>Enforced section timers auto-submit the section at zero. Advisory timers only warn. Forward-only sections never allow going back (Q4).</t>
        </is>
      </c>
      <c r="F865" t="inlineStr">
        <is>
          <t>Not started</t>
        </is>
      </c>
      <c r="H865">
        <f>IF(G865&lt;&gt;"",G865,F865)</f>
        <v/>
      </c>
      <c r="I865" t="n">
        <v>0</v>
      </c>
      <c r="J865" t="n">
        <v>0</v>
      </c>
      <c r="K865" t="n">
        <v>0</v>
      </c>
      <c r="L865" s="5" t="inlineStr"/>
      <c r="M865" s="5" t="n"/>
    </row>
    <row r="866">
      <c r="A866" t="inlineStr">
        <is>
          <t>YX-TB-07</t>
        </is>
      </c>
      <c r="B866" t="inlineStr">
        <is>
          <t>T02</t>
        </is>
      </c>
      <c r="C866" t="inlineStr">
        <is>
          <t>YX-TB</t>
        </is>
      </c>
      <c r="D866" t="inlineStr">
        <is>
          <t>6+</t>
        </is>
      </c>
      <c r="E866" s="5" t="inlineStr">
        <is>
          <t>Retakes follow the test's policy (Q5). A retake draws fresh questions where the pool allows. The score rule (best / latest / average) is shown to the candidate before starting.</t>
        </is>
      </c>
      <c r="F866" t="inlineStr">
        <is>
          <t>Not started</t>
        </is>
      </c>
      <c r="H866">
        <f>IF(G866&lt;&gt;"",G866,F866)</f>
        <v/>
      </c>
      <c r="I866" t="n">
        <v>0</v>
      </c>
      <c r="J866" t="n">
        <v>0</v>
      </c>
      <c r="K866" t="n">
        <v>0</v>
      </c>
      <c r="L866" s="5" t="inlineStr"/>
      <c r="M866" s="5" t="n"/>
    </row>
    <row r="867">
      <c r="A867" t="inlineStr">
        <is>
          <t>YX-TB-08</t>
        </is>
      </c>
      <c r="B867" t="inlineStr">
        <is>
          <t>T02</t>
        </is>
      </c>
      <c r="C867" t="inlineStr">
        <is>
          <t>YX-TB</t>
        </is>
      </c>
      <c r="D867" t="inlineStr">
        <is>
          <t>6+</t>
        </is>
      </c>
      <c r="E867" s="5" t="inlineStr">
        <is>
          <t>IRT parameters are used for scoring only once an item is calibrated (minimum responses per Q2). Provisional items are served as unscored pilot items or scored by authored difficulty, as configured.</t>
        </is>
      </c>
      <c r="F867" t="inlineStr">
        <is>
          <t>Not started</t>
        </is>
      </c>
      <c r="H867">
        <f>IF(G867&lt;&gt;"",G867,F867)</f>
        <v/>
      </c>
      <c r="I867" t="n">
        <v>0</v>
      </c>
      <c r="J867" t="n">
        <v>0</v>
      </c>
      <c r="K867" t="n">
        <v>0</v>
      </c>
      <c r="L867" s="5" t="inlineStr"/>
      <c r="M867" s="5" t="n"/>
    </row>
    <row r="868">
      <c r="A868" t="inlineStr">
        <is>
          <t>YX-TB-09</t>
        </is>
      </c>
      <c r="B868" t="inlineStr">
        <is>
          <t>T02</t>
        </is>
      </c>
      <c r="C868" t="inlineStr">
        <is>
          <t>YX-TB</t>
        </is>
      </c>
      <c r="D868" t="inlineStr">
        <is>
          <t>6+</t>
        </is>
      </c>
      <c r="E868" s="5" t="inlineStr">
        <is>
          <t>Item exposure is capped (Q7). Items over the cap are skipped by the draw and flagged for rotation. Adaptive selection includes exposure control.</t>
        </is>
      </c>
      <c r="F868" t="inlineStr">
        <is>
          <t>Not started</t>
        </is>
      </c>
      <c r="H868">
        <f>IF(G868&lt;&gt;"",G868,F868)</f>
        <v/>
      </c>
      <c r="I868" t="n">
        <v>0</v>
      </c>
      <c r="J868" t="n">
        <v>0</v>
      </c>
      <c r="K868" t="n">
        <v>0</v>
      </c>
      <c r="L868" s="5" t="inlineStr"/>
      <c r="M868" s="5" t="n"/>
    </row>
    <row r="869">
      <c r="A869" t="inlineStr">
        <is>
          <t>YX-TB-10</t>
        </is>
      </c>
      <c r="B869" t="inlineStr">
        <is>
          <t>T02</t>
        </is>
      </c>
      <c r="C869" t="inlineStr">
        <is>
          <t>YX-TB</t>
        </is>
      </c>
      <c r="D869" t="inlineStr">
        <is>
          <t>6+</t>
        </is>
      </c>
      <c r="E869" s="5" t="inlineStr">
        <is>
          <t>The coding sandbox enforces CPU, memory, wall-clock and no network per run. Every compile / run is kept as evidence (Q8). Hidden test cases never reach the browser.</t>
        </is>
      </c>
      <c r="F869" t="inlineStr">
        <is>
          <t>Not started</t>
        </is>
      </c>
      <c r="H869">
        <f>IF(G869&lt;&gt;"",G869,F869)</f>
        <v/>
      </c>
      <c r="I869" t="n">
        <v>0</v>
      </c>
      <c r="J869" t="n">
        <v>0</v>
      </c>
      <c r="K869" t="n">
        <v>0</v>
      </c>
      <c r="L869" s="5" t="inlineStr"/>
      <c r="M869" s="5" t="n"/>
    </row>
    <row r="870">
      <c r="A870" t="inlineStr">
        <is>
          <t>YX-TB-11</t>
        </is>
      </c>
      <c r="B870" t="inlineStr">
        <is>
          <t>T02</t>
        </is>
      </c>
      <c r="C870" t="inlineStr">
        <is>
          <t>YX-TB</t>
        </is>
      </c>
      <c r="D870" t="inlineStr">
        <is>
          <t>6+</t>
        </is>
      </c>
      <c r="E870" s="5" t="inlineStr">
        <is>
          <t>Test reliability (Cronbach's α for fixed / randomised; marginal reliability for IRT) is computed once the minimum number of attempts is reached. Tests below 0.7 are flagged to the owner.</t>
        </is>
      </c>
      <c r="F870" t="inlineStr">
        <is>
          <t>Not started</t>
        </is>
      </c>
      <c r="H870">
        <f>IF(G870&lt;&gt;"",G870,F870)</f>
        <v/>
      </c>
      <c r="I870" t="n">
        <v>0</v>
      </c>
      <c r="J870" t="n">
        <v>0</v>
      </c>
      <c r="K870" t="n">
        <v>0</v>
      </c>
      <c r="L870" s="5" t="inlineStr"/>
      <c r="M870" s="5" t="n"/>
    </row>
    <row r="871">
      <c r="A871" t="inlineStr">
        <is>
          <t>YX-TB-12</t>
        </is>
      </c>
      <c r="B871" t="inlineStr">
        <is>
          <t>T02</t>
        </is>
      </c>
      <c r="C871" t="inlineStr">
        <is>
          <t>YX-TB</t>
        </is>
      </c>
      <c r="D871" t="inlineStr">
        <is>
          <t>6+</t>
        </is>
      </c>
      <c r="E871" s="5" t="inlineStr">
        <is>
          <t>Every score records its scoring version (engine, parameters used). Re-scoring (e.g. after re-calibration or a T01 key fix) creates a new score version and never silently changes a released result (T05 release rules).</t>
        </is>
      </c>
      <c r="F871" t="inlineStr">
        <is>
          <t>Not started</t>
        </is>
      </c>
      <c r="H871">
        <f>IF(G871&lt;&gt;"",G871,F871)</f>
        <v/>
      </c>
      <c r="I871" t="n">
        <v>0</v>
      </c>
      <c r="J871" t="n">
        <v>0</v>
      </c>
      <c r="K871" t="n">
        <v>0</v>
      </c>
      <c r="L871" s="5" t="inlineStr"/>
      <c r="M871" s="5" t="n"/>
    </row>
    <row r="872">
      <c r="A872" t="inlineStr">
        <is>
          <t>YX-TB-13</t>
        </is>
      </c>
      <c r="B872" t="inlineStr">
        <is>
          <t>T02</t>
        </is>
      </c>
      <c r="C872" t="inlineStr">
        <is>
          <t>YX-TB</t>
        </is>
      </c>
      <c r="D872" t="inlineStr">
        <is>
          <t>6+</t>
        </is>
      </c>
      <c r="E872" s="5" t="inlineStr">
        <is>
          <t>Starter tests (B4). Starter tests are read-only and labelled "YukthiX starter"; tenants use them only through a copy, which becomes a normal draft test (YX-TB-01 / 02 apply). A newer starter version is shown as a prompt on the copy and is never applied automatically. Starter tests draw only from starter questions.</t>
        </is>
      </c>
      <c r="F872" t="inlineStr">
        <is>
          <t>Not started</t>
        </is>
      </c>
      <c r="H872">
        <f>IF(G872&lt;&gt;"",G872,F872)</f>
        <v/>
      </c>
      <c r="I872" t="n">
        <v>0</v>
      </c>
      <c r="J872" t="n">
        <v>0</v>
      </c>
      <c r="K872" t="n">
        <v>0</v>
      </c>
      <c r="L872" s="5" t="inlineStr"/>
      <c r="M872" s="5" t="n"/>
    </row>
    <row r="873">
      <c r="A873" t="inlineStr">
        <is>
          <t>YX-TB-14</t>
        </is>
      </c>
      <c r="B873" t="inlineStr">
        <is>
          <t>T02</t>
        </is>
      </c>
      <c r="C873" t="inlineStr">
        <is>
          <t>YX-TB</t>
        </is>
      </c>
      <c r="D873" t="inlineStr">
        <is>
          <t>6+</t>
        </is>
      </c>
      <c r="E873" s="5" t="inlineStr">
        <is>
          <t>AI test assembly from a JD (B4). Output is always a draft test, never published without human review. Only the JD text and the tenant's taxonomy / role-profile names go to AI (no candidate data, no answer keys, P10). Items are drawn only from approved questions; AI-drafted gap-fill questions start as drafts (T01 YX-QB-10). Each run is metered in AI credits (add-on, D18) and kept in jd_assembly_runs.</t>
        </is>
      </c>
      <c r="F873" t="inlineStr">
        <is>
          <t>Not started</t>
        </is>
      </c>
      <c r="H873">
        <f>IF(G873&lt;&gt;"",G873,F873)</f>
        <v/>
      </c>
      <c r="I873" t="n">
        <v>0</v>
      </c>
      <c r="J873" t="n">
        <v>0</v>
      </c>
      <c r="K873" t="n">
        <v>0</v>
      </c>
      <c r="L873" s="5" t="inlineStr"/>
      <c r="M873" s="5" t="n"/>
    </row>
    <row r="874">
      <c r="A874" t="inlineStr">
        <is>
          <t>YX-TB-15</t>
        </is>
      </c>
      <c r="B874" t="inlineStr">
        <is>
          <t>T02</t>
        </is>
      </c>
      <c r="C874" t="inlineStr">
        <is>
          <t>YX-TB</t>
        </is>
      </c>
      <c r="D874" t="inlineStr">
        <is>
          <t>6+</t>
        </is>
      </c>
      <c r="E874" s="5" t="inlineStr">
        <is>
          <t>Sectional cut-offs (B4). When a test has section cut-offs, the result is "pass" only if the overall pass mark and every enabled section cut-off are met. Each section's outcome is stored on the score. If the test says so, cut-offs are shown to the candidate before starting. A section voided by a T05 verdict counts as not met unless the reviewer records otherwise with a reason.</t>
        </is>
      </c>
      <c r="F874" t="inlineStr">
        <is>
          <t>Tested, code not linked</t>
        </is>
      </c>
      <c r="H874">
        <f>IF(G874&lt;&gt;"",G874,F874)</f>
        <v/>
      </c>
      <c r="I874" t="n">
        <v>0</v>
      </c>
      <c r="J874" t="n">
        <v>1</v>
      </c>
      <c r="K874" t="n">
        <v>1</v>
      </c>
      <c r="L874" s="5" t="inlineStr">
        <is>
          <t>exam-app-org:packages/yx-ui/src/screens/proctoring/proctoring.test.tsx</t>
        </is>
      </c>
      <c r="M874" s="5" t="n"/>
    </row>
    <row r="875">
      <c r="A875" t="inlineStr">
        <is>
          <t>YX-TB-16</t>
        </is>
      </c>
      <c r="B875" t="inlineStr">
        <is>
          <t>T02</t>
        </is>
      </c>
      <c r="C875" t="inlineStr">
        <is>
          <t>YX-TB</t>
        </is>
      </c>
      <c r="D875" t="inlineStr">
        <is>
          <t>6+</t>
        </is>
      </c>
      <c r="E875" s="5" t="inlineStr">
        <is>
          <t>Parallel forms &amp; equating (B15). Parallel forms must share anchor items (default ≥ 20 %, minimum 10) and match the blueprint. Candidates on different forms are compared only on the equated scaled score (extends YX-TB-05). Scores before the Q2 minimum per form are marked "provisional"; re-equating creates a new score version (YX-TB-12).</t>
        </is>
      </c>
      <c r="F875" t="inlineStr">
        <is>
          <t>Not started</t>
        </is>
      </c>
      <c r="H875">
        <f>IF(G875&lt;&gt;"",G875,F875)</f>
        <v/>
      </c>
      <c r="I875" t="n">
        <v>0</v>
      </c>
      <c r="J875" t="n">
        <v>0</v>
      </c>
      <c r="K875" t="n">
        <v>0</v>
      </c>
      <c r="L875" s="5" t="inlineStr"/>
      <c r="M875" s="5" t="n"/>
    </row>
    <row r="876">
      <c r="A876" t="inlineStr">
        <is>
          <t>YX-TB-17</t>
        </is>
      </c>
      <c r="B876" t="inlineStr">
        <is>
          <t>T02</t>
        </is>
      </c>
      <c r="C876" t="inlineStr">
        <is>
          <t>YX-TB</t>
        </is>
      </c>
      <c r="D876" t="inlineStr">
        <is>
          <t>6+</t>
        </is>
      </c>
      <c r="E876" s="5" t="inlineStr">
        <is>
          <t>Cut-score studies (B15). A test marked certification can be published only with an approved cut-score study, or an owner override with a written reason (audited). SMEs rate independently in round 1 (no peer ratings visible). The study record (method, panel, rounds, ratings, impact data, approval) is kept with the test version.</t>
        </is>
      </c>
      <c r="F876" t="inlineStr">
        <is>
          <t>Not started</t>
        </is>
      </c>
      <c r="H876">
        <f>IF(G876&lt;&gt;"",G876,F876)</f>
        <v/>
      </c>
      <c r="I876" t="n">
        <v>0</v>
      </c>
      <c r="J876" t="n">
        <v>0</v>
      </c>
      <c r="K876" t="n">
        <v>0</v>
      </c>
      <c r="L876" s="5" t="inlineStr"/>
      <c r="M876" s="5" t="n"/>
    </row>
    <row r="877">
      <c r="A877" t="inlineStr">
        <is>
          <t>YX-TB-18</t>
        </is>
      </c>
      <c r="B877" t="inlineStr">
        <is>
          <t>T02</t>
        </is>
      </c>
      <c r="C877" t="inlineStr">
        <is>
          <t>YX-TB</t>
        </is>
      </c>
      <c r="D877" t="inlineStr">
        <is>
          <t>6+</t>
        </is>
      </c>
      <c r="E877" s="5" t="inlineStr">
        <is>
          <t>Item fairness statistics (A13). Item statistics include DIF (Mantel-Haenszel and IRT-based) per group once sample thresholds are met, and the question editor shows the DIF grade next to difficulty and discrimination. Findings follow T05 YX-EVAL-26 / 27.</t>
        </is>
      </c>
      <c r="F877" t="inlineStr">
        <is>
          <t>Not started</t>
        </is>
      </c>
      <c r="H877">
        <f>IF(G877&lt;&gt;"",G877,F877)</f>
        <v/>
      </c>
      <c r="I877" t="n">
        <v>0</v>
      </c>
      <c r="J877" t="n">
        <v>0</v>
      </c>
      <c r="K877" t="n">
        <v>0</v>
      </c>
      <c r="L877" s="5" t="inlineStr"/>
      <c r="M877" s="5" t="n"/>
    </row>
    <row r="878">
      <c r="A878" t="inlineStr">
        <is>
          <t>YX-TB-19</t>
        </is>
      </c>
      <c r="B878" t="inlineStr">
        <is>
          <t>T02</t>
        </is>
      </c>
      <c r="C878" t="inlineStr">
        <is>
          <t>YX-TB</t>
        </is>
      </c>
      <c r="D878" t="inlineStr">
        <is>
          <t>6+</t>
        </is>
      </c>
      <c r="E878" s="5" t="inlineStr">
        <is>
          <t>Simulation sections (T13). A section with simulation or role-play items has a section time limit (in-tray) or a turn cap plus time limit (role-play). Its score is the rubric total; when AI scored it and the test is used for hiring or promotion, the score is provisional until a human reviewer confirms or changes it (P10 YX-AI-01), and sectional cut-offs (YX-TB-15) use only the confirmed score. AI role-play runs consume AI credits (D18).</t>
        </is>
      </c>
      <c r="F878" t="inlineStr">
        <is>
          <t>Not started</t>
        </is>
      </c>
      <c r="H878">
        <f>IF(G878&lt;&gt;"",G878,F878)</f>
        <v/>
      </c>
      <c r="I878" t="n">
        <v>0</v>
      </c>
      <c r="J878" t="n">
        <v>0</v>
      </c>
      <c r="K878" t="n">
        <v>0</v>
      </c>
      <c r="L878" s="5" t="inlineStr"/>
      <c r="M878" s="5" t="n"/>
    </row>
    <row r="879">
      <c r="A879" t="inlineStr">
        <is>
          <t>YX-DLV-01</t>
        </is>
      </c>
      <c r="B879" t="inlineStr">
        <is>
          <t>T03</t>
        </is>
      </c>
      <c r="C879" t="inlineStr">
        <is>
          <t>YX-DLV</t>
        </is>
      </c>
      <c r="D879" t="inlineStr">
        <is>
          <t>6+</t>
        </is>
      </c>
      <c r="E879" s="5" t="inlineStr">
        <is>
          <t>Times are stored in UTC and shown in the candidate's local time zone. The test records its authoring time zone. Every reminder shows both the time and the zone.</t>
        </is>
      </c>
      <c r="F879" t="inlineStr">
        <is>
          <t>Not started</t>
        </is>
      </c>
      <c r="H879">
        <f>IF(G879&lt;&gt;"",G879,F879)</f>
        <v/>
      </c>
      <c r="I879" t="n">
        <v>0</v>
      </c>
      <c r="J879" t="n">
        <v>0</v>
      </c>
      <c r="K879" t="n">
        <v>0</v>
      </c>
      <c r="L879" s="5" t="inlineStr"/>
      <c r="M879" s="5" t="n"/>
    </row>
    <row r="880">
      <c r="A880" t="inlineStr">
        <is>
          <t>YX-DLV-02</t>
        </is>
      </c>
      <c r="B880" t="inlineStr">
        <is>
          <t>T03</t>
        </is>
      </c>
      <c r="C880" t="inlineStr">
        <is>
          <t>YX-DLV</t>
        </is>
      </c>
      <c r="D880" t="inlineStr">
        <is>
          <t>6+</t>
        </is>
      </c>
      <c r="E880" s="5" t="inlineStr">
        <is>
          <t>Reminders go out before the window / slot (Q1 defaults). A missed test raises an alert to the recruiter and a "missed" message to the candidate with next steps.</t>
        </is>
      </c>
      <c r="F880" t="inlineStr">
        <is>
          <t>Not started</t>
        </is>
      </c>
      <c r="H880">
        <f>IF(G880&lt;&gt;"",G880,F880)</f>
        <v/>
      </c>
      <c r="I880" t="n">
        <v>0</v>
      </c>
      <c r="J880" t="n">
        <v>0</v>
      </c>
      <c r="K880" t="n">
        <v>0</v>
      </c>
      <c r="L880" s="5" t="inlineStr"/>
      <c r="M880" s="5" t="n"/>
    </row>
    <row r="881">
      <c r="A881" t="inlineStr">
        <is>
          <t>YX-DLV-03</t>
        </is>
      </c>
      <c r="B881" t="inlineStr">
        <is>
          <t>T03</t>
        </is>
      </c>
      <c r="C881" t="inlineStr">
        <is>
          <t>YX-DLV</t>
        </is>
      </c>
      <c r="D881" t="inlineStr">
        <is>
          <t>6+</t>
        </is>
      </c>
      <c r="E881" s="5" t="inlineStr">
        <is>
          <t>Slot booking respects capacity. Reschedules are limited per the Q1 policy. A no-show is recorded automatically at slot end + grace.</t>
        </is>
      </c>
      <c r="F881" t="inlineStr">
        <is>
          <t>Not started</t>
        </is>
      </c>
      <c r="H881">
        <f>IF(G881&lt;&gt;"",G881,F881)</f>
        <v/>
      </c>
      <c r="I881" t="n">
        <v>0</v>
      </c>
      <c r="J881" t="n">
        <v>0</v>
      </c>
      <c r="K881" t="n">
        <v>0</v>
      </c>
      <c r="L881" s="5" t="inlineStr"/>
      <c r="M881" s="5" t="n"/>
    </row>
    <row r="882">
      <c r="A882" t="inlineStr">
        <is>
          <t>YX-DLV-04</t>
        </is>
      </c>
      <c r="B882" t="inlineStr">
        <is>
          <t>T03</t>
        </is>
      </c>
      <c r="C882" t="inlineStr">
        <is>
          <t>YX-DLV</t>
        </is>
      </c>
      <c r="D882" t="inlineStr">
        <is>
          <t>6+</t>
        </is>
      </c>
      <c r="E882" s="5" t="inlineStr">
        <is>
          <t>The server is the only clock. Answers are saved on every change and acknowledged. When offline, the client queues answers locally (encrypted) and syncs them on reconnect, with server-side conflict resolution (Q3).</t>
        </is>
      </c>
      <c r="F882" t="inlineStr">
        <is>
          <t>Not started</t>
        </is>
      </c>
      <c r="H882">
        <f>IF(G882&lt;&gt;"",G882,F882)</f>
        <v/>
      </c>
      <c r="I882" t="n">
        <v>0</v>
      </c>
      <c r="J882" t="n">
        <v>0</v>
      </c>
      <c r="K882" t="n">
        <v>0</v>
      </c>
      <c r="L882" s="5" t="inlineStr"/>
      <c r="M882" s="5" t="n"/>
    </row>
    <row r="883">
      <c r="A883" t="inlineStr">
        <is>
          <t>YX-DLV-05</t>
        </is>
      </c>
      <c r="B883" t="inlineStr">
        <is>
          <t>T03</t>
        </is>
      </c>
      <c r="C883" t="inlineStr">
        <is>
          <t>YX-DLV</t>
        </is>
      </c>
      <c r="D883" t="inlineStr">
        <is>
          <t>6+</t>
        </is>
      </c>
      <c r="E883" s="5" t="inlineStr">
        <is>
          <t>Lost time is measured on the server from missed heartbeats. Credit follows Q4: automatic up to the cap, beyond that only with admin approval. Every credit is audited.</t>
        </is>
      </c>
      <c r="F883" t="inlineStr">
        <is>
          <t>Not started</t>
        </is>
      </c>
      <c r="H883">
        <f>IF(G883&lt;&gt;"",G883,F883)</f>
        <v/>
      </c>
      <c r="I883" t="n">
        <v>0</v>
      </c>
      <c r="J883" t="n">
        <v>0</v>
      </c>
      <c r="K883" t="n">
        <v>0</v>
      </c>
      <c r="L883" s="5" t="inlineStr"/>
      <c r="M883" s="5" t="n"/>
    </row>
    <row r="884">
      <c r="A884" t="inlineStr">
        <is>
          <t>YX-DLV-06</t>
        </is>
      </c>
      <c r="B884" t="inlineStr">
        <is>
          <t>T03</t>
        </is>
      </c>
      <c r="C884" t="inlineStr">
        <is>
          <t>YX-DLV</t>
        </is>
      </c>
      <c r="D884" t="inlineStr">
        <is>
          <t>6+</t>
        </is>
      </c>
      <c r="E884" s="5" t="inlineStr">
        <is>
          <t>Resuming after a block or a long disconnection needs re-authentication (face re-check per T04 mode, or OTP for Open mode) when the Q4 threshold is exceeded.</t>
        </is>
      </c>
      <c r="F884" t="inlineStr">
        <is>
          <t>Not started</t>
        </is>
      </c>
      <c r="H884">
        <f>IF(G884&lt;&gt;"",G884,F884)</f>
        <v/>
      </c>
      <c r="I884" t="n">
        <v>0</v>
      </c>
      <c r="J884" t="n">
        <v>0</v>
      </c>
      <c r="K884" t="n">
        <v>0</v>
      </c>
      <c r="L884" s="5" t="inlineStr"/>
      <c r="M884" s="5" t="n"/>
    </row>
    <row r="885">
      <c r="A885" t="inlineStr">
        <is>
          <t>YX-DLV-07</t>
        </is>
      </c>
      <c r="B885" t="inlineStr">
        <is>
          <t>T03</t>
        </is>
      </c>
      <c r="C885" t="inlineStr">
        <is>
          <t>YX-DLV</t>
        </is>
      </c>
      <c r="D885" t="inlineStr">
        <is>
          <t>6+</t>
        </is>
      </c>
      <c r="E885" s="5" t="inlineStr">
        <is>
          <t>Breaks follow the test's rules (Q5). Proctoring pauses during a break, and re-verification is required on return in proctored modes.</t>
        </is>
      </c>
      <c r="F885" t="inlineStr">
        <is>
          <t>Not started</t>
        </is>
      </c>
      <c r="H885">
        <f>IF(G885&lt;&gt;"",G885,F885)</f>
        <v/>
      </c>
      <c r="I885" t="n">
        <v>0</v>
      </c>
      <c r="J885" t="n">
        <v>0</v>
      </c>
      <c r="K885" t="n">
        <v>0</v>
      </c>
      <c r="L885" s="5" t="inlineStr"/>
      <c r="M885" s="5" t="n"/>
    </row>
    <row r="886">
      <c r="A886" t="inlineStr">
        <is>
          <t>YX-DLV-08</t>
        </is>
      </c>
      <c r="B886" t="inlineStr">
        <is>
          <t>T03</t>
        </is>
      </c>
      <c r="C886" t="inlineStr">
        <is>
          <t>YX-DLV</t>
        </is>
      </c>
      <c r="D886" t="inlineStr">
        <is>
          <t>6+</t>
        </is>
      </c>
      <c r="E886" s="5" t="inlineStr">
        <is>
          <t>The device policy is enforced at start (Q6). Candidates on a disallowed device are shown how to switch, and are not counted as attempted.</t>
        </is>
      </c>
      <c r="F886" t="inlineStr">
        <is>
          <t>Not started</t>
        </is>
      </c>
      <c r="H886">
        <f>IF(G886&lt;&gt;"",G886,F886)</f>
        <v/>
      </c>
      <c r="I886" t="n">
        <v>0</v>
      </c>
      <c r="J886" t="n">
        <v>0</v>
      </c>
      <c r="K886" t="n">
        <v>0</v>
      </c>
      <c r="L886" s="5" t="inlineStr"/>
      <c r="M886" s="5" t="n"/>
    </row>
    <row r="887">
      <c r="A887" t="inlineStr">
        <is>
          <t>YX-DLV-09</t>
        </is>
      </c>
      <c r="B887" t="inlineStr">
        <is>
          <t>T03</t>
        </is>
      </c>
      <c r="C887" t="inlineStr">
        <is>
          <t>YX-DLV</t>
        </is>
      </c>
      <c r="D887" t="inlineStr">
        <is>
          <t>6+</t>
        </is>
      </c>
      <c r="E887" s="5" t="inlineStr">
        <is>
          <t>Readiness results (Q7) are stored. Blocking checks prevent the start; warnings are shown and noted for reviewers (T05).</t>
        </is>
      </c>
      <c r="F887" t="inlineStr">
        <is>
          <t>UI prototype only</t>
        </is>
      </c>
      <c r="H887">
        <f>IF(G887&lt;&gt;"",G887,F887)</f>
        <v/>
      </c>
      <c r="I887" t="n">
        <v>0</v>
      </c>
      <c r="J887" t="n">
        <v>0</v>
      </c>
      <c r="K887" t="n">
        <v>1</v>
      </c>
      <c r="L887" s="5" t="inlineStr"/>
      <c r="M887" s="5" t="n"/>
    </row>
    <row r="888">
      <c r="A888" t="inlineStr">
        <is>
          <t>YX-DLV-10</t>
        </is>
      </c>
      <c r="B888" t="inlineStr">
        <is>
          <t>T03</t>
        </is>
      </c>
      <c r="C888" t="inlineStr">
        <is>
          <t>YX-DLV</t>
        </is>
      </c>
      <c r="D888" t="inlineStr">
        <is>
          <t>6+</t>
        </is>
      </c>
      <c r="E888" s="5" t="inlineStr">
        <is>
          <t>Accommodations are requested and approved before the attempt (Q8). Approved ones apply automatically: time, breaks, UI mode and proctoring profile. Evaluators never see the reason or the evidence.</t>
        </is>
      </c>
      <c r="F888" t="inlineStr">
        <is>
          <t>Not started</t>
        </is>
      </c>
      <c r="H888">
        <f>IF(G888&lt;&gt;"",G888,F888)</f>
        <v/>
      </c>
      <c r="I888" t="n">
        <v>0</v>
      </c>
      <c r="J888" t="n">
        <v>0</v>
      </c>
      <c r="K888" t="n">
        <v>0</v>
      </c>
      <c r="L888" s="5" t="inlineStr"/>
      <c r="M888" s="5" t="n"/>
    </row>
    <row r="889">
      <c r="A889" t="inlineStr">
        <is>
          <t>YX-DLV-11</t>
        </is>
      </c>
      <c r="B889" t="inlineStr">
        <is>
          <t>T03</t>
        </is>
      </c>
      <c r="C889" t="inlineStr">
        <is>
          <t>YX-DLV</t>
        </is>
      </c>
      <c r="D889" t="inlineStr">
        <is>
          <t>6+</t>
        </is>
      </c>
      <c r="E889" s="5" t="inlineStr">
        <is>
          <t>The candidate test UI meets WCAG 2.1 AA: keyboard-only navigation, screen-reader labels, zoom to 200 % without loss, contrast mode.</t>
        </is>
      </c>
      <c r="F889" t="inlineStr">
        <is>
          <t>Not started</t>
        </is>
      </c>
      <c r="H889">
        <f>IF(G889&lt;&gt;"",G889,F889)</f>
        <v/>
      </c>
      <c r="I889" t="n">
        <v>0</v>
      </c>
      <c r="J889" t="n">
        <v>0</v>
      </c>
      <c r="K889" t="n">
        <v>0</v>
      </c>
      <c r="L889" s="5" t="inlineStr"/>
      <c r="M889" s="5" t="n"/>
    </row>
    <row r="890">
      <c r="A890" t="inlineStr">
        <is>
          <t>YX-DLV-12</t>
        </is>
      </c>
      <c r="B890" t="inlineStr">
        <is>
          <t>T03</t>
        </is>
      </c>
      <c r="C890" t="inlineStr">
        <is>
          <t>YX-DLV</t>
        </is>
      </c>
      <c r="D890" t="inlineStr">
        <is>
          <t>6+</t>
        </is>
      </c>
      <c r="E890" s="5" t="inlineStr">
        <is>
          <t>Drive capacity: before a drive above the configured size, a capacity check and staggered start plan are required (Q2). Runtime autoscaling is pre-warmed for the drive window.</t>
        </is>
      </c>
      <c r="F890" t="inlineStr">
        <is>
          <t>UI prototype only</t>
        </is>
      </c>
      <c r="H890">
        <f>IF(G890&lt;&gt;"",G890,F890)</f>
        <v/>
      </c>
      <c r="I890" t="n">
        <v>0</v>
      </c>
      <c r="J890" t="n">
        <v>0</v>
      </c>
      <c r="K890" t="n">
        <v>1</v>
      </c>
      <c r="L890" s="5" t="inlineStr"/>
      <c r="M890" s="5" t="n"/>
    </row>
    <row r="891">
      <c r="A891" t="inlineStr">
        <is>
          <t>YX-DLV-13</t>
        </is>
      </c>
      <c r="B891" t="inlineStr">
        <is>
          <t>T03</t>
        </is>
      </c>
      <c r="C891" t="inlineStr">
        <is>
          <t>YX-DLV</t>
        </is>
      </c>
      <c r="D891" t="inlineStr">
        <is>
          <t>6+</t>
        </is>
      </c>
      <c r="E891" s="5" t="inlineStr">
        <is>
          <t>Employee test-takers: an invitation with subject_type = employee is opened only through the employee's own session (web or M04 app, SSO / OTP), never a candidate magic link. Consent (T05) is captured per attempt. Accommodations are approved by HR / L&amp;D (P02 scope). The result is written back to the source M07 enrolment or M06 competency evidence and shown in the Me tab. Retention follows the employee record (T05 Q7).</t>
        </is>
      </c>
      <c r="F891" t="inlineStr">
        <is>
          <t>UI prototype only</t>
        </is>
      </c>
      <c r="H891">
        <f>IF(G891&lt;&gt;"",G891,F891)</f>
        <v/>
      </c>
      <c r="I891" t="n">
        <v>0</v>
      </c>
      <c r="J891" t="n">
        <v>0</v>
      </c>
      <c r="K891" t="n">
        <v>1</v>
      </c>
      <c r="L891" s="5" t="inlineStr"/>
      <c r="M891" s="5" t="n"/>
    </row>
    <row r="892">
      <c r="A892" t="inlineStr">
        <is>
          <t>YX-DLV-14</t>
        </is>
      </c>
      <c r="B892" t="inlineStr">
        <is>
          <t>T03</t>
        </is>
      </c>
      <c r="C892" t="inlineStr">
        <is>
          <t>YX-DLV</t>
        </is>
      </c>
      <c r="D892" t="inlineStr">
        <is>
          <t>6+</t>
        </is>
      </c>
      <c r="E892" s="5" t="inlineStr">
        <is>
          <t>Drive registration (B7). A registration counts only after OTP verification of email or mobile and recorded consent. Eligibility filters and the cap are applied at submit; ineligible registrants are told why. Every registration is de-duplicated against M10 candidates (email / mobile; roll number + college) and linked to the existing candidate on a match — never a second profile.</t>
        </is>
      </c>
      <c r="F892" t="inlineStr">
        <is>
          <t>Not started</t>
        </is>
      </c>
      <c r="H892">
        <f>IF(G892&lt;&gt;"",G892,F892)</f>
        <v/>
      </c>
      <c r="I892" t="n">
        <v>0</v>
      </c>
      <c r="J892" t="n">
        <v>0</v>
      </c>
      <c r="K892" t="n">
        <v>0</v>
      </c>
      <c r="L892" s="5" t="inlineStr"/>
      <c r="M892" s="5" t="n"/>
    </row>
    <row r="893">
      <c r="A893" t="inlineStr">
        <is>
          <t>YX-DLV-15</t>
        </is>
      </c>
      <c r="B893" t="inlineStr">
        <is>
          <t>T03</t>
        </is>
      </c>
      <c r="C893" t="inlineStr">
        <is>
          <t>YX-DLV</t>
        </is>
      </c>
      <c r="D893" t="inlineStr">
        <is>
          <t>6+</t>
        </is>
      </c>
      <c r="E893" s="5" t="inlineStr">
        <is>
          <t>College coordinators (B7). A coordinator sees only registrants from their own institution, only for drives shared with them, and only the results level the company set (none / aggregate / per candidate). Answers, evidence, integrity details and accommodations are never visible to them. Every coordinator view is audited.</t>
        </is>
      </c>
      <c r="F893" t="inlineStr">
        <is>
          <t>UI prototype only</t>
        </is>
      </c>
      <c r="H893">
        <f>IF(G893&lt;&gt;"",G893,F893)</f>
        <v/>
      </c>
      <c r="I893" t="n">
        <v>0</v>
      </c>
      <c r="J893" t="n">
        <v>0</v>
      </c>
      <c r="K893" t="n">
        <v>1</v>
      </c>
      <c r="L893" s="5" t="inlineStr"/>
      <c r="M893" s="5" t="n"/>
    </row>
    <row r="894">
      <c r="A894" t="inlineStr">
        <is>
          <t>YX-DLV-16</t>
        </is>
      </c>
      <c r="B894" t="inlineStr">
        <is>
          <t>T03</t>
        </is>
      </c>
      <c r="C894" t="inlineStr">
        <is>
          <t>YX-DLV</t>
        </is>
      </c>
      <c r="D894" t="inlineStr">
        <is>
          <t>6+</t>
        </is>
      </c>
      <c r="E894" s="5" t="inlineStr">
        <is>
          <t>Admit cards (B7). An admit card is issued only for an eligible registration or a booked slot. Its QR is a signed, single-attempt token; reissue revokes the previous one, and a revoked or foreign QR fails at check-in.</t>
        </is>
      </c>
      <c r="F894" t="inlineStr">
        <is>
          <t>Not started</t>
        </is>
      </c>
      <c r="H894">
        <f>IF(G894&lt;&gt;"",G894,F894)</f>
        <v/>
      </c>
      <c r="I894" t="n">
        <v>0</v>
      </c>
      <c r="J894" t="n">
        <v>0</v>
      </c>
      <c r="K894" t="n">
        <v>0</v>
      </c>
      <c r="L894" s="5" t="inlineStr"/>
      <c r="M894" s="5" t="n"/>
    </row>
    <row r="895">
      <c r="A895" t="inlineStr">
        <is>
          <t>YX-DLV-17</t>
        </is>
      </c>
      <c r="B895" t="inlineStr">
        <is>
          <t>T03</t>
        </is>
      </c>
      <c r="C895" t="inlineStr">
        <is>
          <t>YX-DLV</t>
        </is>
      </c>
      <c r="D895" t="inlineStr">
        <is>
          <t>6+</t>
        </is>
      </c>
      <c r="E895" s="5" t="inlineStr">
        <is>
          <t>Native candidate app (B7). The app may run a test only in Open or AI-only mode (amends Q6). Where the OS offers lockdown (Android lock-task, iOS assessment mode) and the test requires it, the attempt can't start without it; leaving the app is a T04 flag, never an auto-fail. Device-policy checks (YX-DLV-08) apply as in the browser.</t>
        </is>
      </c>
      <c r="F895" t="inlineStr">
        <is>
          <t>Not started</t>
        </is>
      </c>
      <c r="H895">
        <f>IF(G895&lt;&gt;"",G895,F895)</f>
        <v/>
      </c>
      <c r="I895" t="n">
        <v>0</v>
      </c>
      <c r="J895" t="n">
        <v>0</v>
      </c>
      <c r="K895" t="n">
        <v>0</v>
      </c>
      <c r="L895" s="5" t="inlineStr"/>
      <c r="M895" s="5" t="n"/>
    </row>
    <row r="896">
      <c r="A896" t="inlineStr">
        <is>
          <t>YX-DLV-18</t>
        </is>
      </c>
      <c r="B896" t="inlineStr">
        <is>
          <t>T03</t>
        </is>
      </c>
      <c r="C896" t="inlineStr">
        <is>
          <t>YX-DLV</t>
        </is>
      </c>
      <c r="D896" t="inlineStr">
        <is>
          <t>6+</t>
        </is>
      </c>
      <c r="E896" s="5" t="inlineStr">
        <is>
          <t>Test-centre hybrid mode (C5). Test packages are encrypted at rest on the centre server and unusable before the session start key is released. Answers and evidence captured at the centre are encrypted, hash-sealed at capture (T05 chain of custody) and synced to the cloud; results are not released until the full sync is verified against the hashes. A missing or mismatched item opens a T05 incident instead of being silently dropped.</t>
        </is>
      </c>
      <c r="F896" t="inlineStr">
        <is>
          <t>Not started</t>
        </is>
      </c>
      <c r="H896">
        <f>IF(G896&lt;&gt;"",G896,F896)</f>
        <v/>
      </c>
      <c r="I896" t="n">
        <v>0</v>
      </c>
      <c r="J896" t="n">
        <v>0</v>
      </c>
      <c r="K896" t="n">
        <v>0</v>
      </c>
      <c r="L896" s="5" t="inlineStr"/>
      <c r="M896" s="5" t="n"/>
    </row>
    <row r="897">
      <c r="A897" t="inlineStr">
        <is>
          <t>YX-DLV-19</t>
        </is>
      </c>
      <c r="B897" t="inlineStr">
        <is>
          <t>T03</t>
        </is>
      </c>
      <c r="C897" t="inlineStr">
        <is>
          <t>YX-DLV</t>
        </is>
      </c>
      <c r="D897" t="inlineStr">
        <is>
          <t>6+</t>
        </is>
      </c>
      <c r="E897" s="5" t="inlineStr">
        <is>
          <t>Invigilator app (C5). An invigilator acts only within their assigned centre session. Check-in needs a valid admit-card QR and a photo-ID check; a face mismatch is a flag for review, not a refusal by the app alone (the invigilator decides and records a reason). Incident-log entries are timestamped, attributed and become T05 evidence.</t>
        </is>
      </c>
      <c r="F897" t="inlineStr">
        <is>
          <t>Not started</t>
        </is>
      </c>
      <c r="H897">
        <f>IF(G897&lt;&gt;"",G897,F897)</f>
        <v/>
      </c>
      <c r="I897" t="n">
        <v>0</v>
      </c>
      <c r="J897" t="n">
        <v>0</v>
      </c>
      <c r="K897" t="n">
        <v>0</v>
      </c>
      <c r="L897" s="5" t="inlineStr"/>
      <c r="M897" s="5" t="n"/>
    </row>
    <row r="898">
      <c r="A898" t="inlineStr">
        <is>
          <t>YX-DLV-20</t>
        </is>
      </c>
      <c r="B898" t="inlineStr">
        <is>
          <t>T03</t>
        </is>
      </c>
      <c r="C898" t="inlineStr">
        <is>
          <t>YX-DLV</t>
        </is>
      </c>
      <c r="D898" t="inlineStr">
        <is>
          <t>6+</t>
        </is>
      </c>
      <c r="E898" s="5" t="inlineStr">
        <is>
          <t>Post-test survey (C5). The survey is shown only after submission, is skippable, never affects the score, and is reported only in aggregate (minimum group size 5); evaluators and reviewers never see individual responses.</t>
        </is>
      </c>
      <c r="F898" t="inlineStr">
        <is>
          <t>Not started</t>
        </is>
      </c>
      <c r="H898">
        <f>IF(G898&lt;&gt;"",G898,F898)</f>
        <v/>
      </c>
      <c r="I898" t="n">
        <v>0</v>
      </c>
      <c r="J898" t="n">
        <v>0</v>
      </c>
      <c r="K898" t="n">
        <v>0</v>
      </c>
      <c r="L898" s="5" t="inlineStr"/>
      <c r="M898" s="5" t="n"/>
    </row>
    <row r="899">
      <c r="A899" t="inlineStr">
        <is>
          <t>YX-DLV-21</t>
        </is>
      </c>
      <c r="B899" t="inlineStr">
        <is>
          <t>T03</t>
        </is>
      </c>
      <c r="C899" t="inlineStr">
        <is>
          <t>YX-DLV</t>
        </is>
      </c>
      <c r="D899" t="inlineStr">
        <is>
          <t>6+</t>
        </is>
      </c>
      <c r="E899" s="5" t="inlineStr">
        <is>
          <t>Identity chain hook (T10). The test-start ID check (T04 YX-PROC-04) and the centre photo-ID check (YX-DLV-19) look up the person record (P01 persons): if no identity template exists yet and the candidate consents, this check captures it for the chain; if one exists, it is the match against it. A mismatch is a flag for review (T04 YX-PROC-19), never a refusal to start by itself; where face detection is off or consent refused, the invigilator's or proctor's attestation plus the ID check is recorded instead.</t>
        </is>
      </c>
      <c r="F899" t="inlineStr">
        <is>
          <t>Not started</t>
        </is>
      </c>
      <c r="H899">
        <f>IF(G899&lt;&gt;"",G899,F899)</f>
        <v/>
      </c>
      <c r="I899" t="n">
        <v>0</v>
      </c>
      <c r="J899" t="n">
        <v>0</v>
      </c>
      <c r="K899" t="n">
        <v>0</v>
      </c>
      <c r="L899" s="5" t="inlineStr"/>
      <c r="M899" s="5" t="n"/>
    </row>
    <row r="900">
      <c r="A900" t="inlineStr">
        <is>
          <t>YX-DLV-22</t>
        </is>
      </c>
      <c r="B900" t="inlineStr">
        <is>
          <t>T03</t>
        </is>
      </c>
      <c r="C900" t="inlineStr">
        <is>
          <t>YX-DLV</t>
        </is>
      </c>
      <c r="D900" t="inlineStr">
        <is>
          <t>6+</t>
        </is>
      </c>
      <c r="E900" s="5" t="inlineStr">
        <is>
          <t xml:space="preserve">Result reuse (J12). A reused result is a link to the original attempt, never a copy, allowed only when: the target uses the same or an owner-marked-equivalent test version; the attempt is completed and not invalidated or under an open incident (T05); the target stage is inside the validity window counted from the attempt's submission; and the candidate consented for this job (recorded; withdrawable until the stage is decided). Reuse doesn't consume an attempt. A retake does, and its cooldown runs from the original attempt, so reuse can't be used to skip the cooldown; if the candidate retakes, </t>
        </is>
      </c>
      <c r="F900" t="inlineStr">
        <is>
          <t>Not started</t>
        </is>
      </c>
      <c r="H900">
        <f>IF(G900&lt;&gt;"",G900,F900)</f>
        <v/>
      </c>
      <c r="I900" t="n">
        <v>0</v>
      </c>
      <c r="J900" t="n">
        <v>0</v>
      </c>
      <c r="K900" t="n">
        <v>0</v>
      </c>
      <c r="L900" s="5" t="inlineStr"/>
      <c r="M900" s="5" t="n"/>
    </row>
    <row r="901">
      <c r="A901" t="inlineStr">
        <is>
          <t>YX-DLV-23</t>
        </is>
      </c>
      <c r="B901" t="inlineStr">
        <is>
          <t>T03</t>
        </is>
      </c>
      <c r="C901" t="inlineStr">
        <is>
          <t>YX-DLV</t>
        </is>
      </c>
      <c r="D901" t="inlineStr">
        <is>
          <t>6+</t>
        </is>
      </c>
      <c r="E901" s="5" t="inlineStr">
        <is>
          <t>Internal applicants (J13). An invitation created from an M10 internal application carries the application id. Its result, report and integrity flags are visible only to that application's hiring team, HR and the employee (per release settings), and never to the employee's current manager chain through any M06, M07, analytics or report view. The attempt doesn't become M06 skills evidence unless the employee opts in after the application closes.</t>
        </is>
      </c>
      <c r="F901" t="inlineStr">
        <is>
          <t>Not started</t>
        </is>
      </c>
      <c r="H901">
        <f>IF(G901&lt;&gt;"",G901,F901)</f>
        <v/>
      </c>
      <c r="I901" t="n">
        <v>0</v>
      </c>
      <c r="J901" t="n">
        <v>0</v>
      </c>
      <c r="K901" t="n">
        <v>0</v>
      </c>
      <c r="L901" s="5" t="inlineStr"/>
      <c r="M901" s="5" t="n"/>
    </row>
    <row r="902">
      <c r="A902" t="inlineStr">
        <is>
          <t>YX-PROC-01</t>
        </is>
      </c>
      <c r="B902" t="inlineStr">
        <is>
          <t>T04</t>
        </is>
      </c>
      <c r="C902" t="inlineStr">
        <is>
          <t>YX-PROC</t>
        </is>
      </c>
      <c r="D902" t="inlineStr">
        <is>
          <t>6+</t>
        </is>
      </c>
      <c r="E902" s="5" t="inlineStr">
        <is>
          <t>Every published test has exactly one proctoring mode. Its preset is applied, and matrix overrides can't go below the mode's minimum (Q1).</t>
        </is>
      </c>
      <c r="F902" t="inlineStr">
        <is>
          <t>Not started</t>
        </is>
      </c>
      <c r="H902">
        <f>IF(G902&lt;&gt;"",G902,F902)</f>
        <v/>
      </c>
      <c r="I902" t="n">
        <v>0</v>
      </c>
      <c r="J902" t="n">
        <v>0</v>
      </c>
      <c r="K902" t="n">
        <v>0</v>
      </c>
      <c r="L902" s="5" t="inlineStr"/>
      <c r="M902" s="5" t="n"/>
    </row>
    <row r="903">
      <c r="A903" t="inlineStr">
        <is>
          <t>YX-PROC-02</t>
        </is>
      </c>
      <c r="B903" t="inlineStr">
        <is>
          <t>T04</t>
        </is>
      </c>
      <c r="C903" t="inlineStr">
        <is>
          <t>YX-PROC</t>
        </is>
      </c>
      <c r="D903" t="inlineStr">
        <is>
          <t>6+</t>
        </is>
      </c>
      <c r="E903" s="5" t="inlineStr">
        <is>
          <t>Detection signals are flags. Only configured actions (warn / pause / terminate) act automatically. A terminate always preserves the attempt and evidence for review and appeal (T05). Nothing auto-fails a candidate.</t>
        </is>
      </c>
      <c r="F903" t="inlineStr">
        <is>
          <t>Not started</t>
        </is>
      </c>
      <c r="H903">
        <f>IF(G903&lt;&gt;"",G903,F903)</f>
        <v/>
      </c>
      <c r="I903" t="n">
        <v>0</v>
      </c>
      <c r="J903" t="n">
        <v>0</v>
      </c>
      <c r="K903" t="n">
        <v>0</v>
      </c>
      <c r="L903" s="5" t="inlineStr"/>
      <c r="M903" s="5" t="n"/>
    </row>
    <row r="904">
      <c r="A904" t="inlineStr">
        <is>
          <t>YX-PROC-03</t>
        </is>
      </c>
      <c r="B904" t="inlineStr">
        <is>
          <t>T04</t>
        </is>
      </c>
      <c r="C904" t="inlineStr">
        <is>
          <t>YX-PROC</t>
        </is>
      </c>
      <c r="D904" t="inlineStr">
        <is>
          <t>6+</t>
        </is>
      </c>
      <c r="E904" s="5" t="inlineStr">
        <is>
          <t>AI-assistance signals (Q7; including the overlay-assistant and second-device voice-tool signals from T08 YX-SCL-09, G16) are review flags only. They never trigger warn / pause / terminate on their own.</t>
        </is>
      </c>
      <c r="F904" t="inlineStr">
        <is>
          <t>Not started</t>
        </is>
      </c>
      <c r="H904">
        <f>IF(G904&lt;&gt;"",G904,F904)</f>
        <v/>
      </c>
      <c r="I904" t="n">
        <v>0</v>
      </c>
      <c r="J904" t="n">
        <v>0</v>
      </c>
      <c r="K904" t="n">
        <v>0</v>
      </c>
      <c r="L904" s="5" t="inlineStr"/>
      <c r="M904" s="5" t="n"/>
    </row>
    <row r="905">
      <c r="A905" t="inlineStr">
        <is>
          <t>YX-PROC-04</t>
        </is>
      </c>
      <c r="B905" t="inlineStr">
        <is>
          <t>T04</t>
        </is>
      </c>
      <c r="C905" t="inlineStr">
        <is>
          <t>YX-PROC</t>
        </is>
      </c>
      <c r="D905" t="inlineStr">
        <is>
          <t>6+</t>
        </is>
      </c>
      <c r="E905" s="5" t="inlineStr">
        <is>
          <t>Identity: in modes that require it, the attempt can't start until the ID check and face match pass or a proctor approves manually (Q3). Periodic re-verification continues during the test.</t>
        </is>
      </c>
      <c r="F905" t="inlineStr">
        <is>
          <t>Not started</t>
        </is>
      </c>
      <c r="H905">
        <f>IF(G905&lt;&gt;"",G905,F905)</f>
        <v/>
      </c>
      <c r="I905" t="n">
        <v>0</v>
      </c>
      <c r="J905" t="n">
        <v>0</v>
      </c>
      <c r="K905" t="n">
        <v>0</v>
      </c>
      <c r="L905" s="5" t="inlineStr"/>
      <c r="M905" s="5" t="n"/>
    </row>
    <row r="906">
      <c r="A906" t="inlineStr">
        <is>
          <t>YX-PROC-05</t>
        </is>
      </c>
      <c r="B906" t="inlineStr">
        <is>
          <t>T04</t>
        </is>
      </c>
      <c r="C906" t="inlineStr">
        <is>
          <t>YX-PROC</t>
        </is>
      </c>
      <c r="D906" t="inlineStr">
        <is>
          <t>6+</t>
        </is>
      </c>
      <c r="E906" s="5" t="inlineStr">
        <is>
          <t>ID documents: only the document type, masked number and the verification result are kept. The image is kept per T05 retention. Aadhaar numbers are never stored unmasked.</t>
        </is>
      </c>
      <c r="F906" t="inlineStr">
        <is>
          <t>UI prototype only</t>
        </is>
      </c>
      <c r="H906">
        <f>IF(G906&lt;&gt;"",G906,F906)</f>
        <v/>
      </c>
      <c r="I906" t="n">
        <v>0</v>
      </c>
      <c r="J906" t="n">
        <v>0</v>
      </c>
      <c r="K906" t="n">
        <v>1</v>
      </c>
      <c r="L906" s="5" t="inlineStr"/>
      <c r="M906" s="5" t="n"/>
    </row>
    <row r="907">
      <c r="A907" t="inlineStr">
        <is>
          <t>YX-PROC-06</t>
        </is>
      </c>
      <c r="B907" t="inlineStr">
        <is>
          <t>T04</t>
        </is>
      </c>
      <c r="C907" t="inlineStr">
        <is>
          <t>YX-PROC</t>
        </is>
      </c>
      <c r="D907" t="inlineStr">
        <is>
          <t>6+</t>
        </is>
      </c>
      <c r="E907" s="5" t="inlineStr">
        <is>
          <t>Recording follows the mode (Q5). The candidate is told exactly what is recorded (camera / screen / audio / companion) before consenting (T05 privacy).</t>
        </is>
      </c>
      <c r="F907" t="inlineStr">
        <is>
          <t>Not started</t>
        </is>
      </c>
      <c r="H907">
        <f>IF(G907&lt;&gt;"",G907,F907)</f>
        <v/>
      </c>
      <c r="I907" t="n">
        <v>0</v>
      </c>
      <c r="J907" t="n">
        <v>0</v>
      </c>
      <c r="K907" t="n">
        <v>0</v>
      </c>
      <c r="L907" s="5" t="inlineStr"/>
      <c r="M907" s="5" t="n"/>
    </row>
    <row r="908">
      <c r="A908" t="inlineStr">
        <is>
          <t>YX-PROC-07</t>
        </is>
      </c>
      <c r="B908" t="inlineStr">
        <is>
          <t>T04</t>
        </is>
      </c>
      <c r="C908" t="inlineStr">
        <is>
          <t>YX-PROC</t>
        </is>
      </c>
      <c r="D908" t="inlineStr">
        <is>
          <t>6+</t>
        </is>
      </c>
      <c r="E908" s="5" t="inlineStr">
        <is>
          <t>Face, voice and video processing runs in-region, in-house. Only derived text (e.g. an answer transcript) may reach external AI (P10, M10 R1). One exception (T10): the deepfake / voice-clone check sends minimal interview clips or frames to the contracted specialist partner under YX-PROC-20; it is not an AI provider for P10 tiers and never receives test recordings.</t>
        </is>
      </c>
      <c r="F908" t="inlineStr">
        <is>
          <t>Not started</t>
        </is>
      </c>
      <c r="H908">
        <f>IF(G908&lt;&gt;"",G908,F908)</f>
        <v/>
      </c>
      <c r="I908" t="n">
        <v>0</v>
      </c>
      <c r="J908" t="n">
        <v>0</v>
      </c>
      <c r="K908" t="n">
        <v>0</v>
      </c>
      <c r="L908" s="5" t="inlineStr"/>
      <c r="M908" s="5" t="n"/>
    </row>
    <row r="909">
      <c r="A909" t="inlineStr">
        <is>
          <t>YX-PROC-08</t>
        </is>
      </c>
      <c r="B909" t="inlineStr">
        <is>
          <t>T04</t>
        </is>
      </c>
      <c r="C909" t="inlineStr">
        <is>
          <t>YX-PROC</t>
        </is>
      </c>
      <c r="D909" t="inlineStr">
        <is>
          <t>6+</t>
        </is>
      </c>
      <c r="E909" s="5" t="inlineStr">
        <is>
          <t>Live mode: a proctor may watch at most N candidates at once (Q8). A session without an assigned proctor present can't start (a waiting room is shown).</t>
        </is>
      </c>
      <c r="F909" t="inlineStr">
        <is>
          <t>Not started</t>
        </is>
      </c>
      <c r="H909">
        <f>IF(G909&lt;&gt;"",G909,F909)</f>
        <v/>
      </c>
      <c r="I909" t="n">
        <v>0</v>
      </c>
      <c r="J909" t="n">
        <v>0</v>
      </c>
      <c r="K909" t="n">
        <v>0</v>
      </c>
      <c r="L909" s="5" t="inlineStr"/>
      <c r="M909" s="5" t="n"/>
    </row>
    <row r="910">
      <c r="A910" t="inlineStr">
        <is>
          <t>YX-PROC-09</t>
        </is>
      </c>
      <c r="B910" t="inlineStr">
        <is>
          <t>T04</t>
        </is>
      </c>
      <c r="C910" t="inlineStr">
        <is>
          <t>YX-PROC</t>
        </is>
      </c>
      <c r="D910" t="inlineStr">
        <is>
          <t>6+</t>
        </is>
      </c>
      <c r="E910" s="5" t="inlineStr">
        <is>
          <t>Every proctor action (warn, pause, resume, terminate, manual ID approval) needs a reason and is audited with the proctor identity.</t>
        </is>
      </c>
      <c r="F910" t="inlineStr">
        <is>
          <t>Tested, code not linked</t>
        </is>
      </c>
      <c r="H910">
        <f>IF(G910&lt;&gt;"",G910,F910)</f>
        <v/>
      </c>
      <c r="I910" t="n">
        <v>0</v>
      </c>
      <c r="J910" t="n">
        <v>1</v>
      </c>
      <c r="K910" t="n">
        <v>1</v>
      </c>
      <c r="L910" s="5" t="inlineStr">
        <is>
          <t>exam-app-org:packages/yx-ui/src/screens/proctoring/proctoring.test.tsx</t>
        </is>
      </c>
      <c r="M910" s="5" t="n"/>
    </row>
    <row r="911">
      <c r="A911" t="inlineStr">
        <is>
          <t>YX-PROC-10</t>
        </is>
      </c>
      <c r="B911" t="inlineStr">
        <is>
          <t>T04</t>
        </is>
      </c>
      <c r="C911" t="inlineStr">
        <is>
          <t>YX-PROC</t>
        </is>
      </c>
      <c r="D911" t="inlineStr">
        <is>
          <t>6+</t>
        </is>
      </c>
      <c r="E911" s="5" t="inlineStr">
        <is>
          <t>Companion-device (second camera) streams are bound to the attempt by a single-use pairing code and are treated as evidence like the main stream (Q4).</t>
        </is>
      </c>
      <c r="F911" t="inlineStr">
        <is>
          <t>Not started</t>
        </is>
      </c>
      <c r="H911">
        <f>IF(G911&lt;&gt;"",G911,F911)</f>
        <v/>
      </c>
      <c r="I911" t="n">
        <v>0</v>
      </c>
      <c r="J911" t="n">
        <v>0</v>
      </c>
      <c r="K911" t="n">
        <v>0</v>
      </c>
      <c r="L911" s="5" t="inlineStr"/>
      <c r="M911" s="5" t="n"/>
    </row>
    <row r="912">
      <c r="A912" t="inlineStr">
        <is>
          <t>YX-PROC-11</t>
        </is>
      </c>
      <c r="B912" t="inlineStr">
        <is>
          <t>T04</t>
        </is>
      </c>
      <c r="C912" t="inlineStr">
        <is>
          <t>YX-PROC</t>
        </is>
      </c>
      <c r="D912" t="inlineStr">
        <is>
          <t>6+</t>
        </is>
      </c>
      <c r="E912" s="5" t="inlineStr">
        <is>
          <t>The secure client / browser (Q2) is checked at start (config key / signature). A mismatch blocks the start in modes that require it.</t>
        </is>
      </c>
      <c r="F912" t="inlineStr">
        <is>
          <t>Not started</t>
        </is>
      </c>
      <c r="H912">
        <f>IF(G912&lt;&gt;"",G912,F912)</f>
        <v/>
      </c>
      <c r="I912" t="n">
        <v>0</v>
      </c>
      <c r="J912" t="n">
        <v>0</v>
      </c>
      <c r="K912" t="n">
        <v>0</v>
      </c>
      <c r="L912" s="5" t="inlineStr"/>
      <c r="M912" s="5" t="n"/>
    </row>
    <row r="913">
      <c r="A913" t="inlineStr">
        <is>
          <t>YX-PROC-12</t>
        </is>
      </c>
      <c r="B913" t="inlineStr">
        <is>
          <t>T04</t>
        </is>
      </c>
      <c r="C913" t="inlineStr">
        <is>
          <t>YX-PROC</t>
        </is>
      </c>
      <c r="D913" t="inlineStr">
        <is>
          <t>6+</t>
        </is>
      </c>
      <c r="E913" s="5" t="inlineStr">
        <is>
          <t>YukthiX-pool proctors can be assigned only when the company has an active opt-in (proctor_service_optins). Each assignment issues a P02 proctor-service grant for that slot only: valid for the slot window, limited to the assigned sessions, live view + evidence for those candidates only, nothing else in the tenant. MFA and accepted confidentiality terms are checked at every sign-in. Every view and action is audited and shown to the company.</t>
        </is>
      </c>
      <c r="F913" t="inlineStr">
        <is>
          <t>Not started</t>
        </is>
      </c>
      <c r="H913">
        <f>IF(G913&lt;&gt;"",G913,F913)</f>
        <v/>
      </c>
      <c r="I913" t="n">
        <v>0</v>
      </c>
      <c r="J913" t="n">
        <v>0</v>
      </c>
      <c r="K913" t="n">
        <v>0</v>
      </c>
      <c r="L913" s="5" t="inlineStr"/>
      <c r="M913" s="5" t="n"/>
    </row>
    <row r="914">
      <c r="A914" t="inlineStr">
        <is>
          <t>YX-PROC-13</t>
        </is>
      </c>
      <c r="B914" t="inlineStr">
        <is>
          <t>T04</t>
        </is>
      </c>
      <c r="C914" t="inlineStr">
        <is>
          <t>YX-PROC</t>
        </is>
      </c>
      <c r="D914" t="inlineStr">
        <is>
          <t>6+</t>
        </is>
      </c>
      <c r="E914" s="5" t="inlineStr">
        <is>
          <t>Object detection and gaze (B5). Object and gaze signals are flags by default; like any detection they act only through the configured action matrix, and never fail a candidate (YX-PROC-02). Frames are processed in-region, in-house (YX-PROC-07). Gaze and earbud / headphone signals are switched off automatically when an approved accommodation makes them unfair (T03 YX-DLV-10; e.g. hearing aids, screen-reader users).</t>
        </is>
      </c>
      <c r="F914" t="inlineStr">
        <is>
          <t>Not started</t>
        </is>
      </c>
      <c r="H914">
        <f>IF(G914&lt;&gt;"",G914,F914)</f>
        <v/>
      </c>
      <c r="I914" t="n">
        <v>0</v>
      </c>
      <c r="J914" t="n">
        <v>0</v>
      </c>
      <c r="K914" t="n">
        <v>0</v>
      </c>
      <c r="L914" s="5" t="inlineStr"/>
      <c r="M914" s="5" t="n"/>
    </row>
    <row r="915">
      <c r="A915" t="inlineStr">
        <is>
          <t>YX-PROC-14</t>
        </is>
      </c>
      <c r="B915" t="inlineStr">
        <is>
          <t>T04</t>
        </is>
      </c>
      <c r="C915" t="inlineStr">
        <is>
          <t>YX-PROC</t>
        </is>
      </c>
      <c r="D915" t="inlineStr">
        <is>
          <t>6+</t>
        </is>
      </c>
      <c r="E915" s="5" t="inlineStr">
        <is>
          <t>Integrity score (B5). Every attempt in AI-only, Record &amp; review and Live modes gets a 0–100 score next to its level. The score is always shown with the weights and the contributions that produced it and the weight-profile version. Weights are set by the company (starter template, D17); changes apply to new attempts only unless an admin re-scores with a reason (audited). The score and level are review aids only: verdicts are human (T05 YX-EVAL-01) and ATS rules use the integrity status, not the score (YX-EVAL-12).</t>
        </is>
      </c>
      <c r="F915" t="inlineStr">
        <is>
          <t>Tested, code not linked</t>
        </is>
      </c>
      <c r="H915">
        <f>IF(G915&lt;&gt;"",G915,F915)</f>
        <v/>
      </c>
      <c r="I915" t="n">
        <v>0</v>
      </c>
      <c r="J915" t="n">
        <v>1</v>
      </c>
      <c r="K915" t="n">
        <v>1</v>
      </c>
      <c r="L915" s="5" t="inlineStr">
        <is>
          <t>exam-app-org:packages/yx-ui/src/screens/proctoring/proctoring.test.tsx</t>
        </is>
      </c>
      <c r="M915" s="5" t="n"/>
    </row>
    <row r="916">
      <c r="A916" t="inlineStr">
        <is>
          <t>YX-PROC-15</t>
        </is>
      </c>
      <c r="B916" t="inlineStr">
        <is>
          <t>T04</t>
        </is>
      </c>
      <c r="C916" t="inlineStr">
        <is>
          <t>YX-PROC</t>
        </is>
      </c>
      <c r="D916" t="inlineStr">
        <is>
          <t>6+</t>
        </is>
      </c>
      <c r="E916" s="5" t="inlineStr">
        <is>
          <t>Keystroke dynamics (C5). Off by default; enabled per test by the company and used only after the candidate's separate, purpose-specific consent (T05 YX-EVAL-09). A declining candidate continues without it and is not flagged for declining. Mismatch is a flag only. Never enabled for under-18 test-takers (YX-EVAL-13). The profile is biometric data (Special, in-region, retention and erasure per T05).</t>
        </is>
      </c>
      <c r="F916" t="inlineStr">
        <is>
          <t>Not started</t>
        </is>
      </c>
      <c r="H916">
        <f>IF(G916&lt;&gt;"",G916,F916)</f>
        <v/>
      </c>
      <c r="I916" t="n">
        <v>0</v>
      </c>
      <c r="J916" t="n">
        <v>0</v>
      </c>
      <c r="K916" t="n">
        <v>0</v>
      </c>
      <c r="L916" s="5" t="inlineStr"/>
      <c r="M916" s="5" t="n"/>
    </row>
    <row r="917">
      <c r="A917" t="inlineStr">
        <is>
          <t>YX-PROC-16</t>
        </is>
      </c>
      <c r="B917" t="inlineStr">
        <is>
          <t>T04</t>
        </is>
      </c>
      <c r="C917" t="inlineStr">
        <is>
          <t>YX-PROC</t>
        </is>
      </c>
      <c r="D917" t="inlineStr">
        <is>
          <t>6+</t>
        </is>
      </c>
      <c r="E917" s="5" t="inlineStr">
        <is>
          <t>AI-allowed mode (C5). In a test marked AI-allowed, the Q7 AI-assistance signals are disabled and the in-runner assistant is available; all assistant prompts and outputs are logged per question and kept with the attempt. The candidate is told before starting. Other detections continue per the proctoring mode. Only the approved assistant is "allowed"; other AI tools are treated like any outside resource. For under-18 test-takers AI-allowed mode is available, but scoring stays deterministic / human (YX-EVAL-13).</t>
        </is>
      </c>
      <c r="F917" t="inlineStr">
        <is>
          <t>Not started</t>
        </is>
      </c>
      <c r="H917">
        <f>IF(G917&lt;&gt;"",G917,F917)</f>
        <v/>
      </c>
      <c r="I917" t="n">
        <v>0</v>
      </c>
      <c r="J917" t="n">
        <v>0</v>
      </c>
      <c r="K917" t="n">
        <v>0</v>
      </c>
      <c r="L917" s="5" t="inlineStr"/>
      <c r="M917" s="5" t="n"/>
    </row>
    <row r="918">
      <c r="A918" t="inlineStr">
        <is>
          <t>YX-PROC-17</t>
        </is>
      </c>
      <c r="B918" t="inlineStr">
        <is>
          <t>T04</t>
        </is>
      </c>
      <c r="C918" t="inlineStr">
        <is>
          <t>YX-PROC</t>
        </is>
      </c>
      <c r="D918" t="inlineStr">
        <is>
          <t>6+</t>
        </is>
      </c>
      <c r="E918" s="5" t="inlineStr">
        <is>
          <t>Live-proctor SLA (G14). A Live session must start within 10 minutes of the booked slot start. If no assigned proctor (own staff or YukthiX pool, YX-PROC-12) is present by then, the attempt automatically continues in Record &amp; review mode: the waiting time is credited to the attempt (T03 continuity), a "proctor not present" flag is written to the attempt for the reviewer, and the company and proctor planner are notified. The waiting room of YX-PROC-08 therefore never ends in a termination or a lost attempt. YukthiX-pool misses count against the add-on's service level (Q8, D12).</t>
        </is>
      </c>
      <c r="F918" t="inlineStr">
        <is>
          <t>Not started</t>
        </is>
      </c>
      <c r="H918">
        <f>IF(G918&lt;&gt;"",G918,F918)</f>
        <v/>
      </c>
      <c r="I918" t="n">
        <v>0</v>
      </c>
      <c r="J918" t="n">
        <v>0</v>
      </c>
      <c r="K918" t="n">
        <v>0</v>
      </c>
      <c r="L918" s="5" t="inlineStr"/>
      <c r="M918" s="5" t="n"/>
    </row>
    <row r="919">
      <c r="A919" t="inlineStr">
        <is>
          <t>YX-PROC-18</t>
        </is>
      </c>
      <c r="B919" t="inlineStr">
        <is>
          <t>T04</t>
        </is>
      </c>
      <c r="C919" t="inlineStr">
        <is>
          <t>YX-PROC</t>
        </is>
      </c>
      <c r="D919" t="inlineStr">
        <is>
          <t>6+</t>
        </is>
      </c>
      <c r="E919" s="5" t="inlineStr">
        <is>
          <t>No-face-detection mode (G15). A company may set a test (any mode) to no face detection: identity is established by the ID check (YX-PROC-04) and / or a proctor's manual verification (T05 YX-EVAL-14), and no continuous face analysis runs — face-match re-verification, gaze and face-region object signals are off; other detections stay per mode. Intended for approved accommodations (T03 YX-DLV-10) and for jurisdictions that restrict biometrics (T05 Q8). The candidate is told what is and isn't analysed before consenting (YX-PROC-06); the test report states the mode (T05 YX-EVAL-16).</t>
        </is>
      </c>
      <c r="F919" t="inlineStr">
        <is>
          <t>Not started</t>
        </is>
      </c>
      <c r="H919">
        <f>IF(G919&lt;&gt;"",G919,F919)</f>
        <v/>
      </c>
      <c r="I919" t="n">
        <v>0</v>
      </c>
      <c r="J919" t="n">
        <v>0</v>
      </c>
      <c r="K919" t="n">
        <v>0</v>
      </c>
      <c r="L919" s="5" t="inlineStr"/>
      <c r="M919" s="5" t="n"/>
    </row>
    <row r="920">
      <c r="A920" t="inlineStr">
        <is>
          <t>YX-PROC-19</t>
        </is>
      </c>
      <c r="B920" t="inlineStr">
        <is>
          <t>T04</t>
        </is>
      </c>
      <c r="C920" t="inlineStr">
        <is>
          <t>YX-PROC</t>
        </is>
      </c>
      <c r="D920" t="inlineStr">
        <is>
          <t>6+</t>
        </is>
      </c>
      <c r="E920" s="5" t="inlineStr">
        <is>
          <t>Identity chain across hiring (T10). With the candidate's consent (T05 YX-EVAL-09, per jurisdiction: DPDP, GDPR Art. 9, BIPA written release), a face template and ID check are captured once, at the first of: application verification (M10 YX-ATS-32), the test ID check (YX-PROC-04, T03 YX-DLV-21) or pre-boarding (M01), and attached to the person record (P01 persons). The same person is then matched again at test start (existing YX-PROC-04), AI interview and live interview (M10 YX-ATS-32; T07 interview room) and day-1 onboarding (M01). A mismatch is a flag for human review, never an auto-reject (Y</t>
        </is>
      </c>
      <c r="F920" t="inlineStr">
        <is>
          <t>UI prototype only</t>
        </is>
      </c>
      <c r="H920">
        <f>IF(G920&lt;&gt;"",G920,F920)</f>
        <v/>
      </c>
      <c r="I920" t="n">
        <v>0</v>
      </c>
      <c r="J920" t="n">
        <v>0</v>
      </c>
      <c r="K920" t="n">
        <v>1</v>
      </c>
      <c r="L920" s="5" t="inlineStr"/>
      <c r="M920" s="5" t="n"/>
    </row>
    <row r="921">
      <c r="A921" t="inlineStr">
        <is>
          <t>YX-PROC-20</t>
        </is>
      </c>
      <c r="B921" t="inlineStr">
        <is>
          <t>T04</t>
        </is>
      </c>
      <c r="C921" t="inlineStr">
        <is>
          <t>YX-PROC</t>
        </is>
      </c>
      <c r="D921" t="inlineStr">
        <is>
          <t>6+</t>
        </is>
      </c>
      <c r="E921" s="5" t="inlineStr">
        <is>
          <t>Deepfake / synthetic-video and voice-clone detection (T10). Runs only on interview video / audio (M10 AI interview, T07 live interview), never on test recordings, through the specialist partner connector (P10 §B3, YX-INT-11). Only the minimal clip or frames needed are sent; a partner processing in-region or with India data residency is preferred; the partner keeps nothing after returning the result. Results are signals only (media.synthetic_suspected, voice.clone_suspected): they never reject, warn or end an interview on their own and go to human review via T05 incidents (YX-EVAL-30). Off unle</t>
        </is>
      </c>
      <c r="F921" t="inlineStr">
        <is>
          <t>UI prototype only</t>
        </is>
      </c>
      <c r="H921">
        <f>IF(G921&lt;&gt;"",G921,F921)</f>
        <v/>
      </c>
      <c r="I921" t="n">
        <v>0</v>
      </c>
      <c r="J921" t="n">
        <v>0</v>
      </c>
      <c r="K921" t="n">
        <v>1</v>
      </c>
      <c r="L921" s="5" t="inlineStr"/>
      <c r="M921" s="5" t="n"/>
    </row>
    <row r="922">
      <c r="A922" t="inlineStr">
        <is>
          <t>YX-EVAL-01</t>
        </is>
      </c>
      <c r="B922" t="inlineStr">
        <is>
          <t>T05</t>
        </is>
      </c>
      <c r="C922" t="inlineStr">
        <is>
          <t>YX-EVAL</t>
        </is>
      </c>
      <c r="D922" t="inlineStr">
        <is>
          <t>6+</t>
        </is>
      </c>
      <c r="E922" s="5" t="inlineStr">
        <is>
          <t>Only a human verdict can invalidate a section or an attempt. Attempt invalidation needs two reviewers, or one reviewer plus the test owner (Q1). Signals and AI never decide.</t>
        </is>
      </c>
      <c r="F922" t="inlineStr">
        <is>
          <t>Tested, code not linked</t>
        </is>
      </c>
      <c r="H922">
        <f>IF(G922&lt;&gt;"",G922,F922)</f>
        <v/>
      </c>
      <c r="I922" t="n">
        <v>0</v>
      </c>
      <c r="J922" t="n">
        <v>1</v>
      </c>
      <c r="K922" t="n">
        <v>1</v>
      </c>
      <c r="L922" s="5" t="inlineStr">
        <is>
          <t>exam-app-org:packages/yx-ui/src/screens/proctoring/proctoring.test.tsx</t>
        </is>
      </c>
      <c r="M922" s="5" t="n"/>
    </row>
    <row r="923">
      <c r="A923" t="inlineStr">
        <is>
          <t>YX-EVAL-02</t>
        </is>
      </c>
      <c r="B923" t="inlineStr">
        <is>
          <t>T05</t>
        </is>
      </c>
      <c r="C923" t="inlineStr">
        <is>
          <t>YX-EVAL</t>
        </is>
      </c>
      <c r="D923" t="inlineStr">
        <is>
          <t>6+</t>
        </is>
      </c>
      <c r="E923" s="5" t="inlineStr">
        <is>
          <t>Every verdict, score override and re-score records a reason, the evidence referenced and the actor. It is appended to the hash-chained audit (P08).</t>
        </is>
      </c>
      <c r="F923" t="inlineStr">
        <is>
          <t>UI prototype only</t>
        </is>
      </c>
      <c r="H923">
        <f>IF(G923&lt;&gt;"",G923,F923)</f>
        <v/>
      </c>
      <c r="I923" t="n">
        <v>0</v>
      </c>
      <c r="J923" t="n">
        <v>0</v>
      </c>
      <c r="K923" t="n">
        <v>1</v>
      </c>
      <c r="L923" s="5" t="inlineStr"/>
      <c r="M923" s="5" t="n"/>
    </row>
    <row r="924">
      <c r="A924" t="inlineStr">
        <is>
          <t>YX-EVAL-03</t>
        </is>
      </c>
      <c r="B924" t="inlineStr">
        <is>
          <t>T05</t>
        </is>
      </c>
      <c r="C924" t="inlineStr">
        <is>
          <t>YX-EVAL</t>
        </is>
      </c>
      <c r="D924" t="inlineStr">
        <is>
          <t>6+</t>
        </is>
      </c>
      <c r="E924" s="5" t="inlineStr">
        <is>
          <t>Results affected by an open incident or appeal are held. They are not released, and no ATS / learning action happens, until closed (Q5, Q6).</t>
        </is>
      </c>
      <c r="F924" t="inlineStr">
        <is>
          <t>Not started</t>
        </is>
      </c>
      <c r="H924">
        <f>IF(G924&lt;&gt;"",G924,F924)</f>
        <v/>
      </c>
      <c r="I924" t="n">
        <v>0</v>
      </c>
      <c r="J924" t="n">
        <v>0</v>
      </c>
      <c r="K924" t="n">
        <v>0</v>
      </c>
      <c r="L924" s="5" t="inlineStr"/>
      <c r="M924" s="5" t="n"/>
    </row>
    <row r="925">
      <c r="A925" t="inlineStr">
        <is>
          <t>YX-EVAL-04</t>
        </is>
      </c>
      <c r="B925" t="inlineStr">
        <is>
          <t>T05</t>
        </is>
      </c>
      <c r="C925" t="inlineStr">
        <is>
          <t>YX-EVAL</t>
        </is>
      </c>
      <c r="D925" t="inlineStr">
        <is>
          <t>6+</t>
        </is>
      </c>
      <c r="E925" s="5" t="inlineStr">
        <is>
          <t>A candidate may appeal within the appeal window (Q2). The appeal is decided by a reviewer who didn't make the original decision. The decision and reason are sent to the candidate.</t>
        </is>
      </c>
      <c r="F925" t="inlineStr">
        <is>
          <t>Not started</t>
        </is>
      </c>
      <c r="H925">
        <f>IF(G925&lt;&gt;"",G925,F925)</f>
        <v/>
      </c>
      <c r="I925" t="n">
        <v>0</v>
      </c>
      <c r="J925" t="n">
        <v>0</v>
      </c>
      <c r="K925" t="n">
        <v>0</v>
      </c>
      <c r="L925" s="5" t="inlineStr"/>
      <c r="M925" s="5" t="n"/>
    </row>
    <row r="926">
      <c r="A926" t="inlineStr">
        <is>
          <t>YX-EVAL-05</t>
        </is>
      </c>
      <c r="B926" t="inlineStr">
        <is>
          <t>T05</t>
        </is>
      </c>
      <c r="C926" t="inlineStr">
        <is>
          <t>YX-EVAL</t>
        </is>
      </c>
      <c r="D926" t="inlineStr">
        <is>
          <t>6+</t>
        </is>
      </c>
      <c r="E926" s="5" t="inlineStr">
        <is>
          <t>Rubric-marked responses: with multiple evaluators, each marks blind (no other scores, no candidate identity if blind mode is on). A difference above the threshold triggers a moderation / third evaluator (Q4).</t>
        </is>
      </c>
      <c r="F926" t="inlineStr">
        <is>
          <t>Tested, code not linked</t>
        </is>
      </c>
      <c r="H926">
        <f>IF(G926&lt;&gt;"",G926,F926)</f>
        <v/>
      </c>
      <c r="I926" t="n">
        <v>0</v>
      </c>
      <c r="J926" t="n">
        <v>1</v>
      </c>
      <c r="K926" t="n">
        <v>1</v>
      </c>
      <c r="L926" s="5" t="inlineStr">
        <is>
          <t>exam-app-org:packages/yx-ui/src/screens/proctoring/proctoring.test.tsx</t>
        </is>
      </c>
      <c r="M926" s="5" t="n"/>
    </row>
    <row r="927">
      <c r="A927" t="inlineStr">
        <is>
          <t>YX-EVAL-06</t>
        </is>
      </c>
      <c r="B927" t="inlineStr">
        <is>
          <t>T05</t>
        </is>
      </c>
      <c r="C927" t="inlineStr">
        <is>
          <t>YX-EVAL</t>
        </is>
      </c>
      <c r="D927" t="inlineStr">
        <is>
          <t>6+</t>
        </is>
      </c>
      <c r="E927" s="5" t="inlineStr">
        <is>
          <t>AI-suggested scores are advisory, shown only after the evaluator enters their own (or, if configured, shown as a suggestion). They're never final without human confirmation (P10 YX-AI-01).</t>
        </is>
      </c>
      <c r="F927" t="inlineStr">
        <is>
          <t>Not started</t>
        </is>
      </c>
      <c r="H927">
        <f>IF(G927&lt;&gt;"",G927,F927)</f>
        <v/>
      </c>
      <c r="I927" t="n">
        <v>0</v>
      </c>
      <c r="J927" t="n">
        <v>0</v>
      </c>
      <c r="K927" t="n">
        <v>0</v>
      </c>
      <c r="L927" s="5" t="inlineStr"/>
      <c r="M927" s="5" t="n"/>
    </row>
    <row r="928">
      <c r="A928" t="inlineStr">
        <is>
          <t>YX-EVAL-07</t>
        </is>
      </c>
      <c r="B928" t="inlineStr">
        <is>
          <t>T05</t>
        </is>
      </c>
      <c r="C928" t="inlineStr">
        <is>
          <t>YX-EVAL</t>
        </is>
      </c>
      <c r="D928" t="inlineStr">
        <is>
          <t>6+</t>
        </is>
      </c>
      <c r="E928" s="5" t="inlineStr">
        <is>
          <t>Collusion and plagiarism results are integrity flags feeding incidents. They never change a score by themselves.</t>
        </is>
      </c>
      <c r="F928" t="inlineStr">
        <is>
          <t>Not started</t>
        </is>
      </c>
      <c r="H928">
        <f>IF(G928&lt;&gt;"",G928,F928)</f>
        <v/>
      </c>
      <c r="I928" t="n">
        <v>0</v>
      </c>
      <c r="J928" t="n">
        <v>0</v>
      </c>
      <c r="K928" t="n">
        <v>0</v>
      </c>
      <c r="L928" s="5" t="inlineStr"/>
      <c r="M928" s="5" t="n"/>
    </row>
    <row r="929">
      <c r="A929" t="inlineStr">
        <is>
          <t>YX-EVAL-08</t>
        </is>
      </c>
      <c r="B929" t="inlineStr">
        <is>
          <t>T05</t>
        </is>
      </c>
      <c r="C929" t="inlineStr">
        <is>
          <t>YX-EVAL</t>
        </is>
      </c>
      <c r="D929" t="inlineStr">
        <is>
          <t>6+</t>
        </is>
      </c>
      <c r="E929" s="5" t="inlineStr">
        <is>
          <t>Retention: data classes are deleted automatically at the end of their retention (Q7) unless under legal hold (open incident / appeal / litigation). Each deletion writes a deletion record. The shipped default for proctoring evidence (recordings / clips / face data / ID images) is 30 days (Q7 as amended by G17); the company sets 30–365.</t>
        </is>
      </c>
      <c r="F929" t="inlineStr">
        <is>
          <t>Not started</t>
        </is>
      </c>
      <c r="H929">
        <f>IF(G929&lt;&gt;"",G929,F929)</f>
        <v/>
      </c>
      <c r="I929" t="n">
        <v>0</v>
      </c>
      <c r="J929" t="n">
        <v>0</v>
      </c>
      <c r="K929" t="n">
        <v>0</v>
      </c>
      <c r="L929" s="5" t="inlineStr"/>
      <c r="M929" s="5" t="n"/>
    </row>
    <row r="930">
      <c r="A930" t="inlineStr">
        <is>
          <t>YX-EVAL-09</t>
        </is>
      </c>
      <c r="B930" t="inlineStr">
        <is>
          <t>T05</t>
        </is>
      </c>
      <c r="C930" t="inlineStr">
        <is>
          <t>YX-EVAL</t>
        </is>
      </c>
      <c r="D930" t="inlineStr">
        <is>
          <t>6+</t>
        </is>
      </c>
      <c r="E930" s="5" t="inlineStr">
        <is>
          <t>No biometric capture (face, voice, ID image) without explicit, purpose-specific consent recorded for the candidate's jurisdiction (Q8). A candidate who declines gets the fallback path the test allows (manual ID check or an unproctored alternative), or is told clearly that the test can't proceed.</t>
        </is>
      </c>
      <c r="F930" t="inlineStr">
        <is>
          <t>Not started</t>
        </is>
      </c>
      <c r="H930">
        <f>IF(G930&lt;&gt;"",G930,F930)</f>
        <v/>
      </c>
      <c r="I930" t="n">
        <v>0</v>
      </c>
      <c r="J930" t="n">
        <v>0</v>
      </c>
      <c r="K930" t="n">
        <v>0</v>
      </c>
      <c r="L930" s="5" t="inlineStr"/>
      <c r="M930" s="5" t="n"/>
    </row>
    <row r="931">
      <c r="A931" t="inlineStr">
        <is>
          <t>YX-EVAL-10</t>
        </is>
      </c>
      <c r="B931" t="inlineStr">
        <is>
          <t>T05</t>
        </is>
      </c>
      <c r="C931" t="inlineStr">
        <is>
          <t>YX-EVAL</t>
        </is>
      </c>
      <c r="D931" t="inlineStr">
        <is>
          <t>6+</t>
        </is>
      </c>
      <c r="E931" s="5" t="inlineStr">
        <is>
          <t>Candidates may withdraw consent and request erasure. Erasure removes biometrics and recordings, keeps a minimal, non-identifying score record where the law allows, and is completed within the legal limit.</t>
        </is>
      </c>
      <c r="F931" t="inlineStr">
        <is>
          <t>Not started</t>
        </is>
      </c>
      <c r="H931">
        <f>IF(G931&lt;&gt;"",G931,F931)</f>
        <v/>
      </c>
      <c r="I931" t="n">
        <v>0</v>
      </c>
      <c r="J931" t="n">
        <v>0</v>
      </c>
      <c r="K931" t="n">
        <v>0</v>
      </c>
      <c r="L931" s="5" t="inlineStr"/>
      <c r="M931" s="5" t="n"/>
    </row>
    <row r="932">
      <c r="A932" t="inlineStr">
        <is>
          <t>YX-EVAL-11</t>
        </is>
      </c>
      <c r="B932" t="inlineStr">
        <is>
          <t>T05</t>
        </is>
      </c>
      <c r="C932" t="inlineStr">
        <is>
          <t>YX-EVAL</t>
        </is>
      </c>
      <c r="D932" t="inlineStr">
        <is>
          <t>6+</t>
        </is>
      </c>
      <c r="E932" s="5" t="inlineStr">
        <is>
          <t>A failed face detection never fails a candidate. It routes to manual review (existing behaviour, kept).</t>
        </is>
      </c>
      <c r="F932" t="inlineStr">
        <is>
          <t>Not started</t>
        </is>
      </c>
      <c r="H932">
        <f>IF(G932&lt;&gt;"",G932,F932)</f>
        <v/>
      </c>
      <c r="I932" t="n">
        <v>0</v>
      </c>
      <c r="J932" t="n">
        <v>0</v>
      </c>
      <c r="K932" t="n">
        <v>0</v>
      </c>
      <c r="L932" s="5" t="inlineStr"/>
      <c r="M932" s="5" t="n"/>
    </row>
    <row r="933">
      <c r="A933" t="inlineStr">
        <is>
          <t>YX-EVAL-12</t>
        </is>
      </c>
      <c r="B933" t="inlineStr">
        <is>
          <t>T05</t>
        </is>
      </c>
      <c r="C933" t="inlineStr">
        <is>
          <t>YX-EVAL</t>
        </is>
      </c>
      <c r="D933" t="inlineStr">
        <is>
          <t>6+</t>
        </is>
      </c>
      <c r="E933" s="5" t="inlineStr">
        <is>
          <t>Auto-advance into the ATS only happens when score rules are met and the integrity status is clear or cleared. A candidate is never auto-rejected on integrity grounds (Q6).</t>
        </is>
      </c>
      <c r="F933" t="inlineStr">
        <is>
          <t>Not started</t>
        </is>
      </c>
      <c r="H933">
        <f>IF(G933&lt;&gt;"",G933,F933)</f>
        <v/>
      </c>
      <c r="I933" t="n">
        <v>0</v>
      </c>
      <c r="J933" t="n">
        <v>0</v>
      </c>
      <c r="K933" t="n">
        <v>0</v>
      </c>
      <c r="L933" s="5" t="inlineStr"/>
      <c r="M933" s="5" t="n"/>
    </row>
    <row r="934">
      <c r="A934" t="inlineStr">
        <is>
          <t>YX-EVAL-13</t>
        </is>
      </c>
      <c r="B934" t="inlineStr">
        <is>
          <t>T05</t>
        </is>
      </c>
      <c r="C934" t="inlineStr">
        <is>
          <t>YX-EVAL</t>
        </is>
      </c>
      <c r="D934" t="inlineStr">
        <is>
          <t>6+</t>
        </is>
      </c>
      <c r="E934" s="5" t="inlineStr">
        <is>
          <t>Minors (law; DPDP s.9; E16). An under-18 test-taker (date of birth from M10 YX-ATS-19 or the test invite) needs verifiable guardian consent before any biometric capture (face, voice, ID image). Their answers get deterministic scoring only: no AI-assisted / LLM scoring or AI-suggested scores beyond deterministic scoring, and no profiling (behavioural analytics, cross-attempt ranking beyond the test's own result). Human rubric marking is allowed. This is a legal rule and can't be switched off.</t>
        </is>
      </c>
      <c r="F934" t="inlineStr">
        <is>
          <t>Not started</t>
        </is>
      </c>
      <c r="H934">
        <f>IF(G934&lt;&gt;"",G934,F934)</f>
        <v/>
      </c>
      <c r="I934" t="n">
        <v>0</v>
      </c>
      <c r="J934" t="n">
        <v>0</v>
      </c>
      <c r="K934" t="n">
        <v>0</v>
      </c>
      <c r="L934" s="5" t="inlineStr"/>
      <c r="M934" s="5" t="n"/>
    </row>
    <row r="935">
      <c r="A935" t="inlineStr">
        <is>
          <t>YX-EVAL-14</t>
        </is>
      </c>
      <c r="B935" t="inlineStr">
        <is>
          <t>T05</t>
        </is>
      </c>
      <c r="C935" t="inlineStr">
        <is>
          <t>YX-EVAL</t>
        </is>
      </c>
      <c r="D935" t="inlineStr">
        <is>
          <t>6+</t>
        </is>
      </c>
      <c r="E935" s="5" t="inlineStr">
        <is>
          <t>Candidate without a government ID (E16). Where the test allows it, a candidate can verify identity by an alternate path: an admit card plus a photo attested by their institution, or a proctor's manual verification (live check against submitted details). The method is recorded on the attempt; a test that requires government ID says so before the candidate starts.</t>
        </is>
      </c>
      <c r="F935" t="inlineStr">
        <is>
          <t>UI prototype only</t>
        </is>
      </c>
      <c r="H935">
        <f>IF(G935&lt;&gt;"",G935,F935)</f>
        <v/>
      </c>
      <c r="I935" t="n">
        <v>0</v>
      </c>
      <c r="J935" t="n">
        <v>0</v>
      </c>
      <c r="K935" t="n">
        <v>1</v>
      </c>
      <c r="L935" s="5" t="inlineStr"/>
      <c r="M935" s="5" t="n"/>
    </row>
    <row r="936">
      <c r="A936" t="inlineStr">
        <is>
          <t>YX-EVAL-15</t>
        </is>
      </c>
      <c r="B936" t="inlineStr">
        <is>
          <t>T05</t>
        </is>
      </c>
      <c r="C936" t="inlineStr">
        <is>
          <t>YX-EVAL</t>
        </is>
      </c>
      <c r="D936" t="inlineStr">
        <is>
          <t>6+</t>
        </is>
      </c>
      <c r="E936" s="5" t="inlineStr">
        <is>
          <t>Reviewer assignment and conflict of interest (G7). Incidents (and appeals, and manual-evaluation queues where the test enables it) are assigned by the tenant's assignment policy — round-robin (starter template, D17), by language or by load — optionally overridden per test, skipping reviewers who are at their capacity cap, on leave or delegating. A reviewer may never be assigned an item where they are the candidate's recruiter, hiring manager or interviewer / panel member on that application, in an employee test-taker's manager chain, or the test-taker; appeals and second reviews also exclude t</t>
        </is>
      </c>
      <c r="F936" t="inlineStr">
        <is>
          <t>Not started</t>
        </is>
      </c>
      <c r="H936">
        <f>IF(G936&lt;&gt;"",G936,F936)</f>
        <v/>
      </c>
      <c r="I936" t="n">
        <v>0</v>
      </c>
      <c r="J936" t="n">
        <v>0</v>
      </c>
      <c r="K936" t="n">
        <v>0</v>
      </c>
      <c r="L936" s="5" t="inlineStr"/>
      <c r="M936" s="5" t="n"/>
    </row>
    <row r="937">
      <c r="A937" t="inlineStr">
        <is>
          <t>YX-EVAL-16</t>
        </is>
      </c>
      <c r="B937" t="inlineStr">
        <is>
          <t>T05</t>
        </is>
      </c>
      <c r="C937" t="inlineStr">
        <is>
          <t>YX-EVAL</t>
        </is>
      </c>
      <c r="D937" t="inlineStr">
        <is>
          <t>6+</t>
        </is>
      </c>
      <c r="E937" s="5" t="inlineStr">
        <is>
          <t>Session report PDF (B5). One report per attempt; a verdict or appeal that changes the outcome generates a new version and supersedes the old one. It never contains ID images, full recordings or accommodation details; stills are omitted when recording consent was withdrawn or for an under-18 test-taker without guardian consent. A report is "final" only after the integrity review closes; earlier copies are watermarked "provisional". Access follows P02 (Confidential); every external share uses an expiring link and is audited.</t>
        </is>
      </c>
      <c r="F937" t="inlineStr">
        <is>
          <t>Not started</t>
        </is>
      </c>
      <c r="H937">
        <f>IF(G937&lt;&gt;"",G937,F937)</f>
        <v/>
      </c>
      <c r="I937" t="n">
        <v>0</v>
      </c>
      <c r="J937" t="n">
        <v>0</v>
      </c>
      <c r="K937" t="n">
        <v>0</v>
      </c>
      <c r="L937" s="5" t="inlineStr"/>
      <c r="M937" s="5" t="n"/>
    </row>
    <row r="938">
      <c r="A938" t="inlineStr">
        <is>
          <t>YX-EVAL-17</t>
        </is>
      </c>
      <c r="B938" t="inlineStr">
        <is>
          <t>T05</t>
        </is>
      </c>
      <c r="C938" t="inlineStr">
        <is>
          <t>YX-EVAL</t>
        </is>
      </c>
      <c r="D938" t="inlineStr">
        <is>
          <t>6+</t>
        </is>
      </c>
      <c r="E938" s="5" t="inlineStr">
        <is>
          <t>ATS connectors (B6). Results go to an external ATS only when released (YX-EVAL-03) and only the elements the company chose for that mapping; a held result pushes only "under review". The ATS never receives evidence, answers or biometric data — only a report link that enforces YukthiX access rules. Push failures are retried and shown to the admin; nothing is silently dropped. YukthiX never sends a reject decision: it sends results, and decisions stay with the company in its ATS (YX-EVAL-12 spirit).</t>
        </is>
      </c>
      <c r="F938" t="inlineStr">
        <is>
          <t>Not started</t>
        </is>
      </c>
      <c r="H938">
        <f>IF(G938&lt;&gt;"",G938,F938)</f>
        <v/>
      </c>
      <c r="I938" t="n">
        <v>0</v>
      </c>
      <c r="J938" t="n">
        <v>0</v>
      </c>
      <c r="K938" t="n">
        <v>0</v>
      </c>
      <c r="L938" s="5" t="inlineStr"/>
      <c r="M938" s="5" t="n"/>
    </row>
    <row r="939">
      <c r="A939" t="inlineStr">
        <is>
          <t>YX-EVAL-18</t>
        </is>
      </c>
      <c r="B939" t="inlineStr">
        <is>
          <t>T05</t>
        </is>
      </c>
      <c r="C939" t="inlineStr">
        <is>
          <t>YX-EVAL</t>
        </is>
      </c>
      <c r="D939" t="inlineStr">
        <is>
          <t>6+</t>
        </is>
      </c>
      <c r="E939" s="5" t="inlineStr">
        <is>
          <t>Assessment webhooks (B6). Assessment webhooks are signed, retried and carry thin payloads (ids + fetch link); fetching applies P02 field classes and the release state, so a subscriber can't read a held result early.</t>
        </is>
      </c>
      <c r="F939" t="inlineStr">
        <is>
          <t>Not started</t>
        </is>
      </c>
      <c r="H939">
        <f>IF(G939&lt;&gt;"",G939,F939)</f>
        <v/>
      </c>
      <c r="I939" t="n">
        <v>0</v>
      </c>
      <c r="J939" t="n">
        <v>0</v>
      </c>
      <c r="K939" t="n">
        <v>0</v>
      </c>
      <c r="L939" s="5" t="inlineStr"/>
      <c r="M939" s="5" t="n"/>
    </row>
    <row r="940">
      <c r="A940" t="inlineStr">
        <is>
          <t>YX-EVAL-19</t>
        </is>
      </c>
      <c r="B940" t="inlineStr">
        <is>
          <t>T05</t>
        </is>
      </c>
      <c r="C940" t="inlineStr">
        <is>
          <t>YX-EVAL</t>
        </is>
      </c>
      <c r="D940" t="inlineStr">
        <is>
          <t>6+</t>
        </is>
      </c>
      <c r="E940" s="5" t="inlineStr">
        <is>
          <t>Language proficiency scoring (B14). CEFR AI scores are advisory and need human confirmation before release (YX-EVAL-06); high-stakes tests need an individual human rating. Only transcripts / text go to external AI; pronunciation features are computed in-region from audio (P10, M10 R1). Under-18 test-takers are human-rated only (YX-EVAL-13). The report shows "AI-assisted, human-confirmed" and the confirming evaluator.</t>
        </is>
      </c>
      <c r="F940" t="inlineStr">
        <is>
          <t>Not started</t>
        </is>
      </c>
      <c r="H940">
        <f>IF(G940&lt;&gt;"",G940,F940)</f>
        <v/>
      </c>
      <c r="I940" t="n">
        <v>0</v>
      </c>
      <c r="J940" t="n">
        <v>0</v>
      </c>
      <c r="K940" t="n">
        <v>0</v>
      </c>
      <c r="L940" s="5" t="inlineStr"/>
      <c r="M940" s="5" t="n"/>
    </row>
    <row r="941">
      <c r="A941" t="inlineStr">
        <is>
          <t>YX-EVAL-20</t>
        </is>
      </c>
      <c r="B941" t="inlineStr">
        <is>
          <t>T05</t>
        </is>
      </c>
      <c r="C941" t="inlineStr">
        <is>
          <t>YX-EVAL</t>
        </is>
      </c>
      <c r="D941" t="inlineStr">
        <is>
          <t>6+</t>
        </is>
      </c>
      <c r="E941" s="5" t="inlineStr">
        <is>
          <t>Typing scoring (B14). Typing results are computed deterministically from the server-side keystroke log using the published formula; pasted or programmatic input is not counted and raises an integrity flag (never a score change by itself, YX-EVAL-07).</t>
        </is>
      </c>
      <c r="F941" t="inlineStr">
        <is>
          <t>Tested, code not linked</t>
        </is>
      </c>
      <c r="H941">
        <f>IF(G941&lt;&gt;"",G941,F941)</f>
        <v/>
      </c>
      <c r="I941" t="n">
        <v>0</v>
      </c>
      <c r="J941" t="n">
        <v>1</v>
      </c>
      <c r="K941" t="n">
        <v>1</v>
      </c>
      <c r="L941" s="5" t="inlineStr">
        <is>
          <t>exam-app-org:packages/yx-ui/src/screens/proctoring/proctoring.test.tsx</t>
        </is>
      </c>
      <c r="M941" s="5" t="n"/>
    </row>
    <row r="942">
      <c r="A942" t="inlineStr">
        <is>
          <t>YX-EVAL-21</t>
        </is>
      </c>
      <c r="B942" t="inlineStr">
        <is>
          <t>T05</t>
        </is>
      </c>
      <c r="C942" t="inlineStr">
        <is>
          <t>YX-EVAL</t>
        </is>
      </c>
      <c r="D942" t="inlineStr">
        <is>
          <t>6+</t>
        </is>
      </c>
      <c r="E942" s="5" t="inlineStr">
        <is>
          <t>Digital badges (B15). A badge is issued only for a released pass on a certificate-enabled test and carries the certificate's verification link. Section / attempt invalidation or an appeal that removes the pass revokes it (Open Badges status list / Credly revoke) within 24 hours, with a reason.</t>
        </is>
      </c>
      <c r="F942" t="inlineStr">
        <is>
          <t>Not started</t>
        </is>
      </c>
      <c r="H942">
        <f>IF(G942&lt;&gt;"",G942,F942)</f>
        <v/>
      </c>
      <c r="I942" t="n">
        <v>0</v>
      </c>
      <c r="J942" t="n">
        <v>0</v>
      </c>
      <c r="K942" t="n">
        <v>0</v>
      </c>
      <c r="L942" s="5" t="inlineStr"/>
      <c r="M942" s="5" t="n"/>
    </row>
    <row r="943">
      <c r="A943" t="inlineStr">
        <is>
          <t>YX-EVAL-22</t>
        </is>
      </c>
      <c r="B943" t="inlineStr">
        <is>
          <t>T05</t>
        </is>
      </c>
      <c r="C943" t="inlineStr">
        <is>
          <t>YX-EVAL</t>
        </is>
      </c>
      <c r="D943" t="inlineStr">
        <is>
          <t>6+</t>
        </is>
      </c>
      <c r="E943" s="5" t="inlineStr">
        <is>
          <t>LTI 1.3 (B15). Launches are accepted only from registered platforms with valid signed ID tokens (nonce, audience, deployment checks). Grades are passed back only after release (YX-EVAL-03), as the scaled score unless the company chooses otherwise. LTI test-takers get the same consent, integrity and appeal rights as any candidate.</t>
        </is>
      </c>
      <c r="F943" t="inlineStr">
        <is>
          <t>Not started</t>
        </is>
      </c>
      <c r="H943">
        <f>IF(G943&lt;&gt;"",G943,F943)</f>
        <v/>
      </c>
      <c r="I943" t="n">
        <v>0</v>
      </c>
      <c r="J943" t="n">
        <v>0</v>
      </c>
      <c r="K943" t="n">
        <v>0</v>
      </c>
      <c r="L943" s="5" t="inlineStr"/>
      <c r="M943" s="5" t="n"/>
    </row>
    <row r="944">
      <c r="A944" t="inlineStr">
        <is>
          <t>YX-EVAL-23</t>
        </is>
      </c>
      <c r="B944" t="inlineStr">
        <is>
          <t>T05</t>
        </is>
      </c>
      <c r="C944" t="inlineStr">
        <is>
          <t>YX-EVAL</t>
        </is>
      </c>
      <c r="D944" t="inlineStr">
        <is>
          <t>6+</t>
        </is>
      </c>
      <c r="E944" s="5" t="inlineStr">
        <is>
          <t>AI-allowed mode evaluation (C5). Evaluators of AI-allowed tests see the full assistant log for each response; prompting / verification criteria are scored only from that log and the answer. Use of the approved assistant is never an integrity issue in that test.</t>
        </is>
      </c>
      <c r="F944" t="inlineStr">
        <is>
          <t>Not started</t>
        </is>
      </c>
      <c r="H944">
        <f>IF(G944&lt;&gt;"",G944,F944)</f>
        <v/>
      </c>
      <c r="I944" t="n">
        <v>0</v>
      </c>
      <c r="J944" t="n">
        <v>0</v>
      </c>
      <c r="K944" t="n">
        <v>0</v>
      </c>
      <c r="L944" s="5" t="inlineStr"/>
      <c r="M944" s="5" t="n"/>
    </row>
    <row r="945">
      <c r="A945" t="inlineStr">
        <is>
          <t>YX-EVAL-24</t>
        </is>
      </c>
      <c r="B945" t="inlineStr">
        <is>
          <t>T05</t>
        </is>
      </c>
      <c r="C945" t="inlineStr">
        <is>
          <t>YX-EVAL</t>
        </is>
      </c>
      <c r="D945" t="inlineStr">
        <is>
          <t>6+</t>
        </is>
      </c>
      <c r="E945" s="5" t="inlineStr">
        <is>
          <t>Fairness data (A13). Demographic data is optional and self-declared, collected separately after submission, stored as Special data, and never visible to evaluators, reviewers, ATS stages or the candidate record. It is used only in aggregate fairness analyses.</t>
        </is>
      </c>
      <c r="F945" t="inlineStr">
        <is>
          <t>Not started</t>
        </is>
      </c>
      <c r="H945">
        <f>IF(G945&lt;&gt;"",G945,F945)</f>
        <v/>
      </c>
      <c r="I945" t="n">
        <v>0</v>
      </c>
      <c r="J945" t="n">
        <v>0</v>
      </c>
      <c r="K945" t="n">
        <v>0</v>
      </c>
      <c r="L945" s="5" t="inlineStr"/>
      <c r="M945" s="5" t="n"/>
    </row>
    <row r="946">
      <c r="A946" t="inlineStr">
        <is>
          <t>YX-EVAL-25</t>
        </is>
      </c>
      <c r="B946" t="inlineStr">
        <is>
          <t>T05</t>
        </is>
      </c>
      <c r="C946" t="inlineStr">
        <is>
          <t>YX-EVAL</t>
        </is>
      </c>
      <c r="D946" t="inlineStr">
        <is>
          <t>6+</t>
        </is>
      </c>
      <c r="E946" s="5" t="inlineStr">
        <is>
          <t>Adverse impact (A13). Impact ratios (4/5ths rule) and significance are computed per test, section, cut score and ATS stage whenever a group has enough data (minimum group size, P09 suppression). A ratio below 0.8 with significance raises a finding.</t>
        </is>
      </c>
      <c r="F946" t="inlineStr">
        <is>
          <t>Not started</t>
        </is>
      </c>
      <c r="H946">
        <f>IF(G946&lt;&gt;"",G946,F946)</f>
        <v/>
      </c>
      <c r="I946" t="n">
        <v>0</v>
      </c>
      <c r="J946" t="n">
        <v>0</v>
      </c>
      <c r="K946" t="n">
        <v>0</v>
      </c>
      <c r="L946" s="5" t="inlineStr"/>
      <c r="M946" s="5" t="n"/>
    </row>
    <row r="947">
      <c r="A947" t="inlineStr">
        <is>
          <t>YX-EVAL-26</t>
        </is>
      </c>
      <c r="B947" t="inlineStr">
        <is>
          <t>T05</t>
        </is>
      </c>
      <c r="C947" t="inlineStr">
        <is>
          <t>YX-EVAL</t>
        </is>
      </c>
      <c r="D947" t="inlineStr">
        <is>
          <t>6+</t>
        </is>
      </c>
      <c r="E947" s="5" t="inlineStr">
        <is>
          <t>Item bias (A13). DIF is computed per question version once sample thresholds are met; a grade C (large) DIF raises a finding on that question.</t>
        </is>
      </c>
      <c r="F947" t="inlineStr">
        <is>
          <t>Not started</t>
        </is>
      </c>
      <c r="H947">
        <f>IF(G947&lt;&gt;"",G947,F947)</f>
        <v/>
      </c>
      <c r="I947" t="n">
        <v>0</v>
      </c>
      <c r="J947" t="n">
        <v>0</v>
      </c>
      <c r="K947" t="n">
        <v>0</v>
      </c>
      <c r="L947" s="5" t="inlineStr"/>
      <c r="M947" s="5" t="n"/>
    </row>
    <row r="948">
      <c r="A948" t="inlineStr">
        <is>
          <t>YX-EVAL-27</t>
        </is>
      </c>
      <c r="B948" t="inlineStr">
        <is>
          <t>T05</t>
        </is>
      </c>
      <c r="C948" t="inlineStr">
        <is>
          <t>YX-EVAL</t>
        </is>
      </c>
      <c r="D948" t="inlineStr">
        <is>
          <t>6+</t>
        </is>
      </c>
      <c r="E948" s="5" t="inlineStr">
        <is>
          <t>Finding response (A13, Q9). Each company chooses per test between alert + required review (starter template) and auto-suspend from new attempts until cleared. Attempts in progress are never interrupted. Every decision is audited with its justification.</t>
        </is>
      </c>
      <c r="F948" t="inlineStr">
        <is>
          <t>Not started</t>
        </is>
      </c>
      <c r="H948">
        <f>IF(G948&lt;&gt;"",G948,F948)</f>
        <v/>
      </c>
      <c r="I948" t="n">
        <v>0</v>
      </c>
      <c r="J948" t="n">
        <v>0</v>
      </c>
      <c r="K948" t="n">
        <v>0</v>
      </c>
      <c r="L948" s="5" t="inlineStr"/>
      <c r="M948" s="5" t="n"/>
    </row>
    <row r="949">
      <c r="A949" t="inlineStr">
        <is>
          <t>YX-EVAL-28</t>
        </is>
      </c>
      <c r="B949" t="inlineStr">
        <is>
          <t>T05</t>
        </is>
      </c>
      <c r="C949" t="inlineStr">
        <is>
          <t>YX-EVAL</t>
        </is>
      </c>
      <c r="D949" t="inlineStr">
        <is>
          <t>6+</t>
        </is>
      </c>
      <c r="E949" s="5" t="inlineStr">
        <is>
          <t>Predictive validity (A13, Q10). For tenants using Proctoring and HRMS, hires' scores are linked to M06 ratings, time-to-productivity and retention and reported only in aggregate with minimum sample sizes; the purpose is stated in the candidate and employee privacy notices. Individual-level linked data is never shown.</t>
        </is>
      </c>
      <c r="F949" t="inlineStr">
        <is>
          <t>Not started</t>
        </is>
      </c>
      <c r="H949">
        <f>IF(G949&lt;&gt;"",G949,F949)</f>
        <v/>
      </c>
      <c r="I949" t="n">
        <v>0</v>
      </c>
      <c r="J949" t="n">
        <v>0</v>
      </c>
      <c r="K949" t="n">
        <v>0</v>
      </c>
      <c r="L949" s="5" t="inlineStr"/>
      <c r="M949" s="5" t="n"/>
    </row>
    <row r="950">
      <c r="A950" t="inlineStr">
        <is>
          <t>YX-EVAL-29</t>
        </is>
      </c>
      <c r="B950" t="inlineStr">
        <is>
          <t>T05</t>
        </is>
      </c>
      <c r="C950" t="inlineStr">
        <is>
          <t>YX-EVAL</t>
        </is>
      </c>
      <c r="D950" t="inlineStr">
        <is>
          <t>6+</t>
        </is>
      </c>
      <c r="E950" s="5" t="inlineStr">
        <is>
          <t xml:space="preserve">Employee-side AI fairness (C4). For EU tenants, A13 fairness analytics and human oversight also cover every employee-side AI feature classed high-risk or "depends" under EU AI Act Annex III(4) in P10 §A4 (attrition risk, AI in performance reviews, M12 allocation suggestions, individual M02 anomaly flags, psychometric scores used for promotion): adverse impact of outcomes per group (YX-EVAL-25 method, minimum group sizes), optional self-declared Special group data never shown on decision screens (YX-EVAL-24), findings handled per YX-EVAL-27 including suspension through the P10 kill switch, and </t>
        </is>
      </c>
      <c r="F950" t="inlineStr">
        <is>
          <t>Not started</t>
        </is>
      </c>
      <c r="H950">
        <f>IF(G950&lt;&gt;"",G950,F950)</f>
        <v/>
      </c>
      <c r="I950" t="n">
        <v>0</v>
      </c>
      <c r="J950" t="n">
        <v>0</v>
      </c>
      <c r="K950" t="n">
        <v>0</v>
      </c>
      <c r="L950" s="5" t="inlineStr"/>
      <c r="M950" s="5" t="n"/>
    </row>
    <row r="951">
      <c r="A951" t="inlineStr">
        <is>
          <t>YX-EVAL-30</t>
        </is>
      </c>
      <c r="B951" t="inlineStr">
        <is>
          <t>T05</t>
        </is>
      </c>
      <c r="C951" t="inlineStr">
        <is>
          <t>YX-EVAL</t>
        </is>
      </c>
      <c r="D951" t="inlineStr">
        <is>
          <t>6+</t>
        </is>
      </c>
      <c r="E951" s="5" t="inlineStr">
        <is>
          <t>Identity-mismatch and deepfake signals (T10). identity.mismatch (T04 YX-PROC-19) and media.synthetic_suspected / voice.clone_suspected (T04 YX-PROC-20) open or join an incident like any other flag, are assigned under YX-EVAL-15 (the interviewer who attested is never the reviewer), and follow YX-EVAL-01 / 03 / 04: only a human verdict acts, results or the application stage are held while open, and the candidate may explain, re-verify and appeal. The evidence (match score, stills, partner result, attestation) is Special and kept per YX-EVAL-08 (30-day default, legal hold while open); identity te</t>
        </is>
      </c>
      <c r="F951" t="inlineStr">
        <is>
          <t>Not started</t>
        </is>
      </c>
      <c r="H951">
        <f>IF(G951&lt;&gt;"",G951,F951)</f>
        <v/>
      </c>
      <c r="I951" t="n">
        <v>0</v>
      </c>
      <c r="J951" t="n">
        <v>0</v>
      </c>
      <c r="K951" t="n">
        <v>0</v>
      </c>
      <c r="L951" s="5" t="inlineStr"/>
      <c r="M951" s="5" t="n"/>
    </row>
    <row r="952">
      <c r="A952" t="inlineStr">
        <is>
          <t>YX-EVAL-31</t>
        </is>
      </c>
      <c r="B952" t="inlineStr">
        <is>
          <t>T05</t>
        </is>
      </c>
      <c r="C952" t="inlineStr">
        <is>
          <t>YX-EVAL</t>
        </is>
      </c>
      <c r="D952" t="inlineStr">
        <is>
          <t>6+</t>
        </is>
      </c>
      <c r="E952" s="5" t="inlineStr">
        <is>
          <t>Escalated disputes (J23). Only after the final appeal verdict, a tenant admin or legal role records an escalation (legal notice / court / DPB complaint, reference, date, counsel). This places a legal hold (YX-EVAL-08, P08 pattern) on every evidence item, score, report and audit record of the incident; retention sweeps and erasure requests skip them (the requester is told why) until a recorded closure. The evidence export is a sealed package: files, the P08 audit trail with hash-chain proof, a SHA-256 manifest and an electronic-records certificate from an APX-F template for the tenant's signato</t>
        </is>
      </c>
      <c r="F952" t="inlineStr">
        <is>
          <t>Not started</t>
        </is>
      </c>
      <c r="H952">
        <f>IF(G952&lt;&gt;"",G952,F952)</f>
        <v/>
      </c>
      <c r="I952" t="n">
        <v>0</v>
      </c>
      <c r="J952" t="n">
        <v>0</v>
      </c>
      <c r="K952" t="n">
        <v>0</v>
      </c>
      <c r="L952" s="5" t="inlineStr"/>
      <c r="M952" s="5" t="n"/>
    </row>
    <row r="953">
      <c r="A953" t="inlineStr">
        <is>
          <t>YX-EVAL-32</t>
        </is>
      </c>
      <c r="B953" t="inlineStr">
        <is>
          <t>T05</t>
        </is>
      </c>
      <c r="C953" t="inlineStr">
        <is>
          <t>YX-EVAL</t>
        </is>
      </c>
      <c r="D953" t="inlineStr">
        <is>
          <t>6+</t>
        </is>
      </c>
      <c r="E953" s="5" t="inlineStr">
        <is>
          <t>NYC LL144 bias audit (R13). With the company's NYC setting on, each AI-scored hiring feature used for NYC jobs (AI interview, candidate-fit, AI first round, AI-scored tests) produces a yearly bias-audit export from A13 data (YX-EVAL-25 method): selection or scoring rates and impact ratios by sex, race / ethnicity and intersectional categories, counts per category, small categories flagged for the auditor, and the data period, with no candidate identities. The independent auditor gets time-boxed read-only access to the export and the P10 model card. The company records the audit date and publis</t>
        </is>
      </c>
      <c r="F953" t="inlineStr">
        <is>
          <t>Tested, code not linked</t>
        </is>
      </c>
      <c r="H953">
        <f>IF(G953&lt;&gt;"",G953,F953)</f>
        <v/>
      </c>
      <c r="I953" t="n">
        <v>0</v>
      </c>
      <c r="J953" t="n">
        <v>1</v>
      </c>
      <c r="K953" t="n">
        <v>2</v>
      </c>
      <c r="L953" s="5" t="inlineStr">
        <is>
          <t>exam-app-org:packages/yx-ui/src/screens/hiring/hiring.test.tsx</t>
        </is>
      </c>
      <c r="M953" s="5" t="n"/>
    </row>
    <row r="954">
      <c r="A954" t="inlineStr">
        <is>
          <t>YX-PSY-01</t>
        </is>
      </c>
      <c r="B954" t="inlineStr">
        <is>
          <t>T06</t>
        </is>
      </c>
      <c r="C954" t="inlineStr">
        <is>
          <t>YX-PSY</t>
        </is>
      </c>
      <c r="D954" t="inlineStr">
        <is>
          <t>6+</t>
        </is>
      </c>
      <c r="E954" s="5" t="inlineStr">
        <is>
          <t>Psychometric results are advisory. They are never the sole basis for rejection; an ATS stage can't auto-reject on a psychometric score (T05 YX-EVAL-12).</t>
        </is>
      </c>
      <c r="F954" t="inlineStr">
        <is>
          <t>Not started</t>
        </is>
      </c>
      <c r="H954">
        <f>IF(G954&lt;&gt;"",G954,F954)</f>
        <v/>
      </c>
      <c r="I954" t="n">
        <v>0</v>
      </c>
      <c r="J954" t="n">
        <v>0</v>
      </c>
      <c r="K954" t="n">
        <v>0</v>
      </c>
      <c r="L954" s="5" t="inlineStr"/>
      <c r="M954" s="5" t="n"/>
    </row>
    <row r="955">
      <c r="A955" t="inlineStr">
        <is>
          <t>YX-PSY-02</t>
        </is>
      </c>
      <c r="B955" t="inlineStr">
        <is>
          <t>T06</t>
        </is>
      </c>
      <c r="C955" t="inlineStr">
        <is>
          <t>YX-PSY</t>
        </is>
      </c>
      <c r="D955" t="inlineStr">
        <is>
          <t>6+</t>
        </is>
      </c>
      <c r="E955" s="5" t="inlineStr">
        <is>
          <t>Every instrument shown to customers has published reliability and validity evidence, with a version. An instrument without sufficient evidence can only be used in "research / development" mode, not for hiring decisions.</t>
        </is>
      </c>
      <c r="F955" t="inlineStr">
        <is>
          <t>Not started</t>
        </is>
      </c>
      <c r="H955">
        <f>IF(G955&lt;&gt;"",G955,F955)</f>
        <v/>
      </c>
      <c r="I955" t="n">
        <v>0</v>
      </c>
      <c r="J955" t="n">
        <v>0</v>
      </c>
      <c r="K955" t="n">
        <v>0</v>
      </c>
      <c r="L955" s="5" t="inlineStr"/>
      <c r="M955" s="5" t="n"/>
    </row>
    <row r="956">
      <c r="A956" t="inlineStr">
        <is>
          <t>YX-PSY-03</t>
        </is>
      </c>
      <c r="B956" t="inlineStr">
        <is>
          <t>T06</t>
        </is>
      </c>
      <c r="C956" t="inlineStr">
        <is>
          <t>YX-PSY</t>
        </is>
      </c>
      <c r="D956" t="inlineStr">
        <is>
          <t>6+</t>
        </is>
      </c>
      <c r="E956" s="5" t="inlineStr">
        <is>
          <t>Scores are reported against a named norm group with confidence bands. Mixing norm groups in one comparison is blocked.</t>
        </is>
      </c>
      <c r="F956" t="inlineStr">
        <is>
          <t>Not started</t>
        </is>
      </c>
      <c r="H956">
        <f>IF(G956&lt;&gt;"",G956,F956)</f>
        <v/>
      </c>
      <c r="I956" t="n">
        <v>0</v>
      </c>
      <c r="J956" t="n">
        <v>0</v>
      </c>
      <c r="K956" t="n">
        <v>0</v>
      </c>
      <c r="L956" s="5" t="inlineStr"/>
      <c r="M956" s="5" t="n"/>
    </row>
    <row r="957">
      <c r="A957" t="inlineStr">
        <is>
          <t>YX-PSY-04</t>
        </is>
      </c>
      <c r="B957" t="inlineStr">
        <is>
          <t>T06</t>
        </is>
      </c>
      <c r="C957" t="inlineStr">
        <is>
          <t>YX-PSY</t>
        </is>
      </c>
      <c r="D957" t="inlineStr">
        <is>
          <t>6+</t>
        </is>
      </c>
      <c r="E957" s="5" t="inlineStr">
        <is>
          <t>Personality and SJT instruments are not timed per item and not proctored beyond the test's mode. Cognitive instruments are timed and may use Record &amp; review.</t>
        </is>
      </c>
      <c r="F957" t="inlineStr">
        <is>
          <t>Not started</t>
        </is>
      </c>
      <c r="H957">
        <f>IF(G957&lt;&gt;"",G957,F957)</f>
        <v/>
      </c>
      <c r="I957" t="n">
        <v>0</v>
      </c>
      <c r="J957" t="n">
        <v>0</v>
      </c>
      <c r="K957" t="n">
        <v>0</v>
      </c>
      <c r="L957" s="5" t="inlineStr"/>
      <c r="M957" s="5" t="n"/>
    </row>
    <row r="958">
      <c r="A958" t="inlineStr">
        <is>
          <t>YX-PSY-05</t>
        </is>
      </c>
      <c r="B958" t="inlineStr">
        <is>
          <t>T06</t>
        </is>
      </c>
      <c r="C958" t="inlineStr">
        <is>
          <t>YX-PSY</t>
        </is>
      </c>
      <c r="D958" t="inlineStr">
        <is>
          <t>6+</t>
        </is>
      </c>
      <c r="E958" s="5" t="inlineStr">
        <is>
          <t>Response-quality signals (too fast, straight-lining, inconsistency) are flags for the reviewer, never automatic invalidation.</t>
        </is>
      </c>
      <c r="F958" t="inlineStr">
        <is>
          <t>Not started</t>
        </is>
      </c>
      <c r="H958">
        <f>IF(G958&lt;&gt;"",G958,F958)</f>
        <v/>
      </c>
      <c r="I958" t="n">
        <v>0</v>
      </c>
      <c r="J958" t="n">
        <v>0</v>
      </c>
      <c r="K958" t="n">
        <v>0</v>
      </c>
      <c r="L958" s="5" t="inlineStr"/>
      <c r="M958" s="5" t="n"/>
    </row>
    <row r="959">
      <c r="A959" t="inlineStr">
        <is>
          <t>YX-PSY-06</t>
        </is>
      </c>
      <c r="B959" t="inlineStr">
        <is>
          <t>T06</t>
        </is>
      </c>
      <c r="C959" t="inlineStr">
        <is>
          <t>YX-PSY</t>
        </is>
      </c>
      <c r="D959" t="inlineStr">
        <is>
          <t>6+</t>
        </is>
      </c>
      <c r="E959" s="5" t="inlineStr">
        <is>
          <t>No clinical, medical or mental-health inference; no emotion recognition from face or voice. Report wording is reviewed against a banned-claims list.</t>
        </is>
      </c>
      <c r="F959" t="inlineStr">
        <is>
          <t>Not started</t>
        </is>
      </c>
      <c r="H959">
        <f>IF(G959&lt;&gt;"",G959,F959)</f>
        <v/>
      </c>
      <c r="I959" t="n">
        <v>0</v>
      </c>
      <c r="J959" t="n">
        <v>0</v>
      </c>
      <c r="K959" t="n">
        <v>0</v>
      </c>
      <c r="L959" s="5" t="inlineStr"/>
      <c r="M959" s="5" t="n"/>
    </row>
    <row r="960">
      <c r="A960" t="inlineStr">
        <is>
          <t>YX-PSY-07</t>
        </is>
      </c>
      <c r="B960" t="inlineStr">
        <is>
          <t>T06</t>
        </is>
      </c>
      <c r="C960" t="inlineStr">
        <is>
          <t>YX-PSY</t>
        </is>
      </c>
      <c r="D960" t="inlineStr">
        <is>
          <t>6+</t>
        </is>
      </c>
      <c r="E960" s="5" t="inlineStr">
        <is>
          <t>Candidate consent (T05) states the purpose, who sees results and retention. Candidates are offered their own feedback report where the company enables it (T05 Q5).</t>
        </is>
      </c>
      <c r="F960" t="inlineStr">
        <is>
          <t>Not started</t>
        </is>
      </c>
      <c r="H960">
        <f>IF(G960&lt;&gt;"",G960,F960)</f>
        <v/>
      </c>
      <c r="I960" t="n">
        <v>0</v>
      </c>
      <c r="J960" t="n">
        <v>0</v>
      </c>
      <c r="K960" t="n">
        <v>0</v>
      </c>
      <c r="L960" s="5" t="inlineStr"/>
      <c r="M960" s="5" t="n"/>
    </row>
    <row r="961">
      <c r="A961" t="inlineStr">
        <is>
          <t>YX-PSY-08</t>
        </is>
      </c>
      <c r="B961" t="inlineStr">
        <is>
          <t>T06</t>
        </is>
      </c>
      <c r="C961" t="inlineStr">
        <is>
          <t>YX-PSY</t>
        </is>
      </c>
      <c r="D961" t="inlineStr">
        <is>
          <t>6+</t>
        </is>
      </c>
      <c r="E961" s="5" t="inlineStr">
        <is>
          <t>Adverse impact and differential item functioning are monitored per instrument and per tenant use (A13); results below the 4/5ths rule trigger a review alert to the instrument owner.</t>
        </is>
      </c>
      <c r="F961" t="inlineStr">
        <is>
          <t>Not started</t>
        </is>
      </c>
      <c r="H961">
        <f>IF(G961&lt;&gt;"",G961,F961)</f>
        <v/>
      </c>
      <c r="I961" t="n">
        <v>0</v>
      </c>
      <c r="J961" t="n">
        <v>0</v>
      </c>
      <c r="K961" t="n">
        <v>0</v>
      </c>
      <c r="L961" s="5" t="inlineStr"/>
      <c r="M961" s="5" t="n"/>
    </row>
    <row r="962">
      <c r="A962" t="inlineStr">
        <is>
          <t>YX-PSY-09</t>
        </is>
      </c>
      <c r="B962" t="inlineStr">
        <is>
          <t>T06</t>
        </is>
      </c>
      <c r="C962" t="inlineStr">
        <is>
          <t>YX-PSY</t>
        </is>
      </c>
      <c r="D962" t="inlineStr">
        <is>
          <t>6+</t>
        </is>
      </c>
      <c r="E962" s="5" t="inlineStr">
        <is>
          <t>Tenant-built instruments follow the T01 review workflow and must reach the YX-PSY-02 evidence threshold before hiring use (Q3).</t>
        </is>
      </c>
      <c r="F962" t="inlineStr">
        <is>
          <t>Not started</t>
        </is>
      </c>
      <c r="H962">
        <f>IF(G962&lt;&gt;"",G962,F962)</f>
        <v/>
      </c>
      <c r="I962" t="n">
        <v>0</v>
      </c>
      <c r="J962" t="n">
        <v>0</v>
      </c>
      <c r="K962" t="n">
        <v>0</v>
      </c>
      <c r="L962" s="5" t="inlineStr"/>
      <c r="M962" s="5" t="n"/>
    </row>
    <row r="963">
      <c r="A963" t="inlineStr">
        <is>
          <t>YX-PSY-10</t>
        </is>
      </c>
      <c r="B963" t="inlineStr">
        <is>
          <t>T06</t>
        </is>
      </c>
      <c r="C963" t="inlineStr">
        <is>
          <t>YX-PSY</t>
        </is>
      </c>
      <c r="D963" t="inlineStr">
        <is>
          <t>6+</t>
        </is>
      </c>
      <c r="E963" s="5" t="inlineStr">
        <is>
          <t>Job-profile fit is shown as ranges and "probe" prompts for interviewers, never as a pass / fail badge.</t>
        </is>
      </c>
      <c r="F963" t="inlineStr">
        <is>
          <t>Not started</t>
        </is>
      </c>
      <c r="H963">
        <f>IF(G963&lt;&gt;"",G963,F963)</f>
        <v/>
      </c>
      <c r="I963" t="n">
        <v>0</v>
      </c>
      <c r="J963" t="n">
        <v>0</v>
      </c>
      <c r="K963" t="n">
        <v>0</v>
      </c>
      <c r="L963" s="5" t="inlineStr"/>
      <c r="M963" s="5" t="n"/>
    </row>
    <row r="964">
      <c r="A964" t="inlineStr">
        <is>
          <t>YX-PSY-11</t>
        </is>
      </c>
      <c r="B964" t="inlineStr">
        <is>
          <t>T06</t>
        </is>
      </c>
      <c r="C964" t="inlineStr">
        <is>
          <t>YX-PSY</t>
        </is>
      </c>
      <c r="D964" t="inlineStr">
        <is>
          <t>6+</t>
        </is>
      </c>
      <c r="E964" s="5" t="inlineStr">
        <is>
          <t>Employee psychometric results are for development by default and visible to the employee; use in promotion / termination decisions requires the company to enable it per assessment, HR-only approval, and a prior notice to the employee; such use is audited.</t>
        </is>
      </c>
      <c r="F964" t="inlineStr">
        <is>
          <t>Not started</t>
        </is>
      </c>
      <c r="H964">
        <f>IF(G964&lt;&gt;"",G964,F964)</f>
        <v/>
      </c>
      <c r="I964" t="n">
        <v>0</v>
      </c>
      <c r="J964" t="n">
        <v>0</v>
      </c>
      <c r="K964" t="n">
        <v>0</v>
      </c>
      <c r="L964" s="5" t="inlineStr"/>
      <c r="M964" s="5" t="n"/>
    </row>
    <row r="965">
      <c r="A965" t="inlineStr">
        <is>
          <t>YX-CODE-01</t>
        </is>
      </c>
      <c r="B965" t="inlineStr">
        <is>
          <t>T07</t>
        </is>
      </c>
      <c r="C965" t="inlineStr">
        <is>
          <t>YX-CODE</t>
        </is>
      </c>
      <c r="D965" t="inlineStr">
        <is>
          <t>6+</t>
        </is>
      </c>
      <c r="E965" s="5" t="inlineStr">
        <is>
          <t>Every workspace is isolated per attempt: no network except the allow-listed package mirror, CPU / memory / time limits per template, destroyed after submission snapshot + retention.</t>
        </is>
      </c>
      <c r="F965" t="inlineStr">
        <is>
          <t>Not started</t>
        </is>
      </c>
      <c r="H965">
        <f>IF(G965&lt;&gt;"",G965,F965)</f>
        <v/>
      </c>
      <c r="I965" t="n">
        <v>0</v>
      </c>
      <c r="J965" t="n">
        <v>0</v>
      </c>
      <c r="K965" t="n">
        <v>0</v>
      </c>
      <c r="L965" s="5" t="inlineStr"/>
      <c r="M965" s="5" t="n"/>
    </row>
    <row r="966">
      <c r="A966" t="inlineStr">
        <is>
          <t>YX-CODE-02</t>
        </is>
      </c>
      <c r="B966" t="inlineStr">
        <is>
          <t>T07</t>
        </is>
      </c>
      <c r="C966" t="inlineStr">
        <is>
          <t>YX-CODE</t>
        </is>
      </c>
      <c r="D966" t="inlineStr">
        <is>
          <t>6+</t>
        </is>
      </c>
      <c r="E966" s="5" t="inlineStr">
        <is>
          <t>Hidden tests, reference solutions and grading scripts never enter the candidate's workspace; they run in a separate grader container against the submission snapshot.</t>
        </is>
      </c>
      <c r="F966" t="inlineStr">
        <is>
          <t>Not started</t>
        </is>
      </c>
      <c r="H966">
        <f>IF(G966&lt;&gt;"",G966,F966)</f>
        <v/>
      </c>
      <c r="I966" t="n">
        <v>0</v>
      </c>
      <c r="J966" t="n">
        <v>0</v>
      </c>
      <c r="K966" t="n">
        <v>0</v>
      </c>
      <c r="L966" s="5" t="inlineStr"/>
      <c r="M966" s="5" t="n"/>
    </row>
    <row r="967">
      <c r="A967" t="inlineStr">
        <is>
          <t>YX-CODE-03</t>
        </is>
      </c>
      <c r="B967" t="inlineStr">
        <is>
          <t>T07</t>
        </is>
      </c>
      <c r="C967" t="inlineStr">
        <is>
          <t>YX-CODE</t>
        </is>
      </c>
      <c r="D967" t="inlineStr">
        <is>
          <t>6+</t>
        </is>
      </c>
      <c r="E967" s="5" t="inlineStr">
        <is>
          <t>The submission is an immutable snapshot (files + commit hash). Scores always reference that snapshot and the template version.</t>
        </is>
      </c>
      <c r="F967" t="inlineStr">
        <is>
          <t>Not started</t>
        </is>
      </c>
      <c r="H967">
        <f>IF(G967&lt;&gt;"",G967,F967)</f>
        <v/>
      </c>
      <c r="I967" t="n">
        <v>0</v>
      </c>
      <c r="J967" t="n">
        <v>0</v>
      </c>
      <c r="K967" t="n">
        <v>0</v>
      </c>
      <c r="L967" s="5" t="inlineStr"/>
      <c r="M967" s="5" t="n"/>
    </row>
    <row r="968">
      <c r="A968" t="inlineStr">
        <is>
          <t>YX-CODE-04</t>
        </is>
      </c>
      <c r="B968" t="inlineStr">
        <is>
          <t>T07</t>
        </is>
      </c>
      <c r="C968" t="inlineStr">
        <is>
          <t>YX-CODE</t>
        </is>
      </c>
      <c r="D968" t="inlineStr">
        <is>
          <t>6+</t>
        </is>
      </c>
      <c r="E968" s="5" t="inlineStr">
        <is>
          <t>Playback events are recorded for every workspace and interview session and are available to reviewers and in incidents (T05). Candidates are told in the consent that their editing is recorded.</t>
        </is>
      </c>
      <c r="F968" t="inlineStr">
        <is>
          <t>Not started</t>
        </is>
      </c>
      <c r="H968">
        <f>IF(G968&lt;&gt;"",G968,F968)</f>
        <v/>
      </c>
      <c r="I968" t="n">
        <v>0</v>
      </c>
      <c r="J968" t="n">
        <v>0</v>
      </c>
      <c r="K968" t="n">
        <v>0</v>
      </c>
      <c r="L968" s="5" t="inlineStr"/>
      <c r="M968" s="5" t="n"/>
    </row>
    <row r="969">
      <c r="A969" t="inlineStr">
        <is>
          <t>YX-CODE-05</t>
        </is>
      </c>
      <c r="B969" t="inlineStr">
        <is>
          <t>T07</t>
        </is>
      </c>
      <c r="C969" t="inlineStr">
        <is>
          <t>YX-CODE</t>
        </is>
      </c>
      <c r="D969" t="inlineStr">
        <is>
          <t>6+</t>
        </is>
      </c>
      <c r="E969" s="5" t="inlineStr">
        <is>
          <t>Take-home tasks have a deadline shown in the candidate's time zone. Late commits are marked late; the company decides whether late work is accepted (D17).</t>
        </is>
      </c>
      <c r="F969" t="inlineStr">
        <is>
          <t>Not started</t>
        </is>
      </c>
      <c r="H969">
        <f>IF(G969&lt;&gt;"",G969,F969)</f>
        <v/>
      </c>
      <c r="I969" t="n">
        <v>0</v>
      </c>
      <c r="J969" t="n">
        <v>0</v>
      </c>
      <c r="K969" t="n">
        <v>0</v>
      </c>
      <c r="L969" s="5" t="inlineStr"/>
      <c r="M969" s="5" t="n"/>
    </row>
    <row r="970">
      <c r="A970" t="inlineStr">
        <is>
          <t>YX-CODE-06</t>
        </is>
      </c>
      <c r="B970" t="inlineStr">
        <is>
          <t>T07</t>
        </is>
      </c>
      <c r="C970" t="inlineStr">
        <is>
          <t>YX-CODE</t>
        </is>
      </c>
      <c r="D970" t="inlineStr">
        <is>
          <t>6+</t>
        </is>
      </c>
      <c r="E970" s="5" t="inlineStr">
        <is>
          <t>Automatic scores, AI code review and similarity results are advisory inputs to the human rubric (T05). An interviewer's recommendation is required to move an interview candidate forward (M10).</t>
        </is>
      </c>
      <c r="F970" t="inlineStr">
        <is>
          <t>Not started</t>
        </is>
      </c>
      <c r="H970">
        <f>IF(G970&lt;&gt;"",G970,F970)</f>
        <v/>
      </c>
      <c r="I970" t="n">
        <v>0</v>
      </c>
      <c r="J970" t="n">
        <v>0</v>
      </c>
      <c r="K970" t="n">
        <v>0</v>
      </c>
      <c r="L970" s="5" t="inlineStr"/>
      <c r="M970" s="5" t="n"/>
    </row>
    <row r="971">
      <c r="A971" t="inlineStr">
        <is>
          <t>YX-CODE-07</t>
        </is>
      </c>
      <c r="B971" t="inlineStr">
        <is>
          <t>T07</t>
        </is>
      </c>
      <c r="C971" t="inlineStr">
        <is>
          <t>YX-CODE</t>
        </is>
      </c>
      <c r="D971" t="inlineStr">
        <is>
          <t>6+</t>
        </is>
      </c>
      <c r="E971" s="5" t="inlineStr">
        <is>
          <t>Live interview notes and rubric scores are private to the panel until submitted, and feed the M10 scorecard. Video recording of interviews follows Q4 and requires consent at join.</t>
        </is>
      </c>
      <c r="F971" t="inlineStr">
        <is>
          <t>Not started</t>
        </is>
      </c>
      <c r="H971">
        <f>IF(G971&lt;&gt;"",G971,F971)</f>
        <v/>
      </c>
      <c r="I971" t="n">
        <v>0</v>
      </c>
      <c r="J971" t="n">
        <v>0</v>
      </c>
      <c r="K971" t="n">
        <v>0</v>
      </c>
      <c r="L971" s="5" t="inlineStr"/>
      <c r="M971" s="5" t="n"/>
    </row>
    <row r="972">
      <c r="A972" t="inlineStr">
        <is>
          <t>YX-CODE-08</t>
        </is>
      </c>
      <c r="B972" t="inlineStr">
        <is>
          <t>T07</t>
        </is>
      </c>
      <c r="C972" t="inlineStr">
        <is>
          <t>YX-CODE</t>
        </is>
      </c>
      <c r="D972" t="inlineStr">
        <is>
          <t>6+</t>
        </is>
      </c>
      <c r="E972" s="5" t="inlineStr">
        <is>
          <t>Similarity checks run across attempts in the tenant (existing 5-gram engine, extended to multi-file) and against public solutions where the partner add-on is enabled (T05 Q3).</t>
        </is>
      </c>
      <c r="F972" t="inlineStr">
        <is>
          <t>Not started</t>
        </is>
      </c>
      <c r="H972">
        <f>IF(G972&lt;&gt;"",G972,F972)</f>
        <v/>
      </c>
      <c r="I972" t="n">
        <v>0</v>
      </c>
      <c r="J972" t="n">
        <v>0</v>
      </c>
      <c r="K972" t="n">
        <v>0</v>
      </c>
      <c r="L972" s="5" t="inlineStr"/>
      <c r="M972" s="5" t="n"/>
    </row>
    <row r="973">
      <c r="A973" t="inlineStr">
        <is>
          <t>YX-CODE-09</t>
        </is>
      </c>
      <c r="B973" t="inlineStr">
        <is>
          <t>T07</t>
        </is>
      </c>
      <c r="C973" t="inlineStr">
        <is>
          <t>YX-CODE</t>
        </is>
      </c>
      <c r="D973" t="inlineStr">
        <is>
          <t>6+</t>
        </is>
      </c>
      <c r="E973" s="5" t="inlineStr">
        <is>
          <t>Workspace idle / time limits and resource usage are metered; heavy usage beyond fair use follows the D18 usage add-on.</t>
        </is>
      </c>
      <c r="F973" t="inlineStr">
        <is>
          <t>Not started</t>
        </is>
      </c>
      <c r="H973">
        <f>IF(G973&lt;&gt;"",G973,F973)</f>
        <v/>
      </c>
      <c r="I973" t="n">
        <v>0</v>
      </c>
      <c r="J973" t="n">
        <v>0</v>
      </c>
      <c r="K973" t="n">
        <v>0</v>
      </c>
      <c r="L973" s="5" t="inlineStr"/>
      <c r="M973" s="5" t="n"/>
    </row>
    <row r="974">
      <c r="A974" t="inlineStr">
        <is>
          <t>YX-SCL-01</t>
        </is>
      </c>
      <c r="B974" t="inlineStr">
        <is>
          <t>T08</t>
        </is>
      </c>
      <c r="C974" t="inlineStr">
        <is>
          <t>YX-SCL</t>
        </is>
      </c>
      <c r="D974" t="inlineStr">
        <is>
          <t>6+</t>
        </is>
      </c>
      <c r="E974" s="5" t="inlineStr">
        <is>
          <t>The client is code-signed, verifies its own integrity at start, and must be at or above the test's minimum version. The server accepts a session only with a valid one-time launch token bound to the attempt.</t>
        </is>
      </c>
      <c r="F974" t="inlineStr">
        <is>
          <t>Not started</t>
        </is>
      </c>
      <c r="H974">
        <f>IF(G974&lt;&gt;"",G974,F974)</f>
        <v/>
      </c>
      <c r="I974" t="n">
        <v>0</v>
      </c>
      <c r="J974" t="n">
        <v>0</v>
      </c>
      <c r="K974" t="n">
        <v>0</v>
      </c>
      <c r="L974" s="5" t="inlineStr"/>
      <c r="M974" s="5" t="n"/>
    </row>
    <row r="975">
      <c r="A975" t="inlineStr">
        <is>
          <t>YX-SCL-02</t>
        </is>
      </c>
      <c r="B975" t="inlineStr">
        <is>
          <t>T08</t>
        </is>
      </c>
      <c r="C975" t="inlineStr">
        <is>
          <t>YX-SCL</t>
        </is>
      </c>
      <c r="D975" t="inlineStr">
        <is>
          <t>6+</t>
        </is>
      </c>
      <c r="E975" s="5" t="inlineStr">
        <is>
          <t>The client runs only during an attempt. It installs no always-on background service or kernel driver, keeps no data after exit except crash logs, and uninstalls cleanly (Q3).</t>
        </is>
      </c>
      <c r="F975" t="inlineStr">
        <is>
          <t>Not started</t>
        </is>
      </c>
      <c r="H975">
        <f>IF(G975&lt;&gt;"",G975,F975)</f>
        <v/>
      </c>
      <c r="I975" t="n">
        <v>0</v>
      </c>
      <c r="J975" t="n">
        <v>0</v>
      </c>
      <c r="K975" t="n">
        <v>0</v>
      </c>
      <c r="L975" s="5" t="inlineStr"/>
      <c r="M975" s="5" t="n"/>
    </row>
    <row r="976">
      <c r="A976" t="inlineStr">
        <is>
          <t>YX-SCL-03</t>
        </is>
      </c>
      <c r="B976" t="inlineStr">
        <is>
          <t>T08</t>
        </is>
      </c>
      <c r="C976" t="inlineStr">
        <is>
          <t>YX-SCL</t>
        </is>
      </c>
      <c r="D976" t="inlineStr">
        <is>
          <t>6+</t>
        </is>
      </c>
      <c r="E976" s="5" t="inlineStr">
        <is>
          <t>Detections are signals routed through the T04 action matrix (flag / warn / pause / terminate). Nothing auto-fails a candidate (T04 YX-PROC-02).</t>
        </is>
      </c>
      <c r="F976" t="inlineStr">
        <is>
          <t>Not started</t>
        </is>
      </c>
      <c r="H976">
        <f>IF(G976&lt;&gt;"",G976,F976)</f>
        <v/>
      </c>
      <c r="I976" t="n">
        <v>0</v>
      </c>
      <c r="J976" t="n">
        <v>0</v>
      </c>
      <c r="K976" t="n">
        <v>0</v>
      </c>
      <c r="L976" s="5" t="inlineStr"/>
      <c r="M976" s="5" t="n"/>
    </row>
    <row r="977">
      <c r="A977" t="inlineStr">
        <is>
          <t>YX-SCL-04</t>
        </is>
      </c>
      <c r="B977" t="inlineStr">
        <is>
          <t>T08</t>
        </is>
      </c>
      <c r="C977" t="inlineStr">
        <is>
          <t>YX-SCL</t>
        </is>
      </c>
      <c r="D977" t="inlineStr">
        <is>
          <t>6+</t>
        </is>
      </c>
      <c r="E977" s="5" t="inlineStr">
        <is>
          <t>Blocked-process lists are platform-maintained, and tenants may add entries or allow exceptions per test (e.g. an assistive technology approved as an accommodation, T03 YX-DLV-10). Accommodations always take precedence.</t>
        </is>
      </c>
      <c r="F977" t="inlineStr">
        <is>
          <t>Not started</t>
        </is>
      </c>
      <c r="H977">
        <f>IF(G977&lt;&gt;"",G977,F977)</f>
        <v/>
      </c>
      <c r="I977" t="n">
        <v>0</v>
      </c>
      <c r="J977" t="n">
        <v>0</v>
      </c>
      <c r="K977" t="n">
        <v>0</v>
      </c>
      <c r="L977" s="5" t="inlineStr"/>
      <c r="M977" s="5" t="n"/>
    </row>
    <row r="978">
      <c r="A978" t="inlineStr">
        <is>
          <t>YX-SCL-05</t>
        </is>
      </c>
      <c r="B978" t="inlineStr">
        <is>
          <t>T08</t>
        </is>
      </c>
      <c r="C978" t="inlineStr">
        <is>
          <t>YX-SCL</t>
        </is>
      </c>
      <c r="D978" t="inlineStr">
        <is>
          <t>6+</t>
        </is>
      </c>
      <c r="E978" s="5" t="inlineStr">
        <is>
          <t>The client collects only the data listed in the consent (process names, device types, display count, VM indicators). It never reads files, keystroke content outside the test, browsing history or personal documents.</t>
        </is>
      </c>
      <c r="F978" t="inlineStr">
        <is>
          <t>Not started</t>
        </is>
      </c>
      <c r="H978">
        <f>IF(G978&lt;&gt;"",G978,F978)</f>
        <v/>
      </c>
      <c r="I978" t="n">
        <v>0</v>
      </c>
      <c r="J978" t="n">
        <v>0</v>
      </c>
      <c r="K978" t="n">
        <v>0</v>
      </c>
      <c r="L978" s="5" t="inlineStr"/>
      <c r="M978" s="5" t="n"/>
    </row>
    <row r="979">
      <c r="A979" t="inlineStr">
        <is>
          <t>YX-SCL-06</t>
        </is>
      </c>
      <c r="B979" t="inlineStr">
        <is>
          <t>T08</t>
        </is>
      </c>
      <c r="C979" t="inlineStr">
        <is>
          <t>YX-SCL</t>
        </is>
      </c>
      <c r="D979" t="inlineStr">
        <is>
          <t>6+</t>
        </is>
      </c>
      <c r="E979" s="5" t="inlineStr">
        <is>
          <t>The LAN second-device hint is optional per test, consent-based, passive (e.g. discovering devices advertising on the local network), stores only a count and device class, and is never used as a sole reason for action.</t>
        </is>
      </c>
      <c r="F979" t="inlineStr">
        <is>
          <t>Not started</t>
        </is>
      </c>
      <c r="H979">
        <f>IF(G979&lt;&gt;"",G979,F979)</f>
        <v/>
      </c>
      <c r="I979" t="n">
        <v>0</v>
      </c>
      <c r="J979" t="n">
        <v>0</v>
      </c>
      <c r="K979" t="n">
        <v>0</v>
      </c>
      <c r="L979" s="5" t="inlineStr"/>
      <c r="M979" s="5" t="n"/>
    </row>
    <row r="980">
      <c r="A980" t="inlineStr">
        <is>
          <t>YX-SCL-07</t>
        </is>
      </c>
      <c r="B980" t="inlineStr">
        <is>
          <t>T08</t>
        </is>
      </c>
      <c r="C980" t="inlineStr">
        <is>
          <t>YX-SCL</t>
        </is>
      </c>
      <c r="D980" t="inlineStr">
        <is>
          <t>6+</t>
        </is>
      </c>
      <c r="E980" s="5" t="inlineStr">
        <is>
          <t>Releases pass the P12 secure-SDLC gates and a security review. A vulnerability in the client follows P12 SLAs, and affected versions are blocked via minimum-version.</t>
        </is>
      </c>
      <c r="F980" t="inlineStr">
        <is>
          <t>Not started</t>
        </is>
      </c>
      <c r="H980">
        <f>IF(G980&lt;&gt;"",G980,F980)</f>
        <v/>
      </c>
      <c r="I980" t="n">
        <v>0</v>
      </c>
      <c r="J980" t="n">
        <v>0</v>
      </c>
      <c r="K980" t="n">
        <v>0</v>
      </c>
      <c r="L980" s="5" t="inlineStr"/>
      <c r="M980" s="5" t="n"/>
    </row>
    <row r="981">
      <c r="A981" t="inlineStr">
        <is>
          <t>YX-SCL-08</t>
        </is>
      </c>
      <c r="B981" t="inlineStr">
        <is>
          <t>T08</t>
        </is>
      </c>
      <c r="C981" t="inlineStr">
        <is>
          <t>YX-SCL</t>
        </is>
      </c>
      <c r="D981" t="inlineStr">
        <is>
          <t>6+</t>
        </is>
      </c>
      <c r="E981" s="5" t="inlineStr">
        <is>
          <t>If the client crashes or the device fails mid-test, T03 session continuity applies (auto-save, time credit, re-auth). Crashes are logged, not treated as violations.</t>
        </is>
      </c>
      <c r="F981" t="inlineStr">
        <is>
          <t>Not started</t>
        </is>
      </c>
      <c r="H981">
        <f>IF(G981&lt;&gt;"",G981,F981)</f>
        <v/>
      </c>
      <c r="I981" t="n">
        <v>0</v>
      </c>
      <c r="J981" t="n">
        <v>0</v>
      </c>
      <c r="K981" t="n">
        <v>0</v>
      </c>
      <c r="L981" s="5" t="inlineStr"/>
      <c r="M981" s="5" t="n"/>
    </row>
    <row r="982">
      <c r="A982" t="inlineStr">
        <is>
          <t>YX-SCL-09</t>
        </is>
      </c>
      <c r="B982" t="inlineStr">
        <is>
          <t>T08</t>
        </is>
      </c>
      <c r="C982" t="inlineStr">
        <is>
          <t>YX-SCL</t>
        </is>
      </c>
      <c r="D982" t="inlineStr">
        <is>
          <t>6+</t>
        </is>
      </c>
      <c r="E982" s="5" t="inlineStr">
        <is>
          <t xml:space="preserve">Overlay assistants and second-device voice tools (G16). The client enumerates the window layers over the runner and raises an overlay assistant signal for always-on-top, transparent or click-through windows that are invisible in the screen share; the shared screen image alone is never trusted to show everything on the display. A second-device voice tool is inferred only from the T04 audio signals (Q6) and the optional LAN hint (YX-SCL-06), never from listening to the room's content. Both are T04 AI-assistance signals (YX-PROC-03): review flags with their evidence, never an automatic action on </t>
        </is>
      </c>
      <c r="F982" t="inlineStr">
        <is>
          <t>Not started</t>
        </is>
      </c>
      <c r="H982">
        <f>IF(G982&lt;&gt;"",G982,F982)</f>
        <v/>
      </c>
      <c r="I982" t="n">
        <v>0</v>
      </c>
      <c r="J982" t="n">
        <v>0</v>
      </c>
      <c r="K982" t="n">
        <v>0</v>
      </c>
      <c r="L982" s="5" t="inlineStr"/>
      <c r="M982" s="5" t="n"/>
    </row>
  </sheetData>
  <autoFilter ref="A1:M982"/>
  <conditionalFormatting sqref="F2:H982">
    <cfRule type="expression" priority="1" dxfId="0">
      <formula>ISNUMBER(SEARCH("Built +",F2))</formula>
    </cfRule>
    <cfRule type="expression" priority="2" dxfId="1">
      <formula>ISNUMBER(SEARCH("Built,",F2))</formula>
    </cfRule>
    <cfRule type="expression" priority="3" dxfId="1">
      <formula>ISNUMBER(SEARCH("Tested,",F2))</formula>
    </cfRule>
    <cfRule type="expression" priority="4" dxfId="2">
      <formula>ISNUMBER(SEARCH("Verify",F2))</formula>
    </cfRule>
    <cfRule type="expression" priority="5" dxfId="3">
      <formula>ISNUMBER(SEARCH("In progress",F2))</formula>
    </cfRule>
    <cfRule type="expression" priority="6" dxfId="4">
      <formula>ISNUMBER(SEARCH("Not needed",F2))</formula>
    </cfRule>
  </conditionalFormatting>
  <dataValidations count="1">
    <dataValidation sqref="G2:G982" showDropDown="0" showInputMessage="0" showErrorMessage="0" allowBlank="1" type="list">
      <formula1>"Built + tested,Built, no test cites it,Tested, code not linked,UI prototype only,Verify (step done, not linked),In progress,Not started,Not needed"</formula1>
    </dataValidation>
  </dataValidations>
  <pageMargins left="0.75" right="0.75" top="1" bottom="1" header="0.5" footer="0.5"/>
</worksheet>
</file>

<file path=xl/worksheets/sheet3.xml><?xml version="1.0" encoding="utf-8"?>
<worksheet xmlns="http://schemas.openxmlformats.org/spreadsheetml/2006/main">
  <sheetPr>
    <outlinePr summaryBelow="1" summaryRight="1"/>
    <pageSetUpPr/>
  </sheetPr>
  <dimension ref="A1:M53"/>
  <sheetViews>
    <sheetView workbookViewId="0">
      <pane xSplit="1" ySplit="1" topLeftCell="B2" activePane="bottomRight" state="frozen"/>
      <selection pane="topRight"/>
      <selection pane="bottomLeft"/>
      <selection pane="bottomRight" activeCell="A1" sqref="A1"/>
    </sheetView>
  </sheetViews>
  <sheetFormatPr baseColWidth="8" defaultRowHeight="15"/>
  <cols>
    <col width="9" customWidth="1" min="1" max="1"/>
    <col width="50" customWidth="1" min="2" max="2"/>
    <col width="9" customWidth="1" min="3" max="3"/>
    <col width="7" customWidth="1" min="4" max="4"/>
    <col width="9" customWidth="1" min="5" max="5"/>
    <col width="9" customWidth="1" min="6" max="6"/>
    <col width="8" customWidth="1" min="7" max="7"/>
    <col width="9" customWidth="1" min="8" max="8"/>
    <col width="8" customWidth="1" min="9" max="9"/>
    <col width="40" customWidth="1" min="10" max="10"/>
    <col width="60" customWidth="1" min="11" max="11"/>
    <col width="36" customWidth="1" min="12" max="12"/>
    <col width="30" customWidth="1" min="13" max="13"/>
  </cols>
  <sheetData>
    <row r="1">
      <c r="A1" s="4" t="inlineStr">
        <is>
          <t>Doc</t>
        </is>
      </c>
      <c r="B1" s="4" t="inlineStr">
        <is>
          <t>Title</t>
        </is>
      </c>
      <c r="C1" s="4" t="inlineStr">
        <is>
          <t>Roadmap step</t>
        </is>
      </c>
      <c r="D1" s="4" t="inlineStr">
        <is>
          <t>Rules</t>
        </is>
      </c>
      <c r="E1" s="4" t="inlineStr">
        <is>
          <t>Built + tested</t>
        </is>
      </c>
      <c r="F1" s="4" t="inlineStr">
        <is>
          <t>Built, no test</t>
        </is>
      </c>
      <c r="G1" s="4" t="inlineStr">
        <is>
          <t>Verify</t>
        </is>
      </c>
      <c r="H1" s="4" t="inlineStr">
        <is>
          <t>Not started</t>
        </is>
      </c>
      <c r="I1" s="4" t="inlineStr">
        <is>
          <t>% built</t>
        </is>
      </c>
      <c r="J1" s="4" t="inlineStr">
        <is>
          <t>Build wave</t>
        </is>
      </c>
      <c r="K1" s="4" t="inlineStr">
        <is>
          <t>Design status</t>
        </is>
      </c>
      <c r="L1" s="4" t="inlineStr">
        <is>
          <t>File</t>
        </is>
      </c>
      <c r="M1" s="4" t="inlineStr">
        <is>
          <t>Notes (you)</t>
        </is>
      </c>
    </row>
    <row r="2">
      <c r="A2" t="inlineStr">
        <is>
          <t>M01</t>
        </is>
      </c>
      <c r="B2" s="5" t="inlineStr">
        <is>
          <t>M01 · Core HR &amp; Employee Lifecycle</t>
        </is>
      </c>
      <c r="C2" t="inlineStr">
        <is>
          <t>2</t>
        </is>
      </c>
      <c r="D2" t="n">
        <v>51</v>
      </c>
      <c r="E2">
        <f>COUNTIFS(Rules!$B$2:$B$982,$A2,Rules!$H$2:$H$982,"Built +*")</f>
        <v/>
      </c>
      <c r="F2">
        <f>COUNTIFS(Rules!$B$2:$B$982,$A2,Rules!$H$2:$H$982,"Built,*")</f>
        <v/>
      </c>
      <c r="G2">
        <f>COUNTIFS(Rules!$B$2:$B$982,$A2,Rules!$H$2:$H$982,"Verify*")</f>
        <v/>
      </c>
      <c r="H2">
        <f>COUNTIFS(Rules!$B$2:$B$982,$A2,Rules!$H$2:$H$982,"Not started*")</f>
        <v/>
      </c>
      <c r="I2" s="6">
        <f>IF(D2=0,"",E2/D2)</f>
        <v/>
      </c>
      <c r="J2" s="5" t="inlineStr">
        <is>
          <t>Core HR in wave 1; onboarding, offboarding, F&amp;F, letters, assets in wave 4 (spec §4).</t>
        </is>
      </c>
      <c r="K2" s="5" t="inlineStr">
        <is>
          <t>✅ Decided, 25 Sep 2026. All 8 questions answered (§11). Extended 26 Sep 2026 (gap register, user decision): position management, workforce-planning scenarios, career paths &amp; IDPs, attrition-risk signal (GAP B16, §3.9, wave 5); §11 B16. Career paths, IDPs, talent pools and the attrition-risk signal a</t>
        </is>
      </c>
      <c r="L2" t="inlineStr">
        <is>
          <t>M01-core-hr-and-lifecycle.md</t>
        </is>
      </c>
    </row>
    <row r="3">
      <c r="A3" t="inlineStr">
        <is>
          <t>M02</t>
        </is>
      </c>
      <c r="B3" s="5" t="inlineStr">
        <is>
          <t>M02 · Leave &amp; Attendance</t>
        </is>
      </c>
      <c r="C3" t="inlineStr">
        <is>
          <t>4</t>
        </is>
      </c>
      <c r="D3" t="n">
        <v>46</v>
      </c>
      <c r="E3">
        <f>COUNTIFS(Rules!$B$2:$B$982,$A3,Rules!$H$2:$H$982,"Built +*")</f>
        <v/>
      </c>
      <c r="F3">
        <f>COUNTIFS(Rules!$B$2:$B$982,$A3,Rules!$H$2:$H$982,"Built,*")</f>
        <v/>
      </c>
      <c r="G3">
        <f>COUNTIFS(Rules!$B$2:$B$982,$A3,Rules!$H$2:$H$982,"Verify*")</f>
        <v/>
      </c>
      <c r="H3">
        <f>COUNTIFS(Rules!$B$2:$B$982,$A3,Rules!$H$2:$H$982,"Not started*")</f>
        <v/>
      </c>
      <c r="I3" s="6">
        <f>IF(D3=0,"",E3/D3)</f>
        <v/>
      </c>
      <c r="J3" s="5" t="inlineStr">
        <is>
          <t>2 (with basic mobile), feeding payroll in wave 3.</t>
        </is>
      </c>
      <c r="K3" s="5" t="inlineStr">
        <is>
          <t xml:space="preserve">✅ Decided (7/7), 25 Sep 2026. The 6 Leave decisions (23 Sep) and the attendance device question (P10 Q4) are already decided. Extended 26 Sep 2026 (gap register, user decision): field-force tracking (GAP B2, §B8, wave 5), auto-rostering, open shifts &amp; shift bidding (GAP B3, §B9, designed now, built </t>
        </is>
      </c>
      <c r="L3" t="inlineStr">
        <is>
          <t>M02-leave-and-attendance.md</t>
        </is>
      </c>
    </row>
    <row r="4">
      <c r="A4" t="inlineStr">
        <is>
          <t>M03</t>
        </is>
      </c>
      <c r="B4" s="5" t="inlineStr">
        <is>
          <t>M03 · Payroll &amp; India Statutory</t>
        </is>
      </c>
      <c r="C4" t="inlineStr">
        <is>
          <t>5</t>
        </is>
      </c>
      <c r="D4" t="n">
        <v>84</v>
      </c>
      <c r="E4">
        <f>COUNTIFS(Rules!$B$2:$B$982,$A4,Rules!$H$2:$H$982,"Built +*")</f>
        <v/>
      </c>
      <c r="F4">
        <f>COUNTIFS(Rules!$B$2:$B$982,$A4,Rules!$H$2:$H$982,"Built,*")</f>
        <v/>
      </c>
      <c r="G4">
        <f>COUNTIFS(Rules!$B$2:$B$982,$A4,Rules!$H$2:$H$982,"Verify*")</f>
        <v/>
      </c>
      <c r="H4">
        <f>COUNTIFS(Rules!$B$2:$B$982,$A4,Rules!$H$2:$H$982,"Not started*")</f>
        <v/>
      </c>
      <c r="I4" s="6">
        <f>IF(D4=0,"",E4/D4)</f>
        <v/>
      </c>
      <c r="J4" s="5" t="inlineStr">
        <is>
          <t>3. The private pilot starts here.</t>
        </is>
      </c>
      <c r="K4" s="5" t="inlineStr">
        <is>
          <t>✅ Decided (8/8), 25 Sep 2026. Extended 26 Sep 2026: consultant / contractor payouts (GAP A8) and always-on digital registers (GAP A9), §11 A8-Q1 / A9-Q2 / A9-Q3. Extended 26 Sep 2026 (gap register, user decision): earned wage access (GAP B10), multi-country payroll readiness with UAE / GCC / US-1099</t>
        </is>
      </c>
      <c r="L4" t="inlineStr">
        <is>
          <t>M03-payroll-and-statutory.md</t>
        </is>
      </c>
    </row>
    <row r="5">
      <c r="A5" t="inlineStr">
        <is>
          <t>M04</t>
        </is>
      </c>
      <c r="B5" s="5" t="inlineStr">
        <is>
          <t>M04 · Mobile App (Employee &amp; Manager)</t>
        </is>
      </c>
      <c r="C5" t="inlineStr">
        <is>
          <t>6+</t>
        </is>
      </c>
      <c r="D5" t="n">
        <v>19</v>
      </c>
      <c r="E5">
        <f>COUNTIFS(Rules!$B$2:$B$982,$A5,Rules!$H$2:$H$982,"Built +*")</f>
        <v/>
      </c>
      <c r="F5">
        <f>COUNTIFS(Rules!$B$2:$B$982,$A5,Rules!$H$2:$H$982,"Built,*")</f>
        <v/>
      </c>
      <c r="G5">
        <f>COUNTIFS(Rules!$B$2:$B$982,$A5,Rules!$H$2:$H$982,"Verify*")</f>
        <v/>
      </c>
      <c r="H5">
        <f>COUNTIFS(Rules!$B$2:$B$982,$A5,Rules!$H$2:$H$982,"Not started*")</f>
        <v/>
      </c>
      <c r="I5" s="6">
        <f>IF(D5=0,"",E5/D5)</f>
        <v/>
      </c>
      <c r="J5" s="5" t="inlineStr">
        <is>
          <t>basic mobile in wave 2 (Time, leave, approvals), and each later module adds its mobile screens in its own wave. No module ships without its employee-facing mobile flow (fixes U95).</t>
        </is>
      </c>
      <c r="K5" s="5" t="inlineStr">
        <is>
          <t>✅ Decided (8/8), 25 Sep 2026. Extended 26 Sep 2026 (gap register, user decision): mobile flows for field force (B2), open shifts &amp; bids (B3), earned wage access (B10), visitor approvals (C1), career / IDP (B16), equity (C4) and M12 timesheets (B1), §3.1; §11 B2 / B3 / B10 / C1 / B1 / B16-C4-B18. Val</t>
        </is>
      </c>
      <c r="L5" t="inlineStr">
        <is>
          <t>M04-mobile-app.md</t>
        </is>
      </c>
    </row>
    <row r="6">
      <c r="A6" t="inlineStr">
        <is>
          <t>M05</t>
        </is>
      </c>
      <c r="B6" s="5" t="inlineStr">
        <is>
          <t>M05 · Expenses, Advances &amp; Travel</t>
        </is>
      </c>
      <c r="C6" t="inlineStr">
        <is>
          <t>6+</t>
        </is>
      </c>
      <c r="D6" t="n">
        <v>16</v>
      </c>
      <c r="E6">
        <f>COUNTIFS(Rules!$B$2:$B$982,$A6,Rules!$H$2:$H$982,"Built +*")</f>
        <v/>
      </c>
      <c r="F6">
        <f>COUNTIFS(Rules!$B$2:$B$982,$A6,Rules!$H$2:$H$982,"Built,*")</f>
        <v/>
      </c>
      <c r="G6">
        <f>COUNTIFS(Rules!$B$2:$B$982,$A6,Rules!$H$2:$H$982,"Verify*")</f>
        <v/>
      </c>
      <c r="H6">
        <f>COUNTIFS(Rules!$B$2:$B$982,$A6,Rules!$H$2:$H$982,"Not started*")</f>
        <v/>
      </c>
      <c r="I6" s="6">
        <f>IF(D6=0,"",E6/D6)</f>
        <v/>
      </c>
      <c r="J6" s="5" t="inlineStr">
        <is>
          <t>5 (mobile-first, M04). Salary advances and loans stay in M03.</t>
        </is>
      </c>
      <c r="K6" s="5" t="inlineStr">
        <is>
          <t>✅ Decided (8/8), 25 Sep 2026. Extended 26 Sep 2026 (gap register, user decision): multi-currency expenses with FX (GAP B18) and field-force distance → mileage lines (GAP B2, M02 §B8); §11 B18 / B2.</t>
        </is>
      </c>
      <c r="L6" t="inlineStr">
        <is>
          <t>M05-expenses-advances-travel.md</t>
        </is>
      </c>
    </row>
    <row r="7">
      <c r="A7" t="inlineStr">
        <is>
          <t>M06</t>
        </is>
      </c>
      <c r="B7" s="5" t="inlineStr">
        <is>
          <t>M06 · Performance</t>
        </is>
      </c>
      <c r="C7" t="inlineStr">
        <is>
          <t>6+</t>
        </is>
      </c>
      <c r="D7" t="n">
        <v>22</v>
      </c>
      <c r="E7">
        <f>COUNTIFS(Rules!$B$2:$B$982,$A7,Rules!$H$2:$H$982,"Built +*")</f>
        <v/>
      </c>
      <c r="F7">
        <f>COUNTIFS(Rules!$B$2:$B$982,$A7,Rules!$H$2:$H$982,"Built,*")</f>
        <v/>
      </c>
      <c r="G7">
        <f>COUNTIFS(Rules!$B$2:$B$982,$A7,Rules!$H$2:$H$982,"Verify*")</f>
        <v/>
      </c>
      <c r="H7">
        <f>COUNTIFS(Rules!$B$2:$B$982,$A7,Rules!$H$2:$H$982,"Not started*")</f>
        <v/>
      </c>
      <c r="I7" s="6">
        <f>IF(D7=0,"",E7/D7)</f>
        <v/>
      </c>
      <c r="J7" s="5" t="inlineStr">
        <is>
          <t>5. Basic (guided) calibration was deliberately moved to wave 5 by Q5; only the 9-box and enforced distribution remain in wave 6 (spec §4).</t>
        </is>
      </c>
      <c r="K7" s="5" t="inlineStr">
        <is>
          <t>✅ Decided (8/8), 25 Sep 2026. Extended 26 Sep 2026: career paths &amp; IDPs, talent pools / succession link, attrition-risk signal (GAP B16); pay-equity analysis and compensation benchmarking (GAP C3); §11 B16 / C3.</t>
        </is>
      </c>
      <c r="L7" t="inlineStr">
        <is>
          <t>M06-performance.md</t>
        </is>
      </c>
    </row>
    <row r="8">
      <c r="A8" t="inlineStr">
        <is>
          <t>M07</t>
        </is>
      </c>
      <c r="B8" s="5" t="inlineStr">
        <is>
          <t>M07 · Learning &amp; Development</t>
        </is>
      </c>
      <c r="C8" t="inlineStr">
        <is>
          <t>6+</t>
        </is>
      </c>
      <c r="D8" t="n">
        <v>15</v>
      </c>
      <c r="E8">
        <f>COUNTIFS(Rules!$B$2:$B$982,$A8,Rules!$H$2:$H$982,"Built +*")</f>
        <v/>
      </c>
      <c r="F8">
        <f>COUNTIFS(Rules!$B$2:$B$982,$A8,Rules!$H$2:$H$982,"Built,*")</f>
        <v/>
      </c>
      <c r="G8">
        <f>COUNTIFS(Rules!$B$2:$B$982,$A8,Rules!$H$2:$H$982,"Verify*")</f>
        <v/>
      </c>
      <c r="H8">
        <f>COUNTIFS(Rules!$B$2:$B$982,$A8,Rules!$H$2:$H$982,"Not started*")</f>
        <v/>
      </c>
      <c r="I8" s="6">
        <f>IF(D8=0,"",E8/D8)</f>
        <v/>
      </c>
      <c r="J8" s="5" t="inlineStr">
        <is>
          <t>5.</t>
        </is>
      </c>
      <c r="K8" s="5" t="inlineStr">
        <is>
          <t>✅ Decided (8/8), 25 Sep 2026. Extended 26 Sep 2026: content marketplace &amp; provider connectors, live-class auto-creation, gamification (GAP C2); Open Badges 3.0 / Credly and an LTI 1.3 tool (GAP B15 part); §11 C2 / B15.</t>
        </is>
      </c>
      <c r="L8" t="inlineStr">
        <is>
          <t>M07-learning-and-development.md</t>
        </is>
      </c>
    </row>
    <row r="9">
      <c r="A9" t="inlineStr">
        <is>
          <t>M08</t>
        </is>
      </c>
      <c r="B9" s="5" t="inlineStr">
        <is>
          <t>M08 · Helpdesk, Grievance, POSH, Disciplinary &amp; Policies</t>
        </is>
      </c>
      <c r="C9" t="inlineStr">
        <is>
          <t>3b</t>
        </is>
      </c>
      <c r="D9" t="n">
        <v>32</v>
      </c>
      <c r="E9">
        <f>COUNTIFS(Rules!$B$2:$B$982,$A9,Rules!$H$2:$H$982,"Built +*")</f>
        <v/>
      </c>
      <c r="F9">
        <f>COUNTIFS(Rules!$B$2:$B$982,$A9,Rules!$H$2:$H$982,"Built,*")</f>
        <v/>
      </c>
      <c r="G9">
        <f>COUNTIFS(Rules!$B$2:$B$982,$A9,Rules!$H$2:$H$982,"Verify*")</f>
        <v/>
      </c>
      <c r="H9">
        <f>COUNTIFS(Rules!$B$2:$B$982,$A9,Rules!$H$2:$H$982,"Not started*")</f>
        <v/>
      </c>
      <c r="I9" s="6">
        <f>IF(D9=0,"",E9/D9)</f>
        <v/>
      </c>
      <c r="J9" s="5" t="inlineStr">
        <is>
          <t>POSH and workplace accident / injury (J6) in wave 4; helpdesk, grievance, disciplinary, policies and whistleblower in wave 5 (spec §4).</t>
        </is>
      </c>
      <c r="K9" s="5" t="inlineStr">
        <is>
          <t>✅ Decided (8/8), 25 Sep 2026. Correction C1 (validation pass 3), 28 Sep 2026: IR Code (P07 IN.IR, in force 21 Nov 2025) Grievance Redressal Committee for 20+ workers and standing orders at 300+ workers linked to the misconduct matrix (YX-CASE-12/13); §11 C1. Validation pass 3 Must J6, 28 Sep 2026: n</t>
        </is>
      </c>
      <c r="L9" t="inlineStr">
        <is>
          <t>M08-helpdesk-cases-policies.md</t>
        </is>
      </c>
    </row>
    <row r="10">
      <c r="A10" t="inlineStr">
        <is>
          <t>M09</t>
        </is>
      </c>
      <c r="B10" s="5" t="inlineStr">
        <is>
          <t>M09 · Engage: Communication, Recognition &amp; Surveys</t>
        </is>
      </c>
      <c r="C10" t="inlineStr">
        <is>
          <t>6+</t>
        </is>
      </c>
      <c r="D10" t="n">
        <v>11</v>
      </c>
      <c r="E10">
        <f>COUNTIFS(Rules!$B$2:$B$982,$A10,Rules!$H$2:$H$982,"Built +*")</f>
        <v/>
      </c>
      <c r="F10">
        <f>COUNTIFS(Rules!$B$2:$B$982,$A10,Rules!$H$2:$H$982,"Built,*")</f>
        <v/>
      </c>
      <c r="G10">
        <f>COUNTIFS(Rules!$B$2:$B$982,$A10,Rules!$H$2:$H$982,"Verify*")</f>
        <v/>
      </c>
      <c r="H10">
        <f>COUNTIFS(Rules!$B$2:$B$982,$A10,Rules!$H$2:$H$982,"Not started*")</f>
        <v/>
      </c>
      <c r="I10" s="6">
        <f>IF(D10=0,"",E10/D10)</f>
        <v/>
      </c>
      <c r="J10" s="5" t="inlineStr">
        <is>
          <t>5. Simple announcements already ship with P04 in wave 1.</t>
        </is>
      </c>
      <c r="K10" s="5" t="inlineStr">
        <is>
          <t>✅ Decided (8/8), 25 Sep 2026.</t>
        </is>
      </c>
      <c r="L10" t="inlineStr">
        <is>
          <t>M09-engage.md</t>
        </is>
      </c>
    </row>
    <row r="11">
      <c r="A11" t="inlineStr">
        <is>
          <t>M10</t>
        </is>
      </c>
      <c r="B11" s="5" t="inlineStr">
        <is>
          <t>M10 · ATS: Internal Hiring, Staffing Desk &amp; Client Helpdesk</t>
        </is>
      </c>
      <c r="C11" t="inlineStr">
        <is>
          <t>6+</t>
        </is>
      </c>
      <c r="D11" t="n">
        <v>45</v>
      </c>
      <c r="E11">
        <f>COUNTIFS(Rules!$B$2:$B$982,$A11,Rules!$H$2:$H$982,"Built +*")</f>
        <v/>
      </c>
      <c r="F11">
        <f>COUNTIFS(Rules!$B$2:$B$982,$A11,Rules!$H$2:$H$982,"Built,*")</f>
        <v/>
      </c>
      <c r="G11">
        <f>COUNTIFS(Rules!$B$2:$B$982,$A11,Rules!$H$2:$H$982,"Verify*")</f>
        <v/>
      </c>
      <c r="H11">
        <f>COUNTIFS(Rules!$B$2:$B$982,$A11,Rules!$H$2:$H$982,"Not started*")</f>
        <v/>
      </c>
      <c r="I11" s="6">
        <f>IF(D11=0,"",E11/D11)</f>
        <v/>
      </c>
      <c r="J11" s="5" t="inlineStr">
        <is>
          <t>7, after HRMS wave 5 (spec §4, P2-6). The internal ATS already exists in the exam app. This doc defines the deltas: what we keep, what we change so it becomes part of HRMS, and what is new.</t>
        </is>
      </c>
      <c r="K11" s="5" t="inlineStr">
        <is>
          <t>✅ Decided (8/8), 25 Sep 2026. Extended 26 Sep 2026: talent CRM, job-board connectors and panel auto-slotting (GAP B8); vendor / sub-vendor portal for the staffing desk (GAP C7, reversing the spec's "out of scope"); §11 B8 / C7. Validation pass 3 Must (T10), founder decision 28 Sep 2026: identity cha</t>
        </is>
      </c>
      <c r="L11" t="inlineStr">
        <is>
          <t>M10-ats.md</t>
        </is>
      </c>
    </row>
    <row r="12">
      <c r="A12" t="inlineStr">
        <is>
          <t>M11</t>
        </is>
      </c>
      <c r="B12" s="5" t="inlineStr">
        <is>
          <t>M11 · Benefits Administration &amp; Flexible Benefit Plan</t>
        </is>
      </c>
      <c r="C12" t="inlineStr">
        <is>
          <t>6+</t>
        </is>
      </c>
      <c r="D12" t="n">
        <v>11</v>
      </c>
      <c r="E12">
        <f>COUNTIFS(Rules!$B$2:$B$982,$A12,Rules!$H$2:$H$982,"Built +*")</f>
        <v/>
      </c>
      <c r="F12">
        <f>COUNTIFS(Rules!$B$2:$B$982,$A12,Rules!$H$2:$H$982,"Built,*")</f>
        <v/>
      </c>
      <c r="G12">
        <f>COUNTIFS(Rules!$B$2:$B$982,$A12,Rules!$H$2:$H$982,"Verify*")</f>
        <v/>
      </c>
      <c r="H12">
        <f>COUNTIFS(Rules!$B$2:$B$982,$A12,Rules!$H$2:$H$982,"Not started*")</f>
        <v/>
      </c>
      <c r="I12" s="6">
        <f>IF(D12=0,"",E12/D12)</f>
        <v/>
      </c>
      <c r="J12" s="5" t="inlineStr">
        <is>
          <t>3 (with payroll, for the pilot). Insurer / broker connectors can follow in a later wave.</t>
        </is>
      </c>
      <c r="K12" s="5" t="inlineStr">
        <is>
          <t>✅ Decided (5/5), 26 Sep 2026.</t>
        </is>
      </c>
      <c r="L12" t="inlineStr">
        <is>
          <t>M11-benefits-fbp.md</t>
        </is>
      </c>
    </row>
    <row r="13">
      <c r="A13" t="inlineStr">
        <is>
          <t>M12</t>
        </is>
      </c>
      <c r="B13" s="5" t="inlineStr">
        <is>
          <t>M12 · Projects &amp; Timesheets</t>
        </is>
      </c>
      <c r="C13" t="inlineStr">
        <is>
          <t>6+</t>
        </is>
      </c>
      <c r="D13" t="n">
        <v>17</v>
      </c>
      <c r="E13">
        <f>COUNTIFS(Rules!$B$2:$B$982,$A13,Rules!$H$2:$H$982,"Built +*")</f>
        <v/>
      </c>
      <c r="F13">
        <f>COUNTIFS(Rules!$B$2:$B$982,$A13,Rules!$H$2:$H$982,"Built,*")</f>
        <v/>
      </c>
      <c r="G13">
        <f>COUNTIFS(Rules!$B$2:$B$982,$A13,Rules!$H$2:$H$982,"Verify*")</f>
        <v/>
      </c>
      <c r="H13">
        <f>COUNTIFS(Rules!$B$2:$B$982,$A13,Rules!$H$2:$H$982,"Not started*")</f>
        <v/>
      </c>
      <c r="I13" s="6">
        <f>IF(D13=0,"",E13/D13)</f>
        <v/>
      </c>
      <c r="J13" s="5" t="inlineStr">
        <is>
          <t>5.</t>
        </is>
      </c>
      <c r="K13" s="5" t="inlineStr">
        <is>
          <t>✅ Decided (by principle), 26 Sep 2026. The user decided on 26 Sep 2026 to include GAP-REGISTER B1; the 4 design questions (§10) were settled by principle (D17 / D18) with the recommended options (§11). Validation pass 3 Shoulds added 28 Sep 2026 (§8b).</t>
        </is>
      </c>
      <c r="L13" t="inlineStr">
        <is>
          <t>M12-projects-timesheets.md</t>
        </is>
      </c>
    </row>
    <row r="14">
      <c r="A14" t="inlineStr">
        <is>
          <t>M13</t>
        </is>
      </c>
      <c r="B14" s="5" t="inlineStr">
        <is>
          <t>M13 · Contract Labour (CLRA) — Principal-Employer Compliance</t>
        </is>
      </c>
      <c r="C14" t="inlineStr">
        <is>
          <t>6+</t>
        </is>
      </c>
      <c r="D14" t="n">
        <v>15</v>
      </c>
      <c r="E14">
        <f>COUNTIFS(Rules!$B$2:$B$982,$A14,Rules!$H$2:$H$982,"Built +*")</f>
        <v/>
      </c>
      <c r="F14">
        <f>COUNTIFS(Rules!$B$2:$B$982,$A14,Rules!$H$2:$H$982,"Built,*")</f>
        <v/>
      </c>
      <c r="G14">
        <f>COUNTIFS(Rules!$B$2:$B$982,$A14,Rules!$H$2:$H$982,"Verify*")</f>
        <v/>
      </c>
      <c r="H14">
        <f>COUNTIFS(Rules!$B$2:$B$982,$A14,Rules!$H$2:$H$982,"Not started*")</f>
        <v/>
      </c>
      <c r="I14" s="6">
        <f>IF(D14=0,"",E14/D14)</f>
        <v/>
      </c>
      <c r="J14" s="5" t="inlineStr">
        <is>
          <t>5.</t>
        </is>
      </c>
      <c r="K14" s="5" t="inlineStr">
        <is>
          <t>✅ Decided (by principle), 26 Sep 2026. 4 questions decided by principle (D17 / D18), §11. Correction C1 (validation pass 3), 28 Sep 2026: contract labour is governed by the OSH Code (contract-labour chapter) since 21 Nov 2025; the design maps to it (§1 mapping, YX-CLRA-13); §11 C1. Validation pass 3</t>
        </is>
      </c>
      <c r="L14" t="inlineStr">
        <is>
          <t>M13-contract-labour-clra.md</t>
        </is>
      </c>
    </row>
    <row r="15">
      <c r="A15" t="inlineStr">
        <is>
          <t>M14</t>
        </is>
      </c>
      <c r="B15" s="5" t="inlineStr">
        <is>
          <t>M14 · YukthiX Service Desk (ITSM + ESM)</t>
        </is>
      </c>
      <c r="C15" t="inlineStr">
        <is>
          <t>3b</t>
        </is>
      </c>
      <c r="D15" t="n">
        <v>0</v>
      </c>
      <c r="E15">
        <f>COUNTIFS(Rules!$B$2:$B$982,$A15,Rules!$H$2:$H$982,"Built +*")</f>
        <v/>
      </c>
      <c r="F15">
        <f>COUNTIFS(Rules!$B$2:$B$982,$A15,Rules!$H$2:$H$982,"Built,*")</f>
        <v/>
      </c>
      <c r="G15">
        <f>COUNTIFS(Rules!$B$2:$B$982,$A15,Rules!$H$2:$H$982,"Verify*")</f>
        <v/>
      </c>
      <c r="H15">
        <f>COUNTIFS(Rules!$B$2:$B$982,$A15,Rules!$H$2:$H$982,"Not started*")</f>
        <v/>
      </c>
      <c r="I15" s="6">
        <f>IF(D15=0,"",E15/D15)</f>
        <v/>
      </c>
      <c r="J15" s="5" t="inlineStr"/>
      <c r="K15" s="5" t="inlineStr">
        <is>
          <t>📝 Scope agreed with the founder, 6 Oct 2026. Detailed design (rules, data model, decisions) to be written before the build, in the same format as the other M docs.</t>
        </is>
      </c>
      <c r="L15" t="inlineStr">
        <is>
          <t>M14-itsm-service-desk.md</t>
        </is>
      </c>
    </row>
    <row r="16">
      <c r="A16" t="inlineStr">
        <is>
          <t>P01</t>
        </is>
      </c>
      <c r="B16" s="5" t="inlineStr">
        <is>
          <t>P01 · Tenancy &amp; Organisation Model</t>
        </is>
      </c>
      <c r="C16" t="inlineStr">
        <is>
          <t>0, 2</t>
        </is>
      </c>
      <c r="D16" t="n">
        <v>27</v>
      </c>
      <c r="E16">
        <f>COUNTIFS(Rules!$B$2:$B$982,$A16,Rules!$H$2:$H$982,"Built +*")</f>
        <v/>
      </c>
      <c r="F16">
        <f>COUNTIFS(Rules!$B$2:$B$982,$A16,Rules!$H$2:$H$982,"Built,*")</f>
        <v/>
      </c>
      <c r="G16">
        <f>COUNTIFS(Rules!$B$2:$B$982,$A16,Rules!$H$2:$H$982,"Verify*")</f>
        <v/>
      </c>
      <c r="H16">
        <f>COUNTIFS(Rules!$B$2:$B$982,$A16,Rules!$H$2:$H$982,"Not started*")</f>
        <v/>
      </c>
      <c r="I16" s="6">
        <f>IF(D16=0,"",E16/D16)</f>
        <v/>
      </c>
      <c r="J16" s="5" t="inlineStr"/>
      <c r="K16" s="5" t="inlineStr">
        <is>
          <t xml:space="preserve">✅ Decided, 24 Sep 2026. All 8 questions answered (§11). Validation pass 3 Must (J15), founder decision 28 Sep 2026: one persons record per tenant with role attachments, matching / merge rules, conversions with history, total-workforce view (§4.5a, YX-ORG-26 / 27); §11 J15. Validation pass 3 Shoulds </t>
        </is>
      </c>
      <c r="L16" t="inlineStr">
        <is>
          <t>P01-tenancy-and-organisation.md</t>
        </is>
      </c>
    </row>
    <row r="17">
      <c r="A17" t="inlineStr">
        <is>
          <t>P02</t>
        </is>
      </c>
      <c r="B17" s="5" t="inlineStr">
        <is>
          <t>P02 · Roles, Data Visibility &amp; Privacy</t>
        </is>
      </c>
      <c r="C17" t="inlineStr">
        <is>
          <t>2</t>
        </is>
      </c>
      <c r="D17" t="n">
        <v>38</v>
      </c>
      <c r="E17">
        <f>COUNTIFS(Rules!$B$2:$B$982,$A17,Rules!$H$2:$H$982,"Built +*")</f>
        <v/>
      </c>
      <c r="F17">
        <f>COUNTIFS(Rules!$B$2:$B$982,$A17,Rules!$H$2:$H$982,"Built,*")</f>
        <v/>
      </c>
      <c r="G17">
        <f>COUNTIFS(Rules!$B$2:$B$982,$A17,Rules!$H$2:$H$982,"Verify*")</f>
        <v/>
      </c>
      <c r="H17">
        <f>COUNTIFS(Rules!$B$2:$B$982,$A17,Rules!$H$2:$H$982,"Not started*")</f>
        <v/>
      </c>
      <c r="I17" s="6">
        <f>IF(D17=0,"",E17/D17)</f>
        <v/>
      </c>
      <c r="J17" s="5" t="inlineStr"/>
      <c r="K17" s="5" t="inlineStr">
        <is>
          <t>✅ Decided, 24 Sep 2026. All 8 questions answered (§11). Extended 26 Sep 2026 (gap-register user decision): DPDP / GDPR programme tooling (B12, §6.1), §11 row B12. Corrected 28 Sep 2026 (validation pass 3, C3): DPDP Rules 2025 dated milestones and readiness plan (§6.2), YX-SEC-32 breach clocks, YX-SE</t>
        </is>
      </c>
      <c r="L17" t="inlineStr">
        <is>
          <t>P02-access-visibility-privacy.md</t>
        </is>
      </c>
    </row>
    <row r="18">
      <c r="A18" t="inlineStr">
        <is>
          <t>P03</t>
        </is>
      </c>
      <c r="B18" s="5" t="inlineStr">
        <is>
          <t>P03 · Workflow &amp; Approval Engine</t>
        </is>
      </c>
      <c r="C18" t="inlineStr">
        <is>
          <t>4</t>
        </is>
      </c>
      <c r="D18" t="n">
        <v>19</v>
      </c>
      <c r="E18">
        <f>COUNTIFS(Rules!$B$2:$B$982,$A18,Rules!$H$2:$H$982,"Built +*")</f>
        <v/>
      </c>
      <c r="F18">
        <f>COUNTIFS(Rules!$B$2:$B$982,$A18,Rules!$H$2:$H$982,"Built,*")</f>
        <v/>
      </c>
      <c r="G18">
        <f>COUNTIFS(Rules!$B$2:$B$982,$A18,Rules!$H$2:$H$982,"Verify*")</f>
        <v/>
      </c>
      <c r="H18">
        <f>COUNTIFS(Rules!$B$2:$B$982,$A18,Rules!$H$2:$H$982,"Not started*")</f>
        <v/>
      </c>
      <c r="I18" s="6">
        <f>IF(D18=0,"",E18/D18)</f>
        <v/>
      </c>
      <c r="J18" s="5" t="inlineStr"/>
      <c r="K18" s="5" t="inlineStr">
        <is>
          <t>✅ Decided, 24 Sep 2026. All 8 questions answered (§11).</t>
        </is>
      </c>
      <c r="L18" t="inlineStr">
        <is>
          <t>P03-workflow-approval-engine.md</t>
        </is>
      </c>
    </row>
    <row r="19">
      <c r="A19" t="inlineStr">
        <is>
          <t>P04</t>
        </is>
      </c>
      <c r="B19" s="5" t="inlineStr">
        <is>
          <t>P04 · Notification Engine</t>
        </is>
      </c>
      <c r="C19" t="inlineStr">
        <is>
          <t>1</t>
        </is>
      </c>
      <c r="D19" t="n">
        <v>17</v>
      </c>
      <c r="E19">
        <f>COUNTIFS(Rules!$B$2:$B$982,$A19,Rules!$H$2:$H$982,"Built +*")</f>
        <v/>
      </c>
      <c r="F19">
        <f>COUNTIFS(Rules!$B$2:$B$982,$A19,Rules!$H$2:$H$982,"Built,*")</f>
        <v/>
      </c>
      <c r="G19">
        <f>COUNTIFS(Rules!$B$2:$B$982,$A19,Rules!$H$2:$H$982,"Verify*")</f>
        <v/>
      </c>
      <c r="H19">
        <f>COUNTIFS(Rules!$B$2:$B$982,$A19,Rules!$H$2:$H$982,"Not started*")</f>
        <v/>
      </c>
      <c r="I19" s="6">
        <f>IF(D19=0,"",E19/D19)</f>
        <v/>
      </c>
      <c r="J19" s="5" t="inlineStr"/>
      <c r="K19" s="5" t="inlineStr">
        <is>
          <t>✅ Decided, 24 Sep 2026. All 8 questions answered (§11). Extended 26 Sep 2026 (gap-register user decision): password-protected payslip PDF by email as a company option (B19, §4.5b), Slack &amp; Microsoft Teams apps (B9, §4.9), desk-UI internationalisation (B18 part, §4.10); §11 rows B19 / B9 / B18.</t>
        </is>
      </c>
      <c r="L19" t="inlineStr">
        <is>
          <t>P04-notification-engine.md</t>
        </is>
      </c>
    </row>
    <row r="20">
      <c r="A20" t="inlineStr">
        <is>
          <t>P05</t>
        </is>
      </c>
      <c r="B20" s="5" t="inlineStr">
        <is>
          <t>P05 · Letters, Documents &amp; E-sign</t>
        </is>
      </c>
      <c r="C20" t="inlineStr">
        <is>
          <t>6+</t>
        </is>
      </c>
      <c r="D20" t="n">
        <v>19</v>
      </c>
      <c r="E20">
        <f>COUNTIFS(Rules!$B$2:$B$982,$A20,Rules!$H$2:$H$982,"Built +*")</f>
        <v/>
      </c>
      <c r="F20">
        <f>COUNTIFS(Rules!$B$2:$B$982,$A20,Rules!$H$2:$H$982,"Built,*")</f>
        <v/>
      </c>
      <c r="G20">
        <f>COUNTIFS(Rules!$B$2:$B$982,$A20,Rules!$H$2:$H$982,"Verify*")</f>
        <v/>
      </c>
      <c r="H20">
        <f>COUNTIFS(Rules!$B$2:$B$982,$A20,Rules!$H$2:$H$982,"Not started*")</f>
        <v/>
      </c>
      <c r="I20" s="6">
        <f>IF(D20=0,"",E20/D20)</f>
        <v/>
      </c>
      <c r="J20" s="5" t="inlineStr"/>
      <c r="K20" s="5" t="inlineStr">
        <is>
          <t>✅ Decided, 24 Sep 2026. All 8 questions answered (§11).</t>
        </is>
      </c>
      <c r="L20" t="inlineStr">
        <is>
          <t>P05-letters-documents-esign.md</t>
        </is>
      </c>
    </row>
    <row r="21">
      <c r="A21" t="inlineStr">
        <is>
          <t>P06</t>
        </is>
      </c>
      <c r="B21" s="5" t="inlineStr">
        <is>
          <t>P06 · Effective-Dated History &amp; Scheduled Changes</t>
        </is>
      </c>
      <c r="C21" t="inlineStr">
        <is>
          <t>2</t>
        </is>
      </c>
      <c r="D21" t="n">
        <v>15</v>
      </c>
      <c r="E21">
        <f>COUNTIFS(Rules!$B$2:$B$982,$A21,Rules!$H$2:$H$982,"Built +*")</f>
        <v/>
      </c>
      <c r="F21">
        <f>COUNTIFS(Rules!$B$2:$B$982,$A21,Rules!$H$2:$H$982,"Built,*")</f>
        <v/>
      </c>
      <c r="G21">
        <f>COUNTIFS(Rules!$B$2:$B$982,$A21,Rules!$H$2:$H$982,"Verify*")</f>
        <v/>
      </c>
      <c r="H21">
        <f>COUNTIFS(Rules!$B$2:$B$982,$A21,Rules!$H$2:$H$982,"Not started*")</f>
        <v/>
      </c>
      <c r="I21" s="6">
        <f>IF(D21=0,"",E21/D21)</f>
        <v/>
      </c>
      <c r="J21" s="5" t="inlineStr"/>
      <c r="K21" s="5" t="inlineStr">
        <is>
          <t>✅ Decided, 25 Sep 2026. All 8 questions answered (§11).</t>
        </is>
      </c>
      <c r="L21" t="inlineStr">
        <is>
          <t>P06-effective-dated-history.md</t>
        </is>
      </c>
    </row>
    <row r="22">
      <c r="A22" t="inlineStr">
        <is>
          <t>P07</t>
        </is>
      </c>
      <c r="B22" s="5" t="inlineStr">
        <is>
          <t>P07 · Statutory Rules as Dated Data (Country Packs)</t>
        </is>
      </c>
      <c r="C22" t="inlineStr">
        <is>
          <t>4, 5</t>
        </is>
      </c>
      <c r="D22" t="n">
        <v>32</v>
      </c>
      <c r="E22">
        <f>COUNTIFS(Rules!$B$2:$B$982,$A22,Rules!$H$2:$H$982,"Built +*")</f>
        <v/>
      </c>
      <c r="F22">
        <f>COUNTIFS(Rules!$B$2:$B$982,$A22,Rules!$H$2:$H$982,"Built,*")</f>
        <v/>
      </c>
      <c r="G22">
        <f>COUNTIFS(Rules!$B$2:$B$982,$A22,Rules!$H$2:$H$982,"Verify*")</f>
        <v/>
      </c>
      <c r="H22">
        <f>COUNTIFS(Rules!$B$2:$B$982,$A22,Rules!$H$2:$H$982,"Not started*")</f>
        <v/>
      </c>
      <c r="I22" s="6">
        <f>IF(D22=0,"",E22/D22)</f>
        <v/>
      </c>
      <c r="J22" s="5" t="inlineStr"/>
      <c r="K22" s="5" t="inlineStr">
        <is>
          <t>✅ Decided, 25 Sep 2026. All 8 questions answered (§11). Extended 26 Sep 2026: non-salary TDS (GAP A8) and IN.REGISTERS (GAP A9), §11 A8-Q1 / A9-Q2 / A9-Q3. Extended 26 Sep 2026 (gap-register user decision): labour-law advisory feed and IN.CLRA (B17, §4.3a), ESOP perquisite valuation and country-pack</t>
        </is>
      </c>
      <c r="L22" t="inlineStr">
        <is>
          <t>P07-statutory-rules-as-data.md</t>
        </is>
      </c>
    </row>
    <row r="23">
      <c r="A23" t="inlineStr">
        <is>
          <t>P08</t>
        </is>
      </c>
      <c r="B23" s="5" t="inlineStr">
        <is>
          <t>P08 · Period Locks &amp; Audit</t>
        </is>
      </c>
      <c r="C23" t="inlineStr">
        <is>
          <t>5</t>
        </is>
      </c>
      <c r="D23" t="n">
        <v>18</v>
      </c>
      <c r="E23">
        <f>COUNTIFS(Rules!$B$2:$B$982,$A23,Rules!$H$2:$H$982,"Built +*")</f>
        <v/>
      </c>
      <c r="F23">
        <f>COUNTIFS(Rules!$B$2:$B$982,$A23,Rules!$H$2:$H$982,"Built,*")</f>
        <v/>
      </c>
      <c r="G23">
        <f>COUNTIFS(Rules!$B$2:$B$982,$A23,Rules!$H$2:$H$982,"Verify*")</f>
        <v/>
      </c>
      <c r="H23">
        <f>COUNTIFS(Rules!$B$2:$B$982,$A23,Rules!$H$2:$H$982,"Not started*")</f>
        <v/>
      </c>
      <c r="I23" s="6">
        <f>IF(D23=0,"",E23/D23)</f>
        <v/>
      </c>
      <c r="J23" s="5" t="inlineStr"/>
      <c r="K23" s="5" t="inlineStr">
        <is>
          <t>✅ Decided, 25 Sep 2026. All 8 questions answered (§11).</t>
        </is>
      </c>
      <c r="L23" t="inlineStr">
        <is>
          <t>P08-period-locks-and-audit.md</t>
        </is>
      </c>
    </row>
    <row r="24">
      <c r="A24" t="inlineStr">
        <is>
          <t>P09</t>
        </is>
      </c>
      <c r="B24" s="5" t="inlineStr">
        <is>
          <t>P09 · Metric Layer &amp; Analytics Platform</t>
        </is>
      </c>
      <c r="C24" t="inlineStr">
        <is>
          <t>6+</t>
        </is>
      </c>
      <c r="D24" t="n">
        <v>24</v>
      </c>
      <c r="E24">
        <f>COUNTIFS(Rules!$B$2:$B$982,$A24,Rules!$H$2:$H$982,"Built +*")</f>
        <v/>
      </c>
      <c r="F24">
        <f>COUNTIFS(Rules!$B$2:$B$982,$A24,Rules!$H$2:$H$982,"Built,*")</f>
        <v/>
      </c>
      <c r="G24">
        <f>COUNTIFS(Rules!$B$2:$B$982,$A24,Rules!$H$2:$H$982,"Verify*")</f>
        <v/>
      </c>
      <c r="H24">
        <f>COUNTIFS(Rules!$B$2:$B$982,$A24,Rules!$H$2:$H$982,"Not started*")</f>
        <v/>
      </c>
      <c r="I24" s="6">
        <f>IF(D24=0,"",E24/D24)</f>
        <v/>
      </c>
      <c r="J24" s="5" t="inlineStr"/>
      <c r="K24" s="5" t="inlineStr">
        <is>
          <t>✅ Decided, 25 Sep 2026. All 8 questions answered (§11). Extended 26 Sep 2026 (gap register, user decision): DEI dashboard template and pay-gap metric (GAP C3), tenant-health metrics feed for customer success (C8), workforce-planning / attrition-risk metric references (B16) and AI-quality metrics (B1</t>
        </is>
      </c>
      <c r="L24" t="inlineStr">
        <is>
          <t>P09-metric-layer-analytics.md</t>
        </is>
      </c>
    </row>
    <row r="25">
      <c r="A25" t="inlineStr">
        <is>
          <t>P10</t>
        </is>
      </c>
      <c r="B25" s="5" t="inlineStr">
        <is>
          <t>P10 · AI Layer &amp; Integration Hub (HR additions)</t>
        </is>
      </c>
      <c r="C25" t="inlineStr">
        <is>
          <t>6+</t>
        </is>
      </c>
      <c r="D25" t="n">
        <v>27</v>
      </c>
      <c r="E25">
        <f>COUNTIFS(Rules!$B$2:$B$982,$A25,Rules!$H$2:$H$982,"Built +*")</f>
        <v/>
      </c>
      <c r="F25">
        <f>COUNTIFS(Rules!$B$2:$B$982,$A25,Rules!$H$2:$H$982,"Built,*")</f>
        <v/>
      </c>
      <c r="G25">
        <f>COUNTIFS(Rules!$B$2:$B$982,$A25,Rules!$H$2:$H$982,"Verify*")</f>
        <v/>
      </c>
      <c r="H25">
        <f>COUNTIFS(Rules!$B$2:$B$982,$A25,Rules!$H$2:$H$982,"Not started*")</f>
        <v/>
      </c>
      <c r="I25" s="6">
        <f>IF(D25=0,"",E25/D25)</f>
        <v/>
      </c>
      <c r="J25" s="5" t="inlineStr"/>
      <c r="K25" s="5" t="inlineStr">
        <is>
          <t>✅ Decided, 25 Sep 2026. All 8 questions answered (§11). Extended 26 Sep 2026 (gap-register user decision): AI governance (B13, §A4), Slack / Teams apps (B9), external-ATS connectors (B6), earned wage access (B10), QuickBooks / Busy / Marg, mailbox sync, Aadhaar eKYC / DigiLocker (C6); §11 rows B13 /</t>
        </is>
      </c>
      <c r="L25" t="inlineStr">
        <is>
          <t>P10-ai-layer-integration-hub.md</t>
        </is>
      </c>
    </row>
    <row r="26">
      <c r="A26" t="inlineStr">
        <is>
          <t>P11</t>
        </is>
      </c>
      <c r="B26" s="5" t="inlineStr">
        <is>
          <t>P11 · API-First (Headless) Architecture</t>
        </is>
      </c>
      <c r="C26" t="inlineStr">
        <is>
          <t>6+</t>
        </is>
      </c>
      <c r="D26" t="n">
        <v>16</v>
      </c>
      <c r="E26">
        <f>COUNTIFS(Rules!$B$2:$B$982,$A26,Rules!$H$2:$H$982,"Built +*")</f>
        <v/>
      </c>
      <c r="F26">
        <f>COUNTIFS(Rules!$B$2:$B$982,$A26,Rules!$H$2:$H$982,"Built,*")</f>
        <v/>
      </c>
      <c r="G26">
        <f>COUNTIFS(Rules!$B$2:$B$982,$A26,Rules!$H$2:$H$982,"Verify*")</f>
        <v/>
      </c>
      <c r="H26">
        <f>COUNTIFS(Rules!$B$2:$B$982,$A26,Rules!$H$2:$H$982,"Not started*")</f>
        <v/>
      </c>
      <c r="I26" s="6">
        <f>IF(D26=0,"",E26/D26)</f>
        <v/>
      </c>
      <c r="J26" s="5" t="inlineStr">
        <is>
          <t>the conventions start in wave 1. Every module after that ships with its API. The public developer portal opens with the pilot in wave 3.</t>
        </is>
      </c>
      <c r="K26" s="5" t="inlineStr">
        <is>
          <t>✅ Decided (8/8), 25 Sep 2026 — TR1 (Salesforce-style extensibility) open for team review. Extended 26 Sep 2026 (gap-register user decision): custom-object APIs cross-reference to P18 (B20), YX-API-16, §11 row B20.</t>
        </is>
      </c>
      <c r="L26" t="inlineStr">
        <is>
          <t>P11-api-first-headless.md</t>
        </is>
      </c>
    </row>
    <row r="27">
      <c r="A27" t="inlineStr">
        <is>
          <t>P12</t>
        </is>
      </c>
      <c r="B27" s="5" t="inlineStr">
        <is>
          <t>P12 · Identity, Authentication &amp; Security Programme</t>
        </is>
      </c>
      <c r="C27" t="inlineStr">
        <is>
          <t>1</t>
        </is>
      </c>
      <c r="D27" t="n">
        <v>23</v>
      </c>
      <c r="E27">
        <f>COUNTIFS(Rules!$B$2:$B$982,$A27,Rules!$H$2:$H$982,"Built +*")</f>
        <v/>
      </c>
      <c r="F27">
        <f>COUNTIFS(Rules!$B$2:$B$982,$A27,Rules!$H$2:$H$982,"Built,*")</f>
        <v/>
      </c>
      <c r="G27">
        <f>COUNTIFS(Rules!$B$2:$B$982,$A27,Rules!$H$2:$H$982,"Verify*")</f>
        <v/>
      </c>
      <c r="H27">
        <f>COUNTIFS(Rules!$B$2:$B$982,$A27,Rules!$H$2:$H$982,"Not started*")</f>
        <v/>
      </c>
      <c r="I27" s="6">
        <f>IF(D27=0,"",E27/D27)</f>
        <v/>
      </c>
      <c r="J27" s="5" t="inlineStr">
        <is>
          <t>identity core in wave 1. Security programme milestones are tied to the pilot (wave 3) and public launch.</t>
        </is>
      </c>
      <c r="K27" s="5" t="inlineStr">
        <is>
          <t>✅ Decided (8/8), 26 Sep 2026. Corrected 28 Sep 2026 (validation pass 3, C3): log retention at least 1 year (DPDP Rules 2025) and DPDP breach clocks; Q6 amended, YX-SECOPS-07 updated. Validation pass 3 Shoulds added 28 Sep 2026 (§8b).</t>
        </is>
      </c>
      <c r="L27" t="inlineStr">
        <is>
          <t>P12-identity-security.md</t>
        </is>
      </c>
    </row>
    <row r="28">
      <c r="A28" t="inlineStr">
        <is>
          <t>P13</t>
        </is>
      </c>
      <c r="B28" s="5" t="inlineStr">
        <is>
          <t>P13 · Infrastructure &amp; Operations — brief for the engineering team</t>
        </is>
      </c>
      <c r="C28" t="inlineStr">
        <is>
          <t>6+</t>
        </is>
      </c>
      <c r="D28" t="n">
        <v>0</v>
      </c>
      <c r="E28">
        <f>COUNTIFS(Rules!$B$2:$B$982,$A28,Rules!$H$2:$H$982,"Built +*")</f>
        <v/>
      </c>
      <c r="F28">
        <f>COUNTIFS(Rules!$B$2:$B$982,$A28,Rules!$H$2:$H$982,"Built,*")</f>
        <v/>
      </c>
      <c r="G28">
        <f>COUNTIFS(Rules!$B$2:$B$982,$A28,Rules!$H$2:$H$982,"Verify*")</f>
        <v/>
      </c>
      <c r="H28">
        <f>COUNTIFS(Rules!$B$2:$B$982,$A28,Rules!$H$2:$H$982,"Not started*")</f>
        <v/>
      </c>
      <c r="I28" s="6">
        <f>IF(D28=0,"",E28/D28)</f>
        <v/>
      </c>
      <c r="J28" s="5" t="inlineStr"/>
      <c r="K28" s="5" t="inlineStr">
        <is>
          <t>⏸ Parked for the engineering team (26 Sep 2026). The founder asked for this doc to be decided by the team, not in the product design sessions.</t>
        </is>
      </c>
      <c r="L28" t="inlineStr">
        <is>
          <t>P13-infrastructure-operations-TEAM-BRIEF.md</t>
        </is>
      </c>
    </row>
    <row r="29">
      <c r="A29" t="inlineStr">
        <is>
          <t>P14</t>
        </is>
      </c>
      <c r="B29" s="5" t="inlineStr">
        <is>
          <t>P14 · Billing, Tenant Lifecycle &amp; Platform Console</t>
        </is>
      </c>
      <c r="C29" t="inlineStr">
        <is>
          <t>3</t>
        </is>
      </c>
      <c r="D29" t="n">
        <v>38</v>
      </c>
      <c r="E29">
        <f>COUNTIFS(Rules!$B$2:$B$982,$A29,Rules!$H$2:$H$982,"Built +*")</f>
        <v/>
      </c>
      <c r="F29">
        <f>COUNTIFS(Rules!$B$2:$B$982,$A29,Rules!$H$2:$H$982,"Built,*")</f>
        <v/>
      </c>
      <c r="G29">
        <f>COUNTIFS(Rules!$B$2:$B$982,$A29,Rules!$H$2:$H$982,"Verify*")</f>
        <v/>
      </c>
      <c r="H29">
        <f>COUNTIFS(Rules!$B$2:$B$982,$A29,Rules!$H$2:$H$982,"Not started*")</f>
        <v/>
      </c>
      <c r="I29" s="6">
        <f>IF(D29=0,"",E29/D29)</f>
        <v/>
      </c>
      <c r="J29" s="5" t="inlineStr">
        <is>
          <t>billing core and tenant lifecycle before the wave-3 paid pilot. Self-serve sign-up and trial before public launch.</t>
        </is>
      </c>
      <c r="K29" s="5" t="inlineStr">
        <is>
          <t>✅ Decided (8/8), 26 Sep 2026. Extended 26 Sep 2026 (gap register, user decision): customer-success tooling (GAP C8: health score, in-app messages to tenant admins, churn-risk alerts; §3, YX-CONSOLE-05/06, flow 6) and new partner add-ons in the catalogue (earned wage access B10, compensation benchmar</t>
        </is>
      </c>
      <c r="L29" t="inlineStr">
        <is>
          <t>P14-billing-tenant-lifecycle.md</t>
        </is>
      </c>
    </row>
    <row r="30">
      <c r="A30" t="inlineStr">
        <is>
          <t>P15</t>
        </is>
      </c>
      <c r="B30" s="5" t="inlineStr">
        <is>
          <t>P15 · Migration, Implementation &amp; Sandbox</t>
        </is>
      </c>
      <c r="C30" t="inlineStr">
        <is>
          <t>6+</t>
        </is>
      </c>
      <c r="D30" t="n">
        <v>15</v>
      </c>
      <c r="E30">
        <f>COUNTIFS(Rules!$B$2:$B$982,$A30,Rules!$H$2:$H$982,"Built +*")</f>
        <v/>
      </c>
      <c r="F30">
        <f>COUNTIFS(Rules!$B$2:$B$982,$A30,Rules!$H$2:$H$982,"Built,*")</f>
        <v/>
      </c>
      <c r="G30">
        <f>COUNTIFS(Rules!$B$2:$B$982,$A30,Rules!$H$2:$H$982,"Verify*")</f>
        <v/>
      </c>
      <c r="H30">
        <f>COUNTIFS(Rules!$B$2:$B$982,$A30,Rules!$H$2:$H$982,"Not started*")</f>
        <v/>
      </c>
      <c r="I30" s="6">
        <f>IF(D30=0,"",E30/D30)</f>
        <v/>
      </c>
      <c r="J30" s="5" t="inlineStr"/>
      <c r="K30" s="5" t="inlineStr">
        <is>
          <t xml:space="preserve">✅ Decided (6/6), 26 Sep 2026. Market analysis addition (G11, 26 Sep 2026): mappers for Freshteam, OrangeHRM, Horilla and a generic ATS CSV, plus a "Freshteam switch kit" page (YX-MIG-14; §11 G11). Validation pass 3 Must J3, 28 Sep 2026: month-wise as-paid pay lines per component for the current tax </t>
        </is>
      </c>
      <c r="L30" t="inlineStr">
        <is>
          <t>P15-migration-implementation-sandbox.md</t>
        </is>
      </c>
    </row>
    <row r="31">
      <c r="A31" t="inlineStr">
        <is>
          <t>P16</t>
        </is>
      </c>
      <c r="B31" s="5" t="inlineStr">
        <is>
          <t>P16 · Partner &amp; Accountant Console</t>
        </is>
      </c>
      <c r="C31" t="inlineStr">
        <is>
          <t>6+</t>
        </is>
      </c>
      <c r="D31" t="n">
        <v>14</v>
      </c>
      <c r="E31">
        <f>COUNTIFS(Rules!$B$2:$B$982,$A31,Rules!$H$2:$H$982,"Built +*")</f>
        <v/>
      </c>
      <c r="F31">
        <f>COUNTIFS(Rules!$B$2:$B$982,$A31,Rules!$H$2:$H$982,"Built,*")</f>
        <v/>
      </c>
      <c r="G31">
        <f>COUNTIFS(Rules!$B$2:$B$982,$A31,Rules!$H$2:$H$982,"Verify*")</f>
        <v/>
      </c>
      <c r="H31">
        <f>COUNTIFS(Rules!$B$2:$B$982,$A31,Rules!$H$2:$H$982,"Not started*")</f>
        <v/>
      </c>
      <c r="I31" s="6">
        <f>IF(D31=0,"",E31/D31)</f>
        <v/>
      </c>
      <c r="J31" s="5" t="inlineStr"/>
      <c r="K31" s="5" t="inlineStr">
        <is>
          <t>✅ Decided (6/6), 26 Sep 2026. Q5 and Q6 are decided by principle (D15 / D17).</t>
        </is>
      </c>
      <c r="L31" t="inlineStr">
        <is>
          <t>P16-partner-accountant-console.md</t>
        </is>
      </c>
    </row>
    <row r="32">
      <c r="A32" t="inlineStr">
        <is>
          <t>P17</t>
        </is>
      </c>
      <c r="B32" s="5" t="inlineStr">
        <is>
          <t>P17 · Global Search &amp; Command Palette</t>
        </is>
      </c>
      <c r="C32" t="inlineStr">
        <is>
          <t>6+</t>
        </is>
      </c>
      <c r="D32" t="n">
        <v>12</v>
      </c>
      <c r="E32">
        <f>COUNTIFS(Rules!$B$2:$B$982,$A32,Rules!$H$2:$H$982,"Built +*")</f>
        <v/>
      </c>
      <c r="F32">
        <f>COUNTIFS(Rules!$B$2:$B$982,$A32,Rules!$H$2:$H$982,"Built,*")</f>
        <v/>
      </c>
      <c r="G32">
        <f>COUNTIFS(Rules!$B$2:$B$982,$A32,Rules!$H$2:$H$982,"Verify*")</f>
        <v/>
      </c>
      <c r="H32">
        <f>COUNTIFS(Rules!$B$2:$B$982,$A32,Rules!$H$2:$H$982,"Not started*")</f>
        <v/>
      </c>
      <c r="I32" s="6">
        <f>IF(D32=0,"",E32/D32)</f>
        <v/>
      </c>
      <c r="J32" s="5" t="inlineStr">
        <is>
          <t>wave 2 (records and actions for the modules live by then); every later module registers its sources in its own wave.</t>
        </is>
      </c>
      <c r="K32" s="5" t="inlineStr">
        <is>
          <t>✅ Decided (by principle), 26 Sep 2026. The 3 questions (§10) were decided by spec principles D17 / D18 and the user decision of 26 Sep 2026 (all B items included, recommended options adopted); see §11.</t>
        </is>
      </c>
      <c r="L32" t="inlineStr">
        <is>
          <t>P17-global-search.md</t>
        </is>
      </c>
    </row>
    <row r="33">
      <c r="A33" t="inlineStr">
        <is>
          <t>P18</t>
        </is>
      </c>
      <c r="B33" s="5" t="inlineStr">
        <is>
          <t>P18 · Custom Objects, Form &amp; Page-Layout Builder</t>
        </is>
      </c>
      <c r="C33" t="inlineStr">
        <is>
          <t>6+</t>
        </is>
      </c>
      <c r="D33" t="n">
        <v>11</v>
      </c>
      <c r="E33">
        <f>COUNTIFS(Rules!$B$2:$B$982,$A33,Rules!$H$2:$H$982,"Built +*")</f>
        <v/>
      </c>
      <c r="F33">
        <f>COUNTIFS(Rules!$B$2:$B$982,$A33,Rules!$H$2:$H$982,"Built,*")</f>
        <v/>
      </c>
      <c r="G33">
        <f>COUNTIFS(Rules!$B$2:$B$982,$A33,Rules!$H$2:$H$982,"Verify*")</f>
        <v/>
      </c>
      <c r="H33">
        <f>COUNTIFS(Rules!$B$2:$B$982,$A33,Rules!$H$2:$H$982,"Not started*")</f>
        <v/>
      </c>
      <c r="I33" s="6">
        <f>IF(D33=0,"",E33/D33)</f>
        <v/>
      </c>
      <c r="J33" s="5" t="inlineStr">
        <is>
          <t>wave 6. Custom *fields* on core entities (P01) remain wave 1; P18 adds objects, layouts and builders on top.</t>
        </is>
      </c>
      <c r="K33" s="5" t="inlineStr">
        <is>
          <t>✅ Decided (by principle), 26 Sep 2026. The 4 questions (§10) were decided by spec principles D17 / D18 and the user decision of 26 Sep 2026 (B20 designed now, built in wave 6; recommended options adopted); see §11.</t>
        </is>
      </c>
      <c r="L33" t="inlineStr">
        <is>
          <t>P18-custom-objects-form-builder.md</t>
        </is>
      </c>
    </row>
    <row r="34">
      <c r="A34" t="inlineStr">
        <is>
          <t>P19</t>
        </is>
      </c>
      <c r="B34" s="5" t="inlineStr">
        <is>
          <t>P19 · Policy Rule Builder</t>
        </is>
      </c>
      <c r="C34" t="inlineStr">
        <is>
          <t>6+</t>
        </is>
      </c>
      <c r="D34" t="n">
        <v>14</v>
      </c>
      <c r="E34">
        <f>COUNTIFS(Rules!$B$2:$B$982,$A34,Rules!$H$2:$H$982,"Built +*")</f>
        <v/>
      </c>
      <c r="F34">
        <f>COUNTIFS(Rules!$B$2:$B$982,$A34,Rules!$H$2:$H$982,"Built,*")</f>
        <v/>
      </c>
      <c r="G34">
        <f>COUNTIFS(Rules!$B$2:$B$982,$A34,Rules!$H$2:$H$982,"Verify*")</f>
        <v/>
      </c>
      <c r="H34">
        <f>COUNTIFS(Rules!$B$2:$B$982,$A34,Rules!$H$2:$H$982,"Not started*")</f>
        <v/>
      </c>
      <c r="I34" s="6">
        <f>IF(D34=0,"",E34/D34)</f>
        <v/>
      </c>
      <c r="J34" s="5" t="inlineStr"/>
      <c r="K34" s="5" t="inlineStr">
        <is>
          <t>✅ Decided (6/6), 26 Sep 2026. Q4–Q6 are decided by principle (D17 / D18 / P06).</t>
        </is>
      </c>
      <c r="L34" t="inlineStr">
        <is>
          <t>P19-policy-rule-builder.md</t>
        </is>
      </c>
    </row>
    <row r="35">
      <c r="A35" t="inlineStr">
        <is>
          <t>P20</t>
        </is>
      </c>
      <c r="B35" s="5" t="inlineStr">
        <is>
          <t>P20 · Growth, Trial &amp; Customer Operations</t>
        </is>
      </c>
      <c r="C35" t="inlineStr">
        <is>
          <t>3</t>
        </is>
      </c>
      <c r="D35" t="n">
        <v>17</v>
      </c>
      <c r="E35">
        <f>COUNTIFS(Rules!$B$2:$B$982,$A35,Rules!$H$2:$H$982,"Built +*")</f>
        <v/>
      </c>
      <c r="F35">
        <f>COUNTIFS(Rules!$B$2:$B$982,$A35,Rules!$H$2:$H$982,"Built,*")</f>
        <v/>
      </c>
      <c r="G35">
        <f>COUNTIFS(Rules!$B$2:$B$982,$A35,Rules!$H$2:$H$982,"Verify*")</f>
        <v/>
      </c>
      <c r="H35">
        <f>COUNTIFS(Rules!$B$2:$B$982,$A35,Rules!$H$2:$H$982,"Not started*")</f>
        <v/>
      </c>
      <c r="I35" s="6">
        <f>IF(D35=0,"",E35/D35)</f>
        <v/>
      </c>
      <c r="J35" s="5" t="inlineStr"/>
      <c r="K35" s="5" t="inlineStr">
        <is>
          <t>✅ Decided (5/5), 28 Sep 2026 (founder decisions on validation pass 3 Musts S1, S2, S3, S10, S11). Validation pass 3 Shoulds added 28 Sep 2026 (§8b).</t>
        </is>
      </c>
      <c r="L35" t="inlineStr">
        <is>
          <t>P20-growth-trial-customer-operations.md</t>
        </is>
      </c>
    </row>
    <row r="36">
      <c r="A36" t="inlineStr">
        <is>
          <t>P21</t>
        </is>
      </c>
      <c r="B36" s="5" t="inlineStr">
        <is>
          <t>P21 · Global Readiness</t>
        </is>
      </c>
      <c r="C36" t="inlineStr">
        <is>
          <t>6+</t>
        </is>
      </c>
      <c r="D36" t="n">
        <v>16</v>
      </c>
      <c r="E36">
        <f>COUNTIFS(Rules!$B$2:$B$982,$A36,Rules!$H$2:$H$982,"Built +*")</f>
        <v/>
      </c>
      <c r="F36">
        <f>COUNTIFS(Rules!$B$2:$B$982,$A36,Rules!$H$2:$H$982,"Built,*")</f>
        <v/>
      </c>
      <c r="G36">
        <f>COUNTIFS(Rules!$B$2:$B$982,$A36,Rules!$H$2:$H$982,"Verify*")</f>
        <v/>
      </c>
      <c r="H36">
        <f>COUNTIFS(Rules!$B$2:$B$982,$A36,Rules!$H$2:$H$982,"Not started*")</f>
        <v/>
      </c>
      <c r="I36" s="6">
        <f>IF(D36=0,"",E36/D36)</f>
        <v/>
      </c>
      <c r="J36" s="5" t="inlineStr"/>
      <c r="K36" s="5" t="inlineStr">
        <is>
          <t>✅ Decided by founder 28 Sep 2026: design now, build before the first customer in each region (validation pass 3 Shoulds, "Global prerequisites", option A).</t>
        </is>
      </c>
      <c r="L36" t="inlineStr">
        <is>
          <t>P21-global-readiness.md</t>
        </is>
      </c>
    </row>
    <row r="37">
      <c r="A37" t="inlineStr">
        <is>
          <t>P22</t>
        </is>
      </c>
      <c r="B37" s="5" t="inlineStr">
        <is>
          <t>P22 · Workflow Studio &amp; AI Assistant</t>
        </is>
      </c>
      <c r="C37" t="inlineStr">
        <is>
          <t>6+</t>
        </is>
      </c>
      <c r="D37" t="n">
        <v>20</v>
      </c>
      <c r="E37">
        <f>COUNTIFS(Rules!$B$2:$B$982,$A37,Rules!$H$2:$H$982,"Built +*")</f>
        <v/>
      </c>
      <c r="F37">
        <f>COUNTIFS(Rules!$B$2:$B$982,$A37,Rules!$H$2:$H$982,"Built,*")</f>
        <v/>
      </c>
      <c r="G37">
        <f>COUNTIFS(Rules!$B$2:$B$982,$A37,Rules!$H$2:$H$982,"Verify*")</f>
        <v/>
      </c>
      <c r="H37">
        <f>COUNTIFS(Rules!$B$2:$B$982,$A37,Rules!$H$2:$H$982,"Not started*")</f>
        <v/>
      </c>
      <c r="I37" s="6">
        <f>IF(D37=0,"",E37/D37)</f>
        <v/>
      </c>
      <c r="J37" s="5" t="inlineStr"/>
      <c r="K37" s="5" t="inlineStr">
        <is>
          <t>✅ Decided (founder decisions 1–3), 28 Sep 2026.</t>
        </is>
      </c>
      <c r="L37" t="inlineStr">
        <is>
          <t>P22-workflow-studio-ai-assistant.md</t>
        </is>
      </c>
    </row>
    <row r="38">
      <c r="A38" t="inlineStr">
        <is>
          <t>P23</t>
        </is>
      </c>
      <c r="B38" s="5" t="inlineStr">
        <is>
          <t>P23 · Employee &amp; Manager Assistants and Marketplaces</t>
        </is>
      </c>
      <c r="C38" t="inlineStr">
        <is>
          <t>6+</t>
        </is>
      </c>
      <c r="D38" t="n">
        <v>19</v>
      </c>
      <c r="E38">
        <f>COUNTIFS(Rules!$B$2:$B$982,$A38,Rules!$H$2:$H$982,"Built +*")</f>
        <v/>
      </c>
      <c r="F38">
        <f>COUNTIFS(Rules!$B$2:$B$982,$A38,Rules!$H$2:$H$982,"Built,*")</f>
        <v/>
      </c>
      <c r="G38">
        <f>COUNTIFS(Rules!$B$2:$B$982,$A38,Rules!$H$2:$H$982,"Verify*")</f>
        <v/>
      </c>
      <c r="H38">
        <f>COUNTIFS(Rules!$B$2:$B$982,$A38,Rules!$H$2:$H$982,"Not started*")</f>
        <v/>
      </c>
      <c r="I38" s="6">
        <f>IF(D38=0,"",E38/D38)</f>
        <v/>
      </c>
      <c r="J38" s="5" t="inlineStr"/>
      <c r="K38" s="5" t="inlineStr">
        <is>
          <t>✅ Decided (founder selected these 9 features), 28 Sep 2026.</t>
        </is>
      </c>
      <c r="L38" t="inlineStr">
        <is>
          <t>P23-employee-manager-assistants-marketplaces.md</t>
        </is>
      </c>
    </row>
    <row r="39">
      <c r="A39" t="inlineStr">
        <is>
          <t>T01</t>
        </is>
      </c>
      <c r="B39" s="5" t="inlineStr">
        <is>
          <t>T01 · Question Bank &amp; Content</t>
        </is>
      </c>
      <c r="C39" t="inlineStr">
        <is>
          <t>6+</t>
        </is>
      </c>
      <c r="D39" t="n">
        <v>17</v>
      </c>
      <c r="E39">
        <f>COUNTIFS(Rules!$B$2:$B$982,$A39,Rules!$H$2:$H$982,"Built +*")</f>
        <v/>
      </c>
      <c r="F39">
        <f>COUNTIFS(Rules!$B$2:$B$982,$A39,Rules!$H$2:$H$982,"Built,*")</f>
        <v/>
      </c>
      <c r="G39">
        <f>COUNTIFS(Rules!$B$2:$B$982,$A39,Rules!$H$2:$H$982,"Verify*")</f>
        <v/>
      </c>
      <c r="H39">
        <f>COUNTIFS(Rules!$B$2:$B$982,$A39,Rules!$H$2:$H$982,"Not started*")</f>
        <v/>
      </c>
      <c r="I39" s="6">
        <f>IF(D39=0,"",E39/D39)</f>
        <v/>
      </c>
      <c r="J39" s="5" t="inlineStr"/>
      <c r="K39" s="5" t="inlineStr">
        <is>
          <t>✅ Decided (8/8), 25 Sep 2026. Extended 26 Sep 2026 with GAP-REGISTER B4 (job-role profiles for starter tests / JD assembly) and B14 (language proficiency and typing item types) — see §3 "Gap-register extensions" and §11.</t>
        </is>
      </c>
      <c r="L39" t="inlineStr">
        <is>
          <t>T01-question-bank.md</t>
        </is>
      </c>
    </row>
    <row r="40">
      <c r="A40" t="inlineStr">
        <is>
          <t>T02</t>
        </is>
      </c>
      <c r="B40" s="5" t="inlineStr">
        <is>
          <t>T02 · Test Builder, Adaptive Testing &amp; Psychometrics</t>
        </is>
      </c>
      <c r="C40" t="inlineStr">
        <is>
          <t>6+</t>
        </is>
      </c>
      <c r="D40" t="n">
        <v>19</v>
      </c>
      <c r="E40">
        <f>COUNTIFS(Rules!$B$2:$B$982,$A40,Rules!$H$2:$H$982,"Built +*")</f>
        <v/>
      </c>
      <c r="F40">
        <f>COUNTIFS(Rules!$B$2:$B$982,$A40,Rules!$H$2:$H$982,"Built,*")</f>
        <v/>
      </c>
      <c r="G40">
        <f>COUNTIFS(Rules!$B$2:$B$982,$A40,Rules!$H$2:$H$982,"Verify*")</f>
        <v/>
      </c>
      <c r="H40">
        <f>COUNTIFS(Rules!$B$2:$B$982,$A40,Rules!$H$2:$H$982,"Not started*")</f>
        <v/>
      </c>
      <c r="I40" s="6">
        <f>IF(D40=0,"",E40/D40)</f>
        <v/>
      </c>
      <c r="J40" s="5" t="inlineStr"/>
      <c r="K40" s="5" t="inlineStr">
        <is>
          <t xml:space="preserve">✅ Decided (8/8), 25 Sep 2026. Extended 26 Sep 2026 with GAP-REGISTER B4 (starter tests, JD-based assembly, sectional cut-offs) and B15 (equating across parallel forms, cut-score studies) — see §3 "Gap-register extensions" and §11. Personality / behavioural psychometrics are T06; fairness / validity </t>
        </is>
      </c>
      <c r="L40" t="inlineStr">
        <is>
          <t>T02-test-builder-adaptive.md</t>
        </is>
      </c>
    </row>
    <row r="41">
      <c r="A41" t="inlineStr">
        <is>
          <t>T03</t>
        </is>
      </c>
      <c r="B41" s="5" t="inlineStr">
        <is>
          <t>T03 · Test Delivery: Scheduling, Drives, Continuity &amp; Accessibility</t>
        </is>
      </c>
      <c r="C41" t="inlineStr">
        <is>
          <t>6+</t>
        </is>
      </c>
      <c r="D41" t="n">
        <v>23</v>
      </c>
      <c r="E41">
        <f>COUNTIFS(Rules!$B$2:$B$982,$A41,Rules!$H$2:$H$982,"Built +*")</f>
        <v/>
      </c>
      <c r="F41">
        <f>COUNTIFS(Rules!$B$2:$B$982,$A41,Rules!$H$2:$H$982,"Built,*")</f>
        <v/>
      </c>
      <c r="G41">
        <f>COUNTIFS(Rules!$B$2:$B$982,$A41,Rules!$H$2:$H$982,"Verify*")</f>
        <v/>
      </c>
      <c r="H41">
        <f>COUNTIFS(Rules!$B$2:$B$982,$A41,Rules!$H$2:$H$982,"Not started*")</f>
        <v/>
      </c>
      <c r="I41" s="6">
        <f>IF(D41=0,"",E41/D41)</f>
        <v/>
      </c>
      <c r="J41" s="5" t="inlineStr"/>
      <c r="K41" s="5" t="inlineStr">
        <is>
          <t>✅ Decided (8/8), 25 Sep 2026. Extended 26 Sep 2026 with GAP-REGISTER B7 (campus drive kit, native candidate app) and C5 (test-centre / offline hybrid mode, invigilator app, post-test candidate survey) — see §3 "Gap-register extensions" and §11. These amend Q3 (offline centre mode now in scope) and Q</t>
        </is>
      </c>
      <c r="L41" t="inlineStr">
        <is>
          <t>T03-delivery.md</t>
        </is>
      </c>
    </row>
    <row r="42">
      <c r="A42" t="inlineStr">
        <is>
          <t>T04</t>
        </is>
      </c>
      <c r="B42" s="5" t="inlineStr">
        <is>
          <t>T04 · Proctoring Controls, AI-Assistance Detection &amp; Monitoring</t>
        </is>
      </c>
      <c r="C42" t="inlineStr">
        <is>
          <t>6+</t>
        </is>
      </c>
      <c r="D42" t="n">
        <v>20</v>
      </c>
      <c r="E42">
        <f>COUNTIFS(Rules!$B$2:$B$982,$A42,Rules!$H$2:$H$982,"Built +*")</f>
        <v/>
      </c>
      <c r="F42">
        <f>COUNTIFS(Rules!$B$2:$B$982,$A42,Rules!$H$2:$H$982,"Built,*")</f>
        <v/>
      </c>
      <c r="G42">
        <f>COUNTIFS(Rules!$B$2:$B$982,$A42,Rules!$H$2:$H$982,"Verify*")</f>
        <v/>
      </c>
      <c r="H42">
        <f>COUNTIFS(Rules!$B$2:$B$982,$A42,Rules!$H$2:$H$982,"Not started*")</f>
        <v/>
      </c>
      <c r="I42" s="6">
        <f>IF(D42=0,"",E42/D42)</f>
        <v/>
      </c>
      <c r="J42" s="5" t="inlineStr"/>
      <c r="K42" s="5" t="inlineStr">
        <is>
          <t>✅ Decided (8/8), 25 Sep 2026. Extended 26 Sep 2026 with GAP-REGISTER B5 (object detection, gaze, numeric integrity score) and C5 (keystroke-dynamics signal, AI-allowed test mode) — see §3 "Gap-register extensions" and §11. The session report PDF is in T05; the secure desktop client is T08 (not desig</t>
        </is>
      </c>
      <c r="L42" t="inlineStr">
        <is>
          <t>T04-proctoring-monitoring.md</t>
        </is>
      </c>
    </row>
    <row r="43">
      <c r="A43" t="inlineStr">
        <is>
          <t>T05</t>
        </is>
      </c>
      <c r="B43" s="5" t="inlineStr">
        <is>
          <t>T05 · Integrity, Evaluation &amp; Outcomes</t>
        </is>
      </c>
      <c r="C43" t="inlineStr">
        <is>
          <t>6+</t>
        </is>
      </c>
      <c r="D43" t="n">
        <v>32</v>
      </c>
      <c r="E43">
        <f>COUNTIFS(Rules!$B$2:$B$982,$A43,Rules!$H$2:$H$982,"Built +*")</f>
        <v/>
      </c>
      <c r="F43">
        <f>COUNTIFS(Rules!$B$2:$B$982,$A43,Rules!$H$2:$H$982,"Built,*")</f>
        <v/>
      </c>
      <c r="G43">
        <f>COUNTIFS(Rules!$B$2:$B$982,$A43,Rules!$H$2:$H$982,"Verify*")</f>
        <v/>
      </c>
      <c r="H43">
        <f>COUNTIFS(Rules!$B$2:$B$982,$A43,Rules!$H$2:$H$982,"Not started*")</f>
        <v/>
      </c>
      <c r="I43" s="6">
        <f>IF(D43=0,"",E43/D43)</f>
        <v/>
      </c>
      <c r="J43" s="5" t="inlineStr"/>
      <c r="K43" s="5" t="inlineStr">
        <is>
          <t>✅ Decided (8/8), 25 Sep 2026. Extended 26 Sep 2026 with GAP-REGISTER B5 (session report PDF), B6 (ATS connectors, assessment webhooks), B14 (CEFR and typing scoring), A13 (fairness &amp; validity analytics), B15 (digital badges, LTI 1.3 tool) and C5 (AI-allowed mode scoring) — see §3 "Gap-register exten</t>
        </is>
      </c>
      <c r="L43" t="inlineStr">
        <is>
          <t>T05-integrity-evaluation-outcomes.md</t>
        </is>
      </c>
    </row>
    <row r="44">
      <c r="A44" t="inlineStr">
        <is>
          <t>T06</t>
        </is>
      </c>
      <c r="B44" s="5" t="inlineStr">
        <is>
          <t>T06 · Psychometric &amp; Behavioural Assessments</t>
        </is>
      </c>
      <c r="C44" t="inlineStr">
        <is>
          <t>6+</t>
        </is>
      </c>
      <c r="D44" t="n">
        <v>11</v>
      </c>
      <c r="E44">
        <f>COUNTIFS(Rules!$B$2:$B$982,$A44,Rules!$H$2:$H$982,"Built +*")</f>
        <v/>
      </c>
      <c r="F44">
        <f>COUNTIFS(Rules!$B$2:$B$982,$A44,Rules!$H$2:$H$982,"Built,*")</f>
        <v/>
      </c>
      <c r="G44">
        <f>COUNTIFS(Rules!$B$2:$B$982,$A44,Rules!$H$2:$H$982,"Verify*")</f>
        <v/>
      </c>
      <c r="H44">
        <f>COUNTIFS(Rules!$B$2:$B$982,$A44,Rules!$H$2:$H$982,"Not started*")</f>
        <v/>
      </c>
      <c r="I44" s="6">
        <f>IF(D44=0,"",E44/D44)</f>
        <v/>
      </c>
      <c r="J44" s="5" t="inlineStr"/>
      <c r="K44" s="5" t="inlineStr">
        <is>
          <t>✅ Decided (6/6), 26 Sep 2026.</t>
        </is>
      </c>
      <c r="L44" t="inlineStr">
        <is>
          <t>T06-psychometric-assessments.md</t>
        </is>
      </c>
    </row>
    <row r="45">
      <c r="A45" t="inlineStr">
        <is>
          <t>T07</t>
        </is>
      </c>
      <c r="B45" s="5" t="inlineStr">
        <is>
          <t>T07 · Project-Based Coding &amp; Live Technical Interview</t>
        </is>
      </c>
      <c r="C45" t="inlineStr">
        <is>
          <t>6+</t>
        </is>
      </c>
      <c r="D45" t="n">
        <v>9</v>
      </c>
      <c r="E45">
        <f>COUNTIFS(Rules!$B$2:$B$982,$A45,Rules!$H$2:$H$982,"Built +*")</f>
        <v/>
      </c>
      <c r="F45">
        <f>COUNTIFS(Rules!$B$2:$B$982,$A45,Rules!$H$2:$H$982,"Built,*")</f>
        <v/>
      </c>
      <c r="G45">
        <f>COUNTIFS(Rules!$B$2:$B$982,$A45,Rules!$H$2:$H$982,"Verify*")</f>
        <v/>
      </c>
      <c r="H45">
        <f>COUNTIFS(Rules!$B$2:$B$982,$A45,Rules!$H$2:$H$982,"Not started*")</f>
        <v/>
      </c>
      <c r="I45" s="6">
        <f>IF(D45=0,"",E45/D45)</f>
        <v/>
      </c>
      <c r="J45" s="5" t="inlineStr"/>
      <c r="K45" s="5" t="inlineStr">
        <is>
          <t>✅ Decided (6/6), 26 Sep 2026 — Q3, Q4, Q6 are company choices under D17.</t>
        </is>
      </c>
      <c r="L45" t="inlineStr">
        <is>
          <t>T07-project-coding-live-interview.md</t>
        </is>
      </c>
    </row>
    <row r="46">
      <c r="A46" t="inlineStr">
        <is>
          <t>T08</t>
        </is>
      </c>
      <c r="B46" s="5" t="inlineStr">
        <is>
          <t>T08 · YukthiX Secure Client</t>
        </is>
      </c>
      <c r="C46" t="inlineStr">
        <is>
          <t>6+</t>
        </is>
      </c>
      <c r="D46" t="n">
        <v>9</v>
      </c>
      <c r="E46">
        <f>COUNTIFS(Rules!$B$2:$B$982,$A46,Rules!$H$2:$H$982,"Built +*")</f>
        <v/>
      </c>
      <c r="F46">
        <f>COUNTIFS(Rules!$B$2:$B$982,$A46,Rules!$H$2:$H$982,"Built,*")</f>
        <v/>
      </c>
      <c r="G46">
        <f>COUNTIFS(Rules!$B$2:$B$982,$A46,Rules!$H$2:$H$982,"Verify*")</f>
        <v/>
      </c>
      <c r="H46">
        <f>COUNTIFS(Rules!$B$2:$B$982,$A46,Rules!$H$2:$H$982,"Not started*")</f>
        <v/>
      </c>
      <c r="I46" s="6">
        <f>IF(D46=0,"",E46/D46)</f>
        <v/>
      </c>
      <c r="J46" s="5" t="inlineStr"/>
      <c r="K46" s="5" t="inlineStr">
        <is>
          <t>✅ Decided (5/5), 26 Sep 2026. Q2 and Q4 are company choices under D17.</t>
        </is>
      </c>
      <c r="L46" t="inlineStr">
        <is>
          <t>T08-secure-client.md</t>
        </is>
      </c>
    </row>
    <row r="47">
      <c r="A47" t="inlineStr">
        <is>
          <t>APX-A</t>
        </is>
      </c>
      <c r="B47" s="5" t="inlineStr">
        <is>
          <t>Appendix A · Notification catalogue</t>
        </is>
      </c>
      <c r="C47" t="inlineStr">
        <is>
          <t>6+</t>
        </is>
      </c>
      <c r="D47" t="n">
        <v>0</v>
      </c>
      <c r="E47">
        <f>COUNTIFS(Rules!$B$2:$B$982,$A47,Rules!$H$2:$H$982,"Built +*")</f>
        <v/>
      </c>
      <c r="F47">
        <f>COUNTIFS(Rules!$B$2:$B$982,$A47,Rules!$H$2:$H$982,"Built,*")</f>
        <v/>
      </c>
      <c r="G47">
        <f>COUNTIFS(Rules!$B$2:$B$982,$A47,Rules!$H$2:$H$982,"Verify*")</f>
        <v/>
      </c>
      <c r="H47">
        <f>COUNTIFS(Rules!$B$2:$B$982,$A47,Rules!$H$2:$H$982,"Not started*")</f>
        <v/>
      </c>
      <c r="I47" s="6">
        <f>IF(D47=0,"",E47/D47)</f>
        <v/>
      </c>
      <c r="J47" s="5" t="inlineStr"/>
      <c r="K47" s="5" t="inlineStr">
        <is>
          <t>📋 Draft catalogue, 26 Sep 2026. Closes GAP-REGISTER F1 (notification types), F3 (scheduled events) and the channel-consent part of H6 (WhatsApp / SMS opt-in record). Extended 26 Sep 2026 with the notification types and scheduler rules (SCH-73…79) of the gap-register features, the new category WRK an</t>
        </is>
      </c>
      <c r="L47" t="inlineStr">
        <is>
          <t>APX-A-notifications.md</t>
        </is>
      </c>
    </row>
    <row r="48">
      <c r="A48" t="inlineStr">
        <is>
          <t>APX-B</t>
        </is>
      </c>
      <c r="B48" s="5" t="inlineStr">
        <is>
          <t>Appendix B · Domain event catalogue</t>
        </is>
      </c>
      <c r="C48" t="inlineStr">
        <is>
          <t>6+</t>
        </is>
      </c>
      <c r="D48" t="n">
        <v>0</v>
      </c>
      <c r="E48">
        <f>COUNTIFS(Rules!$B$2:$B$982,$A48,Rules!$H$2:$H$982,"Built +*")</f>
        <v/>
      </c>
      <c r="F48">
        <f>COUNTIFS(Rules!$B$2:$B$982,$A48,Rules!$H$2:$H$982,"Built,*")</f>
        <v/>
      </c>
      <c r="G48">
        <f>COUNTIFS(Rules!$B$2:$B$982,$A48,Rules!$H$2:$H$982,"Verify*")</f>
        <v/>
      </c>
      <c r="H48">
        <f>COUNTIFS(Rules!$B$2:$B$982,$A48,Rules!$H$2:$H$982,"Not started*")</f>
        <v/>
      </c>
      <c r="I48" s="6">
        <f>IF(D48=0,"",E48/D48)</f>
        <v/>
      </c>
      <c r="J48" s="5" t="inlineStr"/>
      <c r="K48" s="5" t="inlineStr">
        <is>
          <t>📋 Draft catalogue, 26 Sep 2026. Closes GAP-REGISTER F2 (event catalogue). Extended 26 Sep 2026 with the events of the gap-register features (M01–M07, M10, M12, M13, P14, P17, P18, T03, T05–T08; §2, §3 #13). P16 follow-up 26 Sep 2026: partner events (§2.27). P19 follow-up 26 Sep 2026: policy rule and</t>
        </is>
      </c>
      <c r="L48" t="inlineStr">
        <is>
          <t>APX-B-events.md</t>
        </is>
      </c>
    </row>
    <row r="49">
      <c r="A49" t="inlineStr">
        <is>
          <t>APX-C</t>
        </is>
      </c>
      <c r="B49" s="5" t="inlineStr">
        <is>
          <t>Appendix C · Report library &amp; metric dictionary extension</t>
        </is>
      </c>
      <c r="C49" t="inlineStr">
        <is>
          <t>6+</t>
        </is>
      </c>
      <c r="D49" t="n">
        <v>0</v>
      </c>
      <c r="E49">
        <f>COUNTIFS(Rules!$B$2:$B$982,$A49,Rules!$H$2:$H$982,"Built +*")</f>
        <v/>
      </c>
      <c r="F49">
        <f>COUNTIFS(Rules!$B$2:$B$982,$A49,Rules!$H$2:$H$982,"Built,*")</f>
        <v/>
      </c>
      <c r="G49">
        <f>COUNTIFS(Rules!$B$2:$B$982,$A49,Rules!$H$2:$H$982,"Verify*")</f>
        <v/>
      </c>
      <c r="H49">
        <f>COUNTIFS(Rules!$B$2:$B$982,$A49,Rules!$H$2:$H$982,"Not started*")</f>
        <v/>
      </c>
      <c r="I49" s="6">
        <f>IF(D49=0,"",E49/D49)</f>
        <v/>
      </c>
      <c r="J49" s="5" t="inlineStr"/>
      <c r="K49" s="5" t="inlineStr">
        <is>
          <t>✅ Catalogue, 26 Sep 2026 (consistency fix; no new decisions). Closes GAP-REGISTER F4 and H2–H5; H1 is closed by the recruiting_costs table (M10 §4) and the test cost setting (T02 §4). P19 follow-up 26 Sep 2026: reports RPT-SYS-13…15 (policy rules and automations). Corrected 28 Sep 2026 (validation p</t>
        </is>
      </c>
      <c r="L49" t="inlineStr">
        <is>
          <t>APX-C-reports-metrics.md</t>
        </is>
      </c>
    </row>
    <row r="50">
      <c r="A50" t="inlineStr">
        <is>
          <t>APX-D</t>
        </is>
      </c>
      <c r="B50" s="5" t="inlineStr">
        <is>
          <t>Appendix D · Screen inventory, navigation, Settings map &amp; U-issue closure</t>
        </is>
      </c>
      <c r="C50" t="inlineStr">
        <is>
          <t>6+</t>
        </is>
      </c>
      <c r="D50" t="n">
        <v>0</v>
      </c>
      <c r="E50">
        <f>COUNTIFS(Rules!$B$2:$B$982,$A50,Rules!$H$2:$H$982,"Built +*")</f>
        <v/>
      </c>
      <c r="F50">
        <f>COUNTIFS(Rules!$B$2:$B$982,$A50,Rules!$H$2:$H$982,"Built,*")</f>
        <v/>
      </c>
      <c r="G50">
        <f>COUNTIFS(Rules!$B$2:$B$982,$A50,Rules!$H$2:$H$982,"Verify*")</f>
        <v/>
      </c>
      <c r="H50">
        <f>COUNTIFS(Rules!$B$2:$B$982,$A50,Rules!$H$2:$H$982,"Not started*")</f>
        <v/>
      </c>
      <c r="I50" s="6">
        <f>IF(D50=0,"",E50/D50)</f>
        <v/>
      </c>
      <c r="J50" s="5" t="inlineStr"/>
      <c r="K50" s="5" t="inlineStr">
        <is>
          <t xml:space="preserve">Catalogue, 26 Sep 2026. Closes GAP-REGISTER F5 (screen inventory &amp; navigation), F6 (U-issue closure) and H7 (help &amp; onboarding UX); gives D17 its home ("every policy needs an editor"). Extended 26 Sep 2026 (gap register, user decision): screens for M12, M13, P17, P18 and the new B / C features (§1, </t>
        </is>
      </c>
      <c r="L50" t="inlineStr">
        <is>
          <t>APX-D-screens-navigation.md</t>
        </is>
      </c>
    </row>
    <row r="51">
      <c r="A51" t="inlineStr">
        <is>
          <t>APX-E</t>
        </is>
      </c>
      <c r="B51" s="5" t="inlineStr">
        <is>
          <t>Appendix E · Setup hub, go-live readiness &amp; admin editors</t>
        </is>
      </c>
      <c r="C51" t="inlineStr">
        <is>
          <t>6+</t>
        </is>
      </c>
      <c r="D51" t="n">
        <v>3</v>
      </c>
      <c r="E51">
        <f>COUNTIFS(Rules!$B$2:$B$982,$A51,Rules!$H$2:$H$982,"Built +*")</f>
        <v/>
      </c>
      <c r="F51">
        <f>COUNTIFS(Rules!$B$2:$B$982,$A51,Rules!$H$2:$H$982,"Built,*")</f>
        <v/>
      </c>
      <c r="G51">
        <f>COUNTIFS(Rules!$B$2:$B$982,$A51,Rules!$H$2:$H$982,"Verify*")</f>
        <v/>
      </c>
      <c r="H51">
        <f>COUNTIFS(Rules!$B$2:$B$982,$A51,Rules!$H$2:$H$982,"Not started*")</f>
        <v/>
      </c>
      <c r="I51" s="6">
        <f>IF(D51=0,"",E51/D51)</f>
        <v/>
      </c>
      <c r="J51" s="5" t="inlineStr"/>
      <c r="K51" s="5" t="inlineStr">
        <is>
          <t>📋 Catalogue defined, 26 Sep 2026. Closes GAP-REGISTER G1–G6; summarises G7 (detail in T05 YX-EVAL-15). P19 follow-up 26 Sep 2026: readiness check "starter rules reviewed" and editors #177–181 (§3.9). Validation pass 3 Must (S3), founder decision 28 Sep 2026: a quick start lane per product (§1.6) bes</t>
        </is>
      </c>
      <c r="L51" t="inlineStr">
        <is>
          <t>APX-E-setup-admin.md</t>
        </is>
      </c>
    </row>
    <row r="52">
      <c r="A52" t="inlineStr">
        <is>
          <t>APX-F</t>
        </is>
      </c>
      <c r="B52" s="5" t="inlineStr">
        <is>
          <t>Appendix F · Letter, document &amp; message template library</t>
        </is>
      </c>
      <c r="C52" t="inlineStr">
        <is>
          <t>6+</t>
        </is>
      </c>
      <c r="D52" t="n">
        <v>3</v>
      </c>
      <c r="E52">
        <f>COUNTIFS(Rules!$B$2:$B$982,$A52,Rules!$H$2:$H$982,"Built +*")</f>
        <v/>
      </c>
      <c r="F52">
        <f>COUNTIFS(Rules!$B$2:$B$982,$A52,Rules!$H$2:$H$982,"Built,*")</f>
        <v/>
      </c>
      <c r="G52">
        <f>COUNTIFS(Rules!$B$2:$B$982,$A52,Rules!$H$2:$H$982,"Verify*")</f>
        <v/>
      </c>
      <c r="H52">
        <f>COUNTIFS(Rules!$B$2:$B$982,$A52,Rules!$H$2:$H$982,"Not started*")</f>
        <v/>
      </c>
      <c r="I52" s="6">
        <f>IF(D52=0,"",E52/D52)</f>
        <v/>
      </c>
      <c r="J52" s="5" t="inlineStr"/>
      <c r="K52" s="5" t="inlineStr">
        <is>
          <t>📋 Catalogue defined, 26 Sep 2026. Closes GAP-REGISTER F7; also covers the payslip layout (F6 / U33), the ID card (C1), the admit card (B7, placeholder), Form 131 (was Form 16A) and the consultant payment advice (A8), and register formats and the inspection pack (A9). Extended 26 Sep 2026 (gap regist</t>
        </is>
      </c>
      <c r="L52" t="inlineStr">
        <is>
          <t>APX-F-templates.md</t>
        </is>
      </c>
    </row>
    <row r="53">
      <c r="A53" t="inlineStr">
        <is>
          <t>APX-G</t>
        </is>
      </c>
      <c r="B53" s="5" t="inlineStr">
        <is>
          <t>Appendix G · Legal &amp; trust artefacts</t>
        </is>
      </c>
      <c r="C53" t="inlineStr">
        <is>
          <t>6+</t>
        </is>
      </c>
      <c r="D53" t="n">
        <v>0</v>
      </c>
      <c r="E53">
        <f>COUNTIFS(Rules!$B$2:$B$982,$A53,Rules!$H$2:$H$982,"Built +*")</f>
        <v/>
      </c>
      <c r="F53">
        <f>COUNTIFS(Rules!$B$2:$B$982,$A53,Rules!$H$2:$H$982,"Built,*")</f>
        <v/>
      </c>
      <c r="G53">
        <f>COUNTIFS(Rules!$B$2:$B$982,$A53,Rules!$H$2:$H$982,"Verify*")</f>
        <v/>
      </c>
      <c r="H53">
        <f>COUNTIFS(Rules!$B$2:$B$982,$A53,Rules!$H$2:$H$982,"Not started*")</f>
        <v/>
      </c>
      <c r="I53" s="6">
        <f>IF(D53=0,"",E53/D53)</f>
        <v/>
      </c>
      <c r="J53" s="5" t="inlineStr"/>
      <c r="K53" s="5" t="inlineStr">
        <is>
          <t>📋 Catalogue defined, 26 Sep 2026. Closes GAP-REGISTER H6. Feeds A2 (security programme, future P12) and B12 (DPDP / GDPR programme extras). Extended 26 Sep 2026 (gap register, user decision): eight artefacts for the new B / C features (G-24–G-31: EWA partner terms, field-force location consent, desk</t>
        </is>
      </c>
      <c r="L53" t="inlineStr">
        <is>
          <t>APX-G-legal-artefacts.md</t>
        </is>
      </c>
    </row>
  </sheetData>
  <autoFilter ref="A1:M53"/>
  <pageMargins left="0.75" right="0.75" top="1" bottom="1" header="0.5" footer="0.5"/>
</worksheet>
</file>

<file path=xl/worksheets/sheet4.xml><?xml version="1.0" encoding="utf-8"?>
<worksheet xmlns="http://schemas.openxmlformats.org/spreadsheetml/2006/main">
  <sheetPr>
    <outlinePr summaryBelow="1" summaryRight="1"/>
    <pageSetUpPr/>
  </sheetPr>
  <dimension ref="A1:G11"/>
  <sheetViews>
    <sheetView workbookViewId="0">
      <pane xSplit="1" ySplit="1" topLeftCell="B2" activePane="bottomRight" state="frozen"/>
      <selection pane="topRight"/>
      <selection pane="bottomLeft"/>
      <selection pane="bottomRight" activeCell="A1" sqref="A1"/>
    </sheetView>
  </sheetViews>
  <sheetFormatPr baseColWidth="8" defaultRowHeight="15"/>
  <cols>
    <col width="7" customWidth="1" min="1" max="1"/>
    <col width="90" customWidth="1" min="2" max="2"/>
    <col width="22" customWidth="1" min="3" max="3"/>
    <col width="22" customWidth="1" min="4" max="4"/>
    <col width="10" customWidth="1" min="5" max="5"/>
    <col width="10" customWidth="1" min="6" max="6"/>
    <col width="30" customWidth="1" min="7" max="7"/>
  </cols>
  <sheetData>
    <row r="1">
      <c r="A1" s="4" t="inlineStr">
        <is>
          <t>Step</t>
        </is>
      </c>
      <c r="B1" s="4" t="inlineStr">
        <is>
          <t>What</t>
        </is>
      </c>
      <c r="C1" s="4" t="inlineStr">
        <is>
          <t>Design docs</t>
        </is>
      </c>
      <c r="D1" s="4" t="inlineStr">
        <is>
          <t>Status</t>
        </is>
      </c>
      <c r="E1" s="4" t="inlineStr">
        <is>
          <t>Rules in its docs</t>
        </is>
      </c>
      <c r="F1" s="4" t="inlineStr">
        <is>
          <t>Built + tested</t>
        </is>
      </c>
      <c r="G1" s="4" t="inlineStr">
        <is>
          <t>Notes (you)</t>
        </is>
      </c>
    </row>
    <row r="2">
      <c r="A2" t="inlineStr">
        <is>
          <t>0</t>
        </is>
      </c>
      <c r="B2" s="5" t="inlineStr">
        <is>
          <t>PostgreSQL 17 with forced row-level security on every tenant table</t>
        </is>
      </c>
      <c r="C2" t="inlineStr">
        <is>
          <t>spec D10, P01</t>
        </is>
      </c>
      <c r="D2" s="5" t="inlineStr">
        <is>
          <t>Done</t>
        </is>
      </c>
      <c r="E2">
        <f>COUNTIF(Rules!$B$2:$B$982,"P01")</f>
        <v/>
      </c>
      <c r="F2">
        <f>COUNTIFS(Rules!$B$2:$B$982,"P01",Rules!$H$2:$H$982,"Built +*")</f>
        <v/>
      </c>
      <c r="G2" s="5" t="n"/>
    </row>
    <row r="3">
      <c r="A3" t="inlineStr">
        <is>
          <t>1</t>
        </is>
      </c>
      <c r="B3" s="5" t="inlineStr">
        <is>
          <t>Login: sessions, lockout (company-configurable within the YukthiX floor), password floor, MFA (passkeys, TOTP, recovery codes, step-up), OTP sign-in, Google / Microsoft / SAML SSO, login and security screens</t>
        </is>
      </c>
      <c r="C3" t="inlineStr">
        <is>
          <t>P12</t>
        </is>
      </c>
      <c r="D3" s="5" t="inlineStr">
        <is>
          <t>Done</t>
        </is>
      </c>
      <c r="E3">
        <f>COUNTIF(Rules!$B$2:$B$982,"P12")+COUNTIF(Rules!$B$2:$B$982,"P04")</f>
        <v/>
      </c>
      <c r="F3">
        <f>COUNTIFS(Rules!$B$2:$B$982,"P12",Rules!$H$2:$H$982,"Built +*")+COUNTIFS(Rules!$B$2:$B$982,"P04",Rules!$H$2:$H$982,"Built +*")</f>
        <v/>
      </c>
      <c r="G3" s="5" t="n"/>
    </row>
    <row r="4">
      <c r="A4" t="inlineStr">
        <is>
          <t>1+</t>
        </is>
      </c>
      <c r="B4" s="5" t="inlineStr">
        <is>
          <t>Generic SMS channel (any gateway by configuration; shared YukthiX account, e.g. Zoho CPaaS, plus company-owned accounts)</t>
        </is>
      </c>
      <c r="C4" t="inlineStr">
        <is>
          <t>P04 §4.4–4.5a</t>
        </is>
      </c>
      <c r="D4" s="5" t="inlineStr">
        <is>
          <t>In PR #129</t>
        </is>
      </c>
      <c r="G4" s="5" t="n"/>
    </row>
    <row r="5">
      <c r="A5" t="inlineStr">
        <is>
          <t>—</t>
        </is>
      </c>
      <c r="B5" s="5" t="inlineStr">
        <is>
          <t>Design docs and full UI prototype in the repo</t>
        </is>
      </c>
      <c r="C5" t="inlineStr">
        <is>
          <t>—</t>
        </is>
      </c>
      <c r="D5" s="5" t="inlineStr">
        <is>
          <t>PR #130</t>
        </is>
      </c>
      <c r="G5" s="5" t="n"/>
    </row>
    <row r="6">
      <c r="A6" t="inlineStr">
        <is>
          <t>2</t>
        </is>
      </c>
      <c r="B6" s="5" t="inlineStr">
        <is>
          <t>Organisation and employee core: legal entities, locations, departments, positions, the employee record with effective-dated history, reporting lines, roles and field-level visibility</t>
        </is>
      </c>
      <c r="C6" t="inlineStr">
        <is>
          <t>P01, P02, P06, M01</t>
        </is>
      </c>
      <c r="D6" s="5" t="inlineStr">
        <is>
          <t>In progress</t>
        </is>
      </c>
      <c r="E6">
        <f>COUNTIF(Rules!$B$2:$B$982,"P01")+COUNTIF(Rules!$B$2:$B$982,"P02")+COUNTIF(Rules!$B$2:$B$982,"P06")+COUNTIF(Rules!$B$2:$B$982,"M01")</f>
        <v/>
      </c>
      <c r="F6">
        <f>COUNTIFS(Rules!$B$2:$B$982,"P01",Rules!$H$2:$H$982,"Built +*")+COUNTIFS(Rules!$B$2:$B$982,"P02",Rules!$H$2:$H$982,"Built +*")+COUNTIFS(Rules!$B$2:$B$982,"P06",Rules!$H$2:$H$982,"Built +*")+COUNTIFS(Rules!$B$2:$B$982,"M01",Rules!$H$2:$H$982,"Built +*")</f>
        <v/>
      </c>
      <c r="G6" s="5" t="n"/>
    </row>
    <row r="7">
      <c r="A7" t="inlineStr">
        <is>
          <t>3</t>
        </is>
      </c>
      <c r="B7" s="5" t="inlineStr">
        <is>
          <t>Platform console (YukthiX staff only, same codebase, separate locked-down area): companies and lifecycle, plans and prices, shared channel accounts (move the shared SMS account here), support sessions, audit; later billing, incidents, customer success</t>
        </is>
      </c>
      <c r="C7" t="inlineStr">
        <is>
          <t>P14, P02 support sessions, P12 Q7</t>
        </is>
      </c>
      <c r="D7" s="5" t="inlineStr">
        <is>
          <t>After step 2</t>
        </is>
      </c>
      <c r="E7">
        <f>COUNTIF(Rules!$B$2:$B$982,"P14")+COUNTIF(Rules!$B$2:$B$982,"P20")</f>
        <v/>
      </c>
      <c r="F7">
        <f>COUNTIFS(Rules!$B$2:$B$982,"P14",Rules!$H$2:$H$982,"Built +*")+COUNTIFS(Rules!$B$2:$B$982,"P20",Rules!$H$2:$H$982,"Built +*")</f>
        <v/>
      </c>
      <c r="G7" s="5" t="n"/>
    </row>
    <row r="8">
      <c r="A8" t="inlineStr">
        <is>
          <t>3b</t>
        </is>
      </c>
      <c r="B8" s="5" t="inlineStr">
        <is>
          <t>YukthiX Service Desk: full ITSM + ESM (incident, request catalogue, problem, change / CAB, release, assets + CMDB, knowledge, SLA / OLA, portal, email / chat / WhatsApp / Teams, automation + AI, monitoring events, on-call, status page, vendors). One engine for company helpdesks (HR / IT / Admin), YukthiX's own customer support, and a standalone product</t>
        </is>
      </c>
      <c r="C8" t="inlineStr">
        <is>
          <t>M14, M08</t>
        </is>
      </c>
      <c r="D8" s="5" t="inlineStr">
        <is>
          <t>After step 3</t>
        </is>
      </c>
      <c r="E8">
        <f>COUNTIF(Rules!$B$2:$B$982,"M14")+COUNTIF(Rules!$B$2:$B$982,"M08")</f>
        <v/>
      </c>
      <c r="F8">
        <f>COUNTIFS(Rules!$B$2:$B$982,"M14",Rules!$H$2:$H$982,"Built +*")+COUNTIFS(Rules!$B$2:$B$982,"M08",Rules!$H$2:$H$982,"Built +*")</f>
        <v/>
      </c>
      <c r="G8" s="5" t="n"/>
    </row>
    <row r="9">
      <c r="A9" t="inlineStr">
        <is>
          <t>4</t>
        </is>
      </c>
      <c r="B9" s="5" t="inlineStr">
        <is>
          <t>Time and leave: attendance, regularisation, shifts and rosters, leave and balances, overtime</t>
        </is>
      </c>
      <c r="C9" t="inlineStr">
        <is>
          <t>M02, P03, P07</t>
        </is>
      </c>
      <c r="D9" s="5" t="inlineStr">
        <is>
          <t>Not started</t>
        </is>
      </c>
      <c r="E9">
        <f>COUNTIF(Rules!$B$2:$B$982,"M02")+COUNTIF(Rules!$B$2:$B$982,"P03")+COUNTIF(Rules!$B$2:$B$982,"P07")</f>
        <v/>
      </c>
      <c r="F9">
        <f>COUNTIFS(Rules!$B$2:$B$982,"M02",Rules!$H$2:$H$982,"Built +*")+COUNTIFS(Rules!$B$2:$B$982,"P03",Rules!$H$2:$H$982,"Built +*")+COUNTIFS(Rules!$B$2:$B$982,"P07",Rules!$H$2:$H$982,"Built +*")</f>
        <v/>
      </c>
      <c r="G9" s="5" t="n"/>
    </row>
    <row r="10">
      <c r="A10" t="inlineStr">
        <is>
          <t>5</t>
        </is>
      </c>
      <c r="B10" s="5" t="inlineStr">
        <is>
          <t>Payroll and statutory: inputs, calculation (PF, ESI, PT, TDS), approve and lock, bank file, payslips</t>
        </is>
      </c>
      <c r="C10" t="inlineStr">
        <is>
          <t>M03, P07, P08</t>
        </is>
      </c>
      <c r="D10" s="5" t="inlineStr">
        <is>
          <t>Not started</t>
        </is>
      </c>
      <c r="E10">
        <f>COUNTIF(Rules!$B$2:$B$982,"M03")+COUNTIF(Rules!$B$2:$B$982,"P07")+COUNTIF(Rules!$B$2:$B$982,"P08")</f>
        <v/>
      </c>
      <c r="F10">
        <f>COUNTIFS(Rules!$B$2:$B$982,"M03",Rules!$H$2:$H$982,"Built +*")+COUNTIFS(Rules!$B$2:$B$982,"P07",Rules!$H$2:$H$982,"Built +*")+COUNTIFS(Rules!$B$2:$B$982,"P08",Rules!$H$2:$H$982,"Built +*")</f>
        <v/>
      </c>
      <c r="G10" s="5" t="n"/>
    </row>
    <row r="11">
      <c r="A11" t="inlineStr">
        <is>
          <t>6+</t>
        </is>
      </c>
      <c r="B11" s="5" t="inlineStr">
        <is>
          <t>Lifecycle (onboarding, exit, F&amp;F), expenses, performance, learning, engage, benefits, projects and timesheets, contract labour, ATS, mobile</t>
        </is>
      </c>
      <c r="C11" t="inlineStr">
        <is>
          <t>M04–M13, P-series</t>
        </is>
      </c>
      <c r="D11" s="5" t="inlineStr">
        <is>
          <t>Not started</t>
        </is>
      </c>
      <c r="G11" s="5" t="n"/>
    </row>
  </sheetData>
  <autoFilter ref="A1:G11"/>
  <pageMargins left="0.75" right="0.75" top="1" bottom="1" header="0.5" footer="0.5"/>
</worksheet>
</file>

<file path=xl/worksheets/sheet5.xml><?xml version="1.0" encoding="utf-8"?>
<worksheet xmlns="http://schemas.openxmlformats.org/spreadsheetml/2006/main">
  <sheetPr>
    <outlinePr summaryBelow="1" summaryRight="1"/>
    <pageSetUpPr/>
  </sheetPr>
  <dimension ref="A1:H15"/>
  <sheetViews>
    <sheetView workbookViewId="0">
      <pane xSplit="1" ySplit="1" topLeftCell="B2" activePane="bottomRight" state="frozen"/>
      <selection pane="topRight"/>
      <selection pane="bottomLeft"/>
      <selection pane="bottomRight" activeCell="A1" sqref="A1"/>
    </sheetView>
  </sheetViews>
  <sheetFormatPr baseColWidth="8" defaultRowHeight="15"/>
  <cols>
    <col width="8" customWidth="1" min="1" max="1"/>
    <col width="26" customWidth="1" min="2" max="2"/>
    <col width="90" customWidth="1" min="3" max="3"/>
    <col width="14" customWidth="1" min="4" max="4"/>
    <col width="16" customWidth="1" min="5" max="5"/>
    <col width="40" customWidth="1" min="6" max="6"/>
    <col width="14" customWidth="1" min="7" max="7"/>
    <col width="30" customWidth="1" min="8" max="8"/>
  </cols>
  <sheetData>
    <row r="1">
      <c r="A1" s="4" t="inlineStr">
        <is>
          <t>ID</t>
        </is>
      </c>
      <c r="B1" s="4" t="inlineStr">
        <is>
          <t>Area</t>
        </is>
      </c>
      <c r="C1" s="4" t="inlineStr">
        <is>
          <t>What</t>
        </is>
      </c>
      <c r="D1" s="4" t="inlineStr">
        <is>
          <t>Status (start)</t>
        </is>
      </c>
      <c r="E1" s="4" t="inlineStr">
        <is>
          <t>Status (you)</t>
        </is>
      </c>
      <c r="F1" s="4" t="inlineStr">
        <is>
          <t>Next action</t>
        </is>
      </c>
      <c r="G1" s="4" t="inlineStr">
        <is>
          <t>Owner (you)</t>
        </is>
      </c>
      <c r="H1" s="4" t="inlineStr">
        <is>
          <t>Notes (you)</t>
        </is>
      </c>
    </row>
    <row r="2">
      <c r="A2" t="inlineStr">
        <is>
          <t>W-001</t>
        </is>
      </c>
      <c r="B2" t="inlineStr">
        <is>
          <t>Step 2 · Org &amp; employee core</t>
        </is>
      </c>
      <c r="C2" s="5" t="inlineStr">
        <is>
          <t>Parts 2c employee record, 2d access &amp; field visibility, 2e People/Settings screens wired; then independent security review, fix every finding, push feat/yukthix-org</t>
        </is>
      </c>
      <c r="D2" t="inlineStr">
        <is>
          <t>In progress</t>
        </is>
      </c>
      <c r="F2" s="5" t="inlineStr">
        <is>
          <t>Background build running; open a PR stacked on #130 when green</t>
        </is>
      </c>
      <c r="H2" s="5" t="n"/>
    </row>
    <row r="3">
      <c r="A3" t="inlineStr">
        <is>
          <t>W-002</t>
        </is>
      </c>
      <c r="B3" t="inlineStr">
        <is>
          <t>CI · dependencies</t>
        </is>
      </c>
      <c r="C3" s="5" t="inlineStr">
        <is>
          <t>Upgrade jest 29 → 30 and tailwind 3 → 4 so the strict audit gate (high/critical) passes on the full tree; push #129 with the security fix 377eca4c</t>
        </is>
      </c>
      <c r="D3" t="inlineStr">
        <is>
          <t>In progress</t>
        </is>
      </c>
      <c r="F3" s="5" t="inlineStr">
        <is>
          <t>Background job on feat/yukthix-login</t>
        </is>
      </c>
      <c r="H3" s="5" t="n"/>
    </row>
    <row r="4">
      <c r="A4" t="inlineStr">
        <is>
          <t>W-003</t>
        </is>
      </c>
      <c r="B4" t="inlineStr">
        <is>
          <t>Branches</t>
        </is>
      </c>
      <c r="C4" s="5" t="inlineStr">
        <is>
          <t>Merge feat/yukthix-login into feat/yukthix-workspace (#130); resolve GO-LIVE-CHECKLIST.md (login branch created its own copy)</t>
        </is>
      </c>
      <c r="D4" t="inlineStr">
        <is>
          <t>Open</t>
        </is>
      </c>
      <c r="F4" s="5" t="inlineStr">
        <is>
          <t>After W-002 is green</t>
        </is>
      </c>
      <c r="H4" s="5" t="n"/>
    </row>
    <row r="5">
      <c r="A5" t="inlineStr">
        <is>
          <t>W-004</t>
        </is>
      </c>
      <c r="B5" t="inlineStr">
        <is>
          <t>Branches</t>
        </is>
      </c>
      <c r="C5" s="5" t="inlineStr">
        <is>
          <t>Merge order to main: #128 PostgreSQL → #129 login → #130 workspace → step 2 PR</t>
        </is>
      </c>
      <c r="D5" t="inlineStr">
        <is>
          <t>Open</t>
        </is>
      </c>
      <c r="F5" s="5" t="inlineStr">
        <is>
          <t>Founder approval per PR</t>
        </is>
      </c>
      <c r="H5" s="5" t="n"/>
    </row>
    <row r="6">
      <c r="A6" t="inlineStr">
        <is>
          <t>W-005</t>
        </is>
      </c>
      <c r="B6" t="inlineStr">
        <is>
          <t>Security review</t>
        </is>
      </c>
      <c r="C6" s="5" t="inlineStr">
        <is>
          <t>Email-first sign-in: platform staff (super admin) accounts appear as a 'YukthiX' choice in the company picker when email and password match. Staff should sign in only through the locked-down console path with hardware keys (P12)</t>
        </is>
      </c>
      <c r="D6" t="inlineStr">
        <is>
          <t>Open</t>
        </is>
      </c>
      <c r="F6" s="5" t="inlineStr">
        <is>
          <t>Decide and fix before merge of #129</t>
        </is>
      </c>
      <c r="H6" s="5" t="n"/>
    </row>
    <row r="7">
      <c r="A7" t="inlineStr">
        <is>
          <t>W-006</t>
        </is>
      </c>
      <c r="B7" t="inlineStr">
        <is>
          <t>Security review</t>
        </is>
      </c>
      <c r="C7" s="5" t="inlineStr">
        <is>
          <t>Verified email domains are never re-checked; a lapsed domain keeps routing to SSO until removed. Add a periodic DNS re-check</t>
        </is>
      </c>
      <c r="D7" t="inlineStr">
        <is>
          <t>Open</t>
        </is>
      </c>
      <c r="F7" s="5" t="inlineStr">
        <is>
          <t>Fix in login branch</t>
        </is>
      </c>
      <c r="H7" s="5" t="n"/>
    </row>
    <row r="8">
      <c r="A8" t="inlineStr">
        <is>
          <t>W-007</t>
        </is>
      </c>
      <c r="B8" t="inlineStr">
        <is>
          <t>UI</t>
        </is>
      </c>
      <c r="C8" s="5" t="inlineStr">
        <is>
          <t>1,039 prototype buttons outside pay/auth have no action yet; each is wired when its backend step lands (scan-dead-buttons.mjs per wired screen must be 0)</t>
        </is>
      </c>
      <c r="D8" t="inlineStr">
        <is>
          <t>Open</t>
        </is>
      </c>
      <c r="F8" s="5" t="inlineStr">
        <is>
          <t>Per step</t>
        </is>
      </c>
      <c r="H8" s="5" t="n"/>
    </row>
    <row r="9">
      <c r="A9" t="inlineStr">
        <is>
          <t>W-008</t>
        </is>
      </c>
      <c r="B9" t="inlineStr">
        <is>
          <t>UI · Payroll</t>
        </is>
      </c>
      <c r="C9" s="5" t="inlineStr">
        <is>
          <t>Payroll screen fixes parked by founder until the payroll backend (step 5)</t>
        </is>
      </c>
      <c r="D9" t="inlineStr">
        <is>
          <t>Parked</t>
        </is>
      </c>
      <c r="F9" s="5" t="inlineStr">
        <is>
          <t>Step 5</t>
        </is>
      </c>
      <c r="H9" s="5" t="n"/>
    </row>
    <row r="10">
      <c r="A10" t="inlineStr">
        <is>
          <t>W-009</t>
        </is>
      </c>
      <c r="B10" t="inlineStr">
        <is>
          <t>Step 3 · Platform console</t>
        </is>
      </c>
      <c r="C10" s="5" t="inlineStr">
        <is>
          <t>Companies &amp; lifecycle, plans &amp; prices, shared channel accounts (move the shared Zoho SMS account here), support sessions, audit</t>
        </is>
      </c>
      <c r="D10" t="inlineStr">
        <is>
          <t>Not started</t>
        </is>
      </c>
      <c r="F10" s="5" t="inlineStr">
        <is>
          <t>After step 2</t>
        </is>
      </c>
      <c r="H10" s="5" t="n"/>
    </row>
    <row r="11">
      <c r="A11" t="inlineStr">
        <is>
          <t>W-010</t>
        </is>
      </c>
      <c r="B11" t="inlineStr">
        <is>
          <t>Step 3b · Service Desk (M14)</t>
        </is>
      </c>
      <c r="C11" s="5" t="inlineStr">
        <is>
          <t>Full ITSM + ESM in four phases (core → ESM → ITIL → operations); one open decision: live chat transport</t>
        </is>
      </c>
      <c r="D11" t="inlineStr">
        <is>
          <t>Not started</t>
        </is>
      </c>
      <c r="F11" s="5" t="inlineStr">
        <is>
          <t>Write the detailed M14 design before the build</t>
        </is>
      </c>
      <c r="H11" s="5" t="n"/>
    </row>
    <row r="12">
      <c r="A12" t="inlineStr">
        <is>
          <t>W-011</t>
        </is>
      </c>
      <c r="B12" t="inlineStr">
        <is>
          <t>Steps 4–6+</t>
        </is>
      </c>
      <c r="C12" s="5" t="inlineStr">
        <is>
          <t>Time &amp; leave (4), payroll &amp; statutory (5), then lifecycle, expenses, performance, learning, engage, benefits, projects, contract labour, ATS, mobile</t>
        </is>
      </c>
      <c r="D12" t="inlineStr">
        <is>
          <t>Not started</t>
        </is>
      </c>
      <c r="F12" s="5" t="inlineStr">
        <is>
          <t>See Roadmap sheet</t>
        </is>
      </c>
      <c r="H12" s="5" t="n"/>
    </row>
    <row r="13">
      <c r="A13" t="inlineStr">
        <is>
          <t>W-012</t>
        </is>
      </c>
      <c r="B13" t="inlineStr">
        <is>
          <t>Infrastructure (P13)</t>
        </is>
      </c>
      <c r="C13" s="5" t="inlineStr">
        <is>
          <t>Gap register A3: infrastructure &amp; operations parked for the engineering team (P13 team brief)</t>
        </is>
      </c>
      <c r="D13" t="inlineStr">
        <is>
          <t>Parked</t>
        </is>
      </c>
      <c r="F13" s="5" t="inlineStr">
        <is>
          <t>Engineering team</t>
        </is>
      </c>
      <c r="H13" s="5" t="n"/>
    </row>
    <row r="14">
      <c r="A14" t="inlineStr">
        <is>
          <t>W-013</t>
        </is>
      </c>
      <c r="B14" t="inlineStr">
        <is>
          <t>Deferred items</t>
        </is>
      </c>
      <c r="C14" s="5" t="inlineStr">
        <is>
          <t>105 items deferred by earlier build jobs (sheet 'Deferred'): each must be closed, moved to a step, or accepted with a reason</t>
        </is>
      </c>
      <c r="D14" t="inlineStr">
        <is>
          <t>Open</t>
        </is>
      </c>
      <c r="F14" s="5" t="inlineStr">
        <is>
          <t>Triage in the Deferred sheet</t>
        </is>
      </c>
      <c r="H14" s="5" t="n"/>
    </row>
    <row r="15">
      <c r="A15" t="inlineStr">
        <is>
          <t>W-014</t>
        </is>
      </c>
      <c r="B15" t="inlineStr">
        <is>
          <t>Rules not linked</t>
        </is>
      </c>
      <c r="C15" s="5" t="inlineStr">
        <is>
          <t>Rules whose step is done but that no code or test cites (Rules sheet status 'Verify'): confirm each is built and add the rule ID to its test, or build it</t>
        </is>
      </c>
      <c r="D15" t="inlineStr">
        <is>
          <t>Open</t>
        </is>
      </c>
      <c r="F15" s="5" t="inlineStr">
        <is>
          <t>Triage in the Rules sheet</t>
        </is>
      </c>
      <c r="H15" s="5" t="n"/>
    </row>
  </sheetData>
  <autoFilter ref="A1:H15"/>
  <dataValidations count="1">
    <dataValidation sqref="E2:E15" showDropDown="0" showInputMessage="0" showErrorMessage="0" allowBlank="1" type="list">
      <formula1>"Open,In progress,Done,Parked,Not started,Accepted (won't do),Moved to a step"</formula1>
    </dataValidation>
  </dataValidations>
  <pageMargins left="0.75" right="0.75" top="1" bottom="1" header="0.5" footer="0.5"/>
</worksheet>
</file>

<file path=xl/worksheets/sheet6.xml><?xml version="1.0" encoding="utf-8"?>
<worksheet xmlns="http://schemas.openxmlformats.org/spreadsheetml/2006/main">
  <sheetPr>
    <outlinePr summaryBelow="1" summaryRight="1"/>
    <pageSetUpPr/>
  </sheetPr>
  <dimension ref="A1:I106"/>
  <sheetViews>
    <sheetView workbookViewId="0">
      <pane xSplit="1" ySplit="1" topLeftCell="B2" activePane="bottomRight" state="frozen"/>
      <selection pane="topRight"/>
      <selection pane="bottomLeft"/>
      <selection pane="bottomRight" activeCell="A1" sqref="A1"/>
    </sheetView>
  </sheetViews>
  <sheetFormatPr baseColWidth="8" defaultRowHeight="15"/>
  <cols>
    <col width="8" customWidth="1" min="1" max="1"/>
    <col width="6" customWidth="1" min="2" max="2"/>
    <col width="22" customWidth="1" min="3" max="3"/>
    <col width="11" customWidth="1" min="4" max="4"/>
    <col width="100" customWidth="1" min="5" max="5"/>
    <col width="13" customWidth="1" min="6" max="6"/>
    <col width="16" customWidth="1" min="7" max="7"/>
    <col width="14" customWidth="1" min="8" max="8"/>
    <col width="30" customWidth="1" min="9" max="9"/>
  </cols>
  <sheetData>
    <row r="1">
      <c r="A1" s="4" t="inlineStr">
        <is>
          <t>ID</t>
        </is>
      </c>
      <c r="B1" s="4" t="inlineStr">
        <is>
          <t>Step</t>
        </is>
      </c>
      <c r="C1" s="4" t="inlineStr">
        <is>
          <t>Build job</t>
        </is>
      </c>
      <c r="D1" s="4" t="inlineStr">
        <is>
          <t>Date</t>
        </is>
      </c>
      <c r="E1" s="4" t="inlineStr">
        <is>
          <t>Left out / not finished (as reported by the build job)</t>
        </is>
      </c>
      <c r="F1" s="4" t="inlineStr">
        <is>
          <t>Status (start)</t>
        </is>
      </c>
      <c r="G1" s="4" t="inlineStr">
        <is>
          <t>Status (you)</t>
        </is>
      </c>
      <c r="H1" s="4" t="inlineStr">
        <is>
          <t>Owner (you)</t>
        </is>
      </c>
      <c r="I1" s="4" t="inlineStr">
        <is>
          <t>Notes (you)</t>
        </is>
      </c>
    </row>
    <row r="2">
      <c r="A2" t="inlineStr">
        <is>
          <t>D-001</t>
        </is>
      </c>
      <c r="B2" t="inlineStr">
        <is>
          <t>UI</t>
        </is>
      </c>
      <c r="C2" t="inlineStr">
        <is>
          <t>yx-ui-merge</t>
        </is>
      </c>
      <c r="D2" t="inlineStr">
        <is>
          <t>2026-10-06</t>
        </is>
      </c>
      <c r="E2" s="5" t="inlineStr">
        <is>
          <t>Dead-button scan finds 1039 buttons with no action outside pay and auth (same count as the source); getting to 0 means wiring real actions across 10 modules, which I did not attempt</t>
        </is>
      </c>
      <c r="F2" t="inlineStr">
        <is>
          <t>Open (verify)</t>
        </is>
      </c>
      <c r="I2" s="5" t="n"/>
    </row>
    <row r="3">
      <c r="A3" t="inlineStr">
        <is>
          <t>D-002</t>
        </is>
      </c>
      <c r="B3" t="inlineStr">
        <is>
          <t>UI</t>
        </is>
      </c>
      <c r="C3" t="inlineStr">
        <is>
          <t>yx-ui-merge</t>
        </is>
      </c>
      <c r="D3" t="inlineStr">
        <is>
          <t>2026-10-06</t>
        </is>
      </c>
      <c r="E3" s="5" t="inlineStr">
        <is>
          <t>Screenshot and axe tests (test:visual, test:a11y) were added but not run; the baselines exist for Windows only, so Linux CI would need its own</t>
        </is>
      </c>
      <c r="F3" t="inlineStr">
        <is>
          <t>Open (verify)</t>
        </is>
      </c>
      <c r="I3" s="5" t="n"/>
    </row>
    <row r="4">
      <c r="A4" t="inlineStr">
        <is>
          <t>D-003</t>
        </is>
      </c>
      <c r="B4" t="inlineStr">
        <is>
          <t>UI</t>
        </is>
      </c>
      <c r="C4" t="inlineStr">
        <is>
          <t>yx-ui-merge</t>
        </is>
      </c>
      <c r="D4" t="inlineStr">
        <is>
          <t>2026-10-06</t>
        </is>
      </c>
      <c r="E4" s="5" t="inlineStr">
        <is>
          <t>Untracked docs/yukthix/GO-LIVE-CHECKLIST.md in the worktree is not from this task and was left alone</t>
        </is>
      </c>
      <c r="F4" t="inlineStr">
        <is>
          <t>Open (verify)</t>
        </is>
      </c>
      <c r="I4" s="5" t="n"/>
    </row>
    <row r="5">
      <c r="A5" t="inlineStr">
        <is>
          <t>D-004</t>
        </is>
      </c>
      <c r="B5" t="inlineStr">
        <is>
          <t>UI</t>
        </is>
      </c>
      <c r="C5" t="inlineStr">
        <is>
          <t>yx-ui-merge</t>
        </is>
      </c>
      <c r="D5" t="inlineStr">
        <is>
          <t>2026-10-06</t>
        </is>
      </c>
      <c r="E5" s="5" t="inlineStr">
        <is>
          <t>Not pushed</t>
        </is>
      </c>
      <c r="F5" t="inlineStr">
        <is>
          <t>Open (verify)</t>
        </is>
      </c>
      <c r="I5" s="5" t="n"/>
    </row>
    <row r="6">
      <c r="A6" t="inlineStr">
        <is>
          <t>D-005</t>
        </is>
      </c>
      <c r="B6" t="inlineStr">
        <is>
          <t>0</t>
        </is>
      </c>
      <c r="C6" t="inlineStr">
        <is>
          <t>step0-e2e</t>
        </is>
      </c>
      <c r="D6" t="inlineStr">
        <is>
          <t>2026-10-05</t>
        </is>
      </c>
      <c r="E6" s="5" t="inlineStr">
        <is>
          <t>Recruiter live leaderboard can stay stale (left as is, product decision needed): the push after each answer reads the deliberate 15 s shared cache (ADO #6828). If the last answers of an exam land within 15 s of the previous computation, the recruiter's board stays stale until they rejoin, because the 15 s roster tick does not re-send the leaderboard. A cheap fix is to also emit leaderboard:update from tickRoster. I did not change it because the cache is a deliberate performance trade-off.</t>
        </is>
      </c>
      <c r="F6" t="inlineStr">
        <is>
          <t>Open (verify)</t>
        </is>
      </c>
      <c r="I6" s="5" t="n"/>
    </row>
    <row r="7">
      <c r="A7" t="inlineStr">
        <is>
          <t>D-006</t>
        </is>
      </c>
      <c r="B7" t="inlineStr">
        <is>
          <t>0</t>
        </is>
      </c>
      <c r="C7" t="inlineStr">
        <is>
          <t>step0-e2e</t>
        </is>
      </c>
      <c r="D7" t="inlineStr">
        <is>
          <t>2026-10-05</t>
        </is>
      </c>
      <c r="E7" s="5" t="inlineStr">
        <is>
          <t>e2e now runs in a single Jest worker (maxWorkers 1). Every booted app runs real BullMQ workers on one shared Redis, so parallel workers stole each other's jobs. Running suites in parallel would need per-worker queue prefixes.</t>
        </is>
      </c>
      <c r="F7" t="inlineStr">
        <is>
          <t>Open (verify)</t>
        </is>
      </c>
      <c r="I7" s="5" t="n"/>
    </row>
    <row r="8">
      <c r="A8" t="inlineStr">
        <is>
          <t>D-007</t>
        </is>
      </c>
      <c r="B8" t="inlineStr">
        <is>
          <t>0</t>
        </is>
      </c>
      <c r="C8" t="inlineStr">
        <is>
          <t>step0-e2e</t>
        </is>
      </c>
      <c r="D8" t="inlineStr">
        <is>
          <t>2026-10-05</t>
        </is>
      </c>
      <c r="E8" s="5" t="inlineStr">
        <is>
          <t>exam-runtime e2e still prints Jest's 'did not exit one second after the test run' warning, though the run exits by itself in about 28 s. I did not trace which timer causes it.</t>
        </is>
      </c>
      <c r="F8" t="inlineStr">
        <is>
          <t>Open (verify)</t>
        </is>
      </c>
      <c r="I8" s="5" t="n"/>
    </row>
    <row r="9">
      <c r="A9" t="inlineStr">
        <is>
          <t>D-008</t>
        </is>
      </c>
      <c r="B9" t="inlineStr">
        <is>
          <t>0</t>
        </is>
      </c>
      <c r="C9" t="inlineStr">
        <is>
          <t>step0-e2e</t>
        </is>
      </c>
      <c r="D9" t="inlineStr">
        <is>
          <t>2026-10-05</t>
        </is>
      </c>
      <c r="E9" s="5" t="inlineStr">
        <is>
          <t>Fire-and-forget analyses (for example insight generation) can still log an error after a suite's cleanup deletes the exam. It is log noise only and does not fail tests.</t>
        </is>
      </c>
      <c r="F9" t="inlineStr">
        <is>
          <t>Open (verify)</t>
        </is>
      </c>
      <c r="I9" s="5" t="n"/>
    </row>
    <row r="10">
      <c r="A10" t="inlineStr">
        <is>
          <t>D-009</t>
        </is>
      </c>
      <c r="B10" t="inlineStr">
        <is>
          <t>0</t>
        </is>
      </c>
      <c r="C10" t="inlineStr">
        <is>
          <t>step0-e2e</t>
        </is>
      </c>
      <c r="D10" t="inlineStr">
        <is>
          <t>2026-10-05</t>
        </is>
      </c>
      <c r="E10" s="5" t="inlineStr">
        <is>
          <t>Delete the dead /uploads static file server (see security issues).</t>
        </is>
      </c>
      <c r="F10" t="inlineStr">
        <is>
          <t>Open (verify)</t>
        </is>
      </c>
      <c r="I10" s="5" t="n"/>
    </row>
    <row r="11">
      <c r="A11" t="inlineStr">
        <is>
          <t>D-010</t>
        </is>
      </c>
      <c r="B11" t="inlineStr">
        <is>
          <t>0</t>
        </is>
      </c>
      <c r="C11" t="inlineStr">
        <is>
          <t>step0-postgres</t>
        </is>
      </c>
      <c r="D11" t="inlineStr">
        <is>
          <t>2026-10-05</t>
        </is>
      </c>
      <c r="E11" s="5" t="inlineStr">
        <is>
          <t>21 api e2e suites (42 tests) and 1 exam-runtime e2e suite (2 tests) still fail. I left them because the code shows deliberate app changes the tests were never updated for, and rewriting the assertions would bake in product decisions without your input. Not individually traced: the AI evaluation insight cases, the webhook result left at pending, proctoring analysis stuck at processing (timeouts), the audit-log response-shape case, and the branding public-by-slug assertion. The evidence I found for the rest is:</t>
        </is>
      </c>
      <c r="F11" t="inlineStr">
        <is>
          <t>Open (verify)</t>
        </is>
      </c>
      <c r="I11" s="5" t="n"/>
    </row>
    <row r="12">
      <c r="A12" t="inlineStr">
        <is>
          <t>D-011</t>
        </is>
      </c>
      <c r="B12" t="inlineStr">
        <is>
          <t>0</t>
        </is>
      </c>
      <c r="C12" t="inlineStr">
        <is>
          <t>step0-postgres</t>
        </is>
      </c>
      <c r="D12" t="inlineStr">
        <is>
          <t>2026-10-05</t>
        </is>
      </c>
      <c r="E12" s="5" t="inlineStr">
        <is>
          <t>Roles now have permissions the tests expect to be denied (expected 403, got 200/201 in question-bank, exam-builder, candidates, ai-jobs, exam-reporting, session-enforcement and ai-insight).</t>
        </is>
      </c>
      <c r="F12" t="inlineStr">
        <is>
          <t>Open (verify)</t>
        </is>
      </c>
      <c r="I12" s="5" t="n"/>
    </row>
    <row r="13">
      <c r="A13" t="inlineStr">
        <is>
          <t>D-012</t>
        </is>
      </c>
      <c r="B13" t="inlineStr">
        <is>
          <t>0</t>
        </is>
      </c>
      <c r="C13" t="inlineStr">
        <is>
          <t>step0-postgres</t>
        </is>
      </c>
      <c r="D13" t="inlineStr">
        <is>
          <t>2026-10-05</t>
        </is>
      </c>
      <c r="E13" s="5" t="inlineStr">
        <is>
          <t>API responses changed shape: dashboard now requires ?window=, audit logs return {data}, and branding, compare and preview return extra fields.</t>
        </is>
      </c>
      <c r="F13" t="inlineStr">
        <is>
          <t>Open (verify)</t>
        </is>
      </c>
      <c r="I13" s="5" t="n"/>
    </row>
    <row r="14">
      <c r="A14" t="inlineStr">
        <is>
          <t>D-013</t>
        </is>
      </c>
      <c r="B14" t="inlineStr">
        <is>
          <t>0</t>
        </is>
      </c>
      <c r="C14" t="inlineStr">
        <is>
          <t>step0-postgres</t>
        </is>
      </c>
      <c r="D14" t="inlineStr">
        <is>
          <t>2026-10-05</t>
        </is>
      </c>
      <c r="E14" s="5" t="inlineStr">
        <is>
          <t>Behaviour changed on purpose: recruiter unblock resets the webcam strike count (test expects 3), published exams can no longer be edited (409 in exam-scheduling), and the leaderboard is cached for 15 seconds.</t>
        </is>
      </c>
      <c r="F14" t="inlineStr">
        <is>
          <t>Open (verify)</t>
        </is>
      </c>
      <c r="I14" s="5" t="n"/>
    </row>
    <row r="15">
      <c r="A15" t="inlineStr">
        <is>
          <t>D-014</t>
        </is>
      </c>
      <c r="B15" t="inlineStr">
        <is>
          <t>0</t>
        </is>
      </c>
      <c r="C15" t="inlineStr">
        <is>
          <t>step0-postgres</t>
        </is>
      </c>
      <c r="D15" t="inlineStr">
        <is>
          <t>2026-10-05</t>
        </is>
      </c>
      <c r="E15" s="5" t="inlineStr">
        <is>
          <t>The code-question request field codeLanguage no longer exists, so code-question creation returns 400 (exam-code-grading, ai-code-review, integrity).</t>
        </is>
      </c>
      <c r="F15" t="inlineStr">
        <is>
          <t>Open (verify)</t>
        </is>
      </c>
      <c r="I15" s="5" t="n"/>
    </row>
    <row r="16">
      <c r="A16" t="inlineStr">
        <is>
          <t>D-015</t>
        </is>
      </c>
      <c r="B16" t="inlineStr">
        <is>
          <t>0</t>
        </is>
      </c>
      <c r="C16" t="inlineStr">
        <is>
          <t>step0-postgres</t>
        </is>
      </c>
      <c r="D16" t="inlineStr">
        <is>
          <t>2026-10-05</t>
        </is>
      </c>
      <c r="E16" s="5" t="inlineStr">
        <is>
          <t>Missing local config: Azure Blob Storage (logo and image uploads return 500), no AI provider configured (AI question generation returns 400), an invalid Anthropic key, and no SMTP server.</t>
        </is>
      </c>
      <c r="F16" t="inlineStr">
        <is>
          <t>Open (verify)</t>
        </is>
      </c>
      <c r="I16" s="5" t="n"/>
    </row>
    <row r="17">
      <c r="A17" t="inlineStr">
        <is>
          <t>D-016</t>
        </is>
      </c>
      <c r="B17" t="inlineStr">
        <is>
          <t>0</t>
        </is>
      </c>
      <c r="C17" t="inlineStr">
        <is>
          <t>step0-postgres</t>
        </is>
      </c>
      <c r="D17" t="inlineStr">
        <is>
          <t>2026-10-05</t>
        </is>
      </c>
      <c r="E17" s="5" t="inlineStr">
        <is>
          <t>The exam-taking 403 is the proctoring-minutes quota: the test plan's limit is 1 minute and that org had already used 120. It is the same rule as before.</t>
        </is>
      </c>
      <c r="F17" t="inlineStr">
        <is>
          <t>Open (verify)</t>
        </is>
      </c>
      <c r="I17" s="5" t="n"/>
    </row>
    <row r="18">
      <c r="A18" t="inlineStr">
        <is>
          <t>D-017</t>
        </is>
      </c>
      <c r="B18" t="inlineStr">
        <is>
          <t>0</t>
        </is>
      </c>
      <c r="C18" t="inlineStr">
        <is>
          <t>step0-postgres</t>
        </is>
      </c>
      <c r="D18" t="inlineStr">
        <is>
          <t>2026-10-05</t>
        </is>
      </c>
      <c r="E18" s="5" t="inlineStr">
        <is>
          <t>No before/after comparison against SQL Server: pulling the mssql image needs your OK. If you want true 'before' counts, approve the pull and I'll run the same suites on origin/main.</t>
        </is>
      </c>
      <c r="F18" t="inlineStr">
        <is>
          <t>Open (verify)</t>
        </is>
      </c>
      <c r="I18" s="5" t="n"/>
    </row>
    <row r="19">
      <c r="A19" t="inlineStr">
        <is>
          <t>D-018</t>
        </is>
      </c>
      <c r="B19" t="inlineStr">
        <is>
          <t>0</t>
        </is>
      </c>
      <c r="C19" t="inlineStr">
        <is>
          <t>step0-postgres</t>
        </is>
      </c>
      <c r="D19" t="inlineStr">
        <is>
          <t>2026-10-05</t>
        </is>
      </c>
      <c r="E19" s="5" t="inlineStr">
        <is>
          <t>Small case-sensitivity gaps remain: tag names, permission keys and similar unique columns used to be case-insensitive on SQL Server and now are not. Only emails and org slugs were made case-insensitive.</t>
        </is>
      </c>
      <c r="F19" t="inlineStr">
        <is>
          <t>Open (verify)</t>
        </is>
      </c>
      <c r="I19" s="5" t="n"/>
    </row>
    <row r="20">
      <c r="A20" t="inlineStr">
        <is>
          <t>D-019</t>
        </is>
      </c>
      <c r="B20" t="inlineStr">
        <is>
          <t>0</t>
        </is>
      </c>
      <c r="C20" t="inlineStr">
        <is>
          <t>step0-postgres</t>
        </is>
      </c>
      <c r="D20" t="inlineStr">
        <is>
          <t>2026-10-05</t>
        </is>
      </c>
      <c r="E20" s="5" t="inlineStr">
        <is>
          <t>Moving existing production data from SQL Server to PostgreSQL (export, load, cutover) is not covered. The README deploy notes cover a fresh PostgreSQL database only.</t>
        </is>
      </c>
      <c r="F20" t="inlineStr">
        <is>
          <t>Open (verify)</t>
        </is>
      </c>
      <c r="I20" s="5" t="n"/>
    </row>
    <row r="21">
      <c r="A21" t="inlineStr">
        <is>
          <t>D-020</t>
        </is>
      </c>
      <c r="B21" t="inlineStr">
        <is>
          <t>0</t>
        </is>
      </c>
      <c r="C21" t="inlineStr">
        <is>
          <t>step0-postgres</t>
        </is>
      </c>
      <c r="D21" t="inlineStr">
        <is>
          <t>2026-10-05</t>
        </is>
      </c>
      <c r="E21" s="5" t="inlineStr">
        <is>
          <t>Production needs the three database roles (owner, app login, and the app_runtime group) created by a DBA before the first prisma migrate deploy; the README describes this.</t>
        </is>
      </c>
      <c r="F21" t="inlineStr">
        <is>
          <t>Open (verify)</t>
        </is>
      </c>
      <c r="I21" s="5" t="n"/>
    </row>
    <row r="22">
      <c r="A22" t="inlineStr">
        <is>
          <t>D-021</t>
        </is>
      </c>
      <c r="B22" t="inlineStr">
        <is>
          <t>2</t>
        </is>
      </c>
      <c r="C22" t="inlineStr">
        <is>
          <t>org:2a-structure</t>
        </is>
      </c>
      <c r="D22" t="inlineStr">
        <is>
          <t>2026-10-06</t>
        </is>
      </c>
      <c r="E22" s="5" t="inlineStr">
        <is>
          <t>head_employee_id on departments not added: there is no employees table until part 2b.</t>
        </is>
      </c>
      <c r="F22" t="inlineStr">
        <is>
          <t>Open (verify)</t>
        </is>
      </c>
      <c r="I22" s="5" t="n"/>
    </row>
    <row r="23">
      <c r="A23" t="inlineStr">
        <is>
          <t>D-022</t>
        </is>
      </c>
      <c r="B23" t="inlineStr">
        <is>
          <t>2</t>
        </is>
      </c>
      <c r="C23" t="inlineStr">
        <is>
          <t>org:2a-structure</t>
        </is>
      </c>
      <c r="D23" t="inlineStr">
        <is>
          <t>2026-10-06</t>
        </is>
      </c>
      <c r="E23" s="5" t="inlineStr">
        <is>
          <t>Location holiday_calendar_id and weekly_off_rule_id not added: they belong to M02 (wave 4), which has no tables yet.</t>
        </is>
      </c>
      <c r="F23" t="inlineStr">
        <is>
          <t>Open (verify)</t>
        </is>
      </c>
      <c r="I23" s="5" t="n"/>
    </row>
    <row r="24">
      <c r="A24" t="inlineStr">
        <is>
          <t>D-023</t>
        </is>
      </c>
      <c r="B24" t="inlineStr">
        <is>
          <t>2</t>
        </is>
      </c>
      <c r="C24" t="inlineStr">
        <is>
          <t>org:2a-structure</t>
        </is>
      </c>
      <c r="D24" t="inlineStr">
        <is>
          <t>2026-10-06</t>
        </is>
      </c>
      <c r="E24" s="5" t="inlineStr">
        <is>
          <t>Statutory default matrix per employment-type category (YX-ORG-20) not built: it needs the P07 statutory rules-as-data packs. Only the category is stored.</t>
        </is>
      </c>
      <c r="F24" t="inlineStr">
        <is>
          <t>Open (verify)</t>
        </is>
      </c>
      <c r="I24" s="5" t="n"/>
    </row>
    <row r="25">
      <c r="A25" t="inlineStr">
        <is>
          <t>D-024</t>
        </is>
      </c>
      <c r="B25" t="inlineStr">
        <is>
          <t>2</t>
        </is>
      </c>
      <c r="C25" t="inlineStr">
        <is>
          <t>org:2a-structure</t>
        </is>
      </c>
      <c r="D25" t="inlineStr">
        <is>
          <t>2026-10-06</t>
        </is>
      </c>
      <c r="E25" s="5" t="inlineStr">
        <is>
          <t>Positions not built: M01 puts them in wave 5.</t>
        </is>
      </c>
      <c r="F25" t="inlineStr">
        <is>
          <t>Open (verify)</t>
        </is>
      </c>
      <c r="I25" s="5" t="n"/>
    </row>
    <row r="26">
      <c r="A26" t="inlineStr">
        <is>
          <t>D-025</t>
        </is>
      </c>
      <c r="B26" t="inlineStr">
        <is>
          <t>2</t>
        </is>
      </c>
      <c r="C26" t="inlineStr">
        <is>
          <t>org:2a-structure</t>
        </is>
      </c>
      <c r="D26" t="inlineStr">
        <is>
          <t>2026-10-06</t>
        </is>
      </c>
      <c r="E26" s="5" t="inlineStr">
        <is>
          <t>statutory_registrations (PF/ESIC/PT/LWF numbers) not built: P01 places them in M03/P07.</t>
        </is>
      </c>
      <c r="F26" t="inlineStr">
        <is>
          <t>Open (verify)</t>
        </is>
      </c>
      <c r="I26" s="5" t="n"/>
    </row>
    <row r="27">
      <c r="A27" t="inlineStr">
        <is>
          <t>D-026</t>
        </is>
      </c>
      <c r="B27" t="inlineStr">
        <is>
          <t>2</t>
        </is>
      </c>
      <c r="C27" t="inlineStr">
        <is>
          <t>org:2a-structure</t>
        </is>
      </c>
      <c r="D27" t="inlineStr">
        <is>
          <t>2026-10-06</t>
        </is>
      </c>
      <c r="E27" s="5" t="inlineStr">
        <is>
          <t>Pay-group and employee setting scopes are in the resolution order but cannot be set yet: their tables come with M03 and part 2b.</t>
        </is>
      </c>
      <c r="F27" t="inlineStr">
        <is>
          <t>Open (verify)</t>
        </is>
      </c>
      <c r="I27" s="5" t="n"/>
    </row>
    <row r="28">
      <c r="A28" t="inlineStr">
        <is>
          <t>D-027</t>
        </is>
      </c>
      <c r="B28" t="inlineStr">
        <is>
          <t>2</t>
        </is>
      </c>
      <c r="C28" t="inlineStr">
        <is>
          <t>org:2a-structure</t>
        </is>
      </c>
      <c r="D28" t="inlineStr">
        <is>
          <t>2026-10-06</t>
        </is>
      </c>
      <c r="E28" s="5" t="inlineStr">
        <is>
          <t>Switching employee_code.scope to company-wide is not checked for duplicate codes (YX-ORG-16): employments don't exist until part 2b, so there are no codes to compare.</t>
        </is>
      </c>
      <c r="F28" t="inlineStr">
        <is>
          <t>Open (verify)</t>
        </is>
      </c>
      <c r="I28" s="5" t="n"/>
    </row>
    <row r="29">
      <c r="A29" t="inlineStr">
        <is>
          <t>D-028</t>
        </is>
      </c>
      <c r="B29" t="inlineStr">
        <is>
          <t>2</t>
        </is>
      </c>
      <c r="C29" t="inlineStr">
        <is>
          <t>org:2a-structure</t>
        </is>
      </c>
      <c r="D29" t="inlineStr">
        <is>
          <t>2026-10-06</t>
        </is>
      </c>
      <c r="E29" s="5" t="inlineStr">
        <is>
          <t>Correcting a pay range already in force or in the past (superseded rows, YX-HIS-12 retro tiers) is refused instead. The full correction flow comes with the P06 change engine in part 2b.</t>
        </is>
      </c>
      <c r="F29" t="inlineStr">
        <is>
          <t>Open (verify)</t>
        </is>
      </c>
      <c r="I29" s="5" t="n"/>
    </row>
    <row r="30">
      <c r="A30" t="inlineStr">
        <is>
          <t>D-029</t>
        </is>
      </c>
      <c r="B30" t="inlineStr">
        <is>
          <t>2</t>
        </is>
      </c>
      <c r="C30" t="inlineStr">
        <is>
          <t>org:2a-structure</t>
        </is>
      </c>
      <c r="D30" t="inlineStr">
        <is>
          <t>2026-10-06</t>
        </is>
      </c>
      <c r="E30" s="5" t="inlineStr">
        <is>
          <t>The org.master.changed event (P01 §7) is not emitted: there is no event bus yet. Every change is audited instead.</t>
        </is>
      </c>
      <c r="F30" t="inlineStr">
        <is>
          <t>Open (verify)</t>
        </is>
      </c>
      <c r="I30" s="5" t="n"/>
    </row>
    <row r="31">
      <c r="A31" t="inlineStr">
        <is>
          <t>D-030</t>
        </is>
      </c>
      <c r="B31" t="inlineStr">
        <is>
          <t>2</t>
        </is>
      </c>
      <c r="C31" t="inlineStr">
        <is>
          <t>org:2a-structure</t>
        </is>
      </c>
      <c r="D31" t="inlineStr">
        <is>
          <t>2026-10-06</t>
        </is>
      </c>
      <c r="E31" s="5" t="inlineStr">
        <is>
          <t>Department and cost-centre parents are chosen from a dropdown list, not the tree view described in P01 §8.</t>
        </is>
      </c>
      <c r="F31" t="inlineStr">
        <is>
          <t>Open (verify)</t>
        </is>
      </c>
      <c r="I31" s="5" t="n"/>
    </row>
    <row r="32">
      <c r="A32" t="inlineStr">
        <is>
          <t>D-031</t>
        </is>
      </c>
      <c r="B32" t="inlineStr">
        <is>
          <t>2</t>
        </is>
      </c>
      <c r="C32" t="inlineStr">
        <is>
          <t>org:2a-structure</t>
        </is>
      </c>
      <c r="D32" t="inlineStr">
        <is>
          <t>2026-10-06</t>
        </is>
      </c>
      <c r="E32" s="5" t="inlineStr">
        <is>
          <t>Entity-specific values for scoped settings have no screen: only the two company-wide rules are shown on the Legal entities page. The API supports all scopes.</t>
        </is>
      </c>
      <c r="F32" t="inlineStr">
        <is>
          <t>Open (verify)</t>
        </is>
      </c>
      <c r="I32" s="5" t="n"/>
    </row>
    <row r="33">
      <c r="A33" t="inlineStr">
        <is>
          <t>D-032</t>
        </is>
      </c>
      <c r="B33" t="inlineStr">
        <is>
          <t>2</t>
        </is>
      </c>
      <c r="C33" t="inlineStr">
        <is>
          <t>org:2a-structure</t>
        </is>
      </c>
      <c r="D33" t="inlineStr">
        <is>
          <t>2026-10-06</t>
        </is>
      </c>
      <c r="E33" s="5" t="inlineStr">
        <is>
          <t>Not seen live in a browser: I did not sign in to /yx (no user-typed request to enter credentials), and Storybook screenshots timed out. The API was checked with curl and the screens' text in Storybook.</t>
        </is>
      </c>
      <c r="F33" t="inlineStr">
        <is>
          <t>Open (verify)</t>
        </is>
      </c>
      <c r="I33" s="5" t="n"/>
    </row>
    <row r="34">
      <c r="A34" t="inlineStr">
        <is>
          <t>D-033</t>
        </is>
      </c>
      <c r="B34" t="inlineStr">
        <is>
          <t>2</t>
        </is>
      </c>
      <c r="C34" t="inlineStr">
        <is>
          <t>org:2b-effective-dating</t>
        </is>
      </c>
      <c r="D34" t="inlineStr">
        <is>
          <t>2026-10-06</t>
        </is>
      </c>
      <c r="E34" s="5" t="inlineStr">
        <is>
          <t>P03 workflow engine: approval is one checker with employee.change.approve (different from the requester and the subject). There is no approval routing, approval_request_id link, manager-raised requests or approver notifications (cancellations are audited only); these land with P03 and P04.</t>
        </is>
      </c>
      <c r="F34" t="inlineStr">
        <is>
          <t>Open (verify)</t>
        </is>
      </c>
      <c r="I34" s="5" t="n"/>
    </row>
    <row r="35">
      <c r="A35" t="inlineStr">
        <is>
          <t>D-034</t>
        </is>
      </c>
      <c r="B35" t="inlineStr">
        <is>
          <t>2</t>
        </is>
      </c>
      <c r="C35" t="inlineStr">
        <is>
          <t>org:2b-effective-dating</t>
        </is>
      </c>
      <c r="D35" t="inlineStr">
        <is>
          <t>2026-10-06</t>
        </is>
      </c>
      <c r="E35" s="5" t="inlineStr">
        <is>
          <t>YX-HIS-12 tier 2 (correction into processed payroll with a Payroll Admin step), YX-HIS-08/09 (payslip snapshots) and YX-HIS-13 (mid-period policy) need payroll (step 5). The segments() API and the retro months on each change are ready for it.</t>
        </is>
      </c>
      <c r="F35" t="inlineStr">
        <is>
          <t>Open (verify)</t>
        </is>
      </c>
      <c r="I35" s="5" t="n"/>
    </row>
    <row r="36">
      <c r="A36" t="inlineStr">
        <is>
          <t>D-035</t>
        </is>
      </c>
      <c r="B36" t="inlineStr">
        <is>
          <t>2</t>
        </is>
      </c>
      <c r="C36" t="inlineStr">
        <is>
          <t>org:2b-effective-dating</t>
        </is>
      </c>
      <c r="D36" t="inlineStr">
        <is>
          <t>2026-10-06</t>
        </is>
      </c>
      <c r="E36" s="5" t="inlineStr">
        <is>
          <t>The employee.change.effective event is written as an audit entry only: there is no event bus or outbox yet. P02 implicit-grant recompute and syncing User.managerId from the assignment are not done.</t>
        </is>
      </c>
      <c r="F36" t="inlineStr">
        <is>
          <t>Open (verify)</t>
        </is>
      </c>
      <c r="I36" s="5" t="n"/>
    </row>
    <row r="37">
      <c r="A37" t="inlineStr">
        <is>
          <t>D-036</t>
        </is>
      </c>
      <c r="B37" t="inlineStr">
        <is>
          <t>2</t>
        </is>
      </c>
      <c r="C37" t="inlineStr">
        <is>
          <t>org:2b-effective-dating</t>
        </is>
      </c>
      <c r="D37" t="inlineStr">
        <is>
          <t>2026-10-06</t>
        </is>
      </c>
      <c r="E37" s="5" t="inlineStr">
        <is>
          <t>Dated facts not yet built: P06 §4.1 lists bank account, tax regime, statutory flags, shift, leave policy, legal name, absence, gender / marital status and contract end; they belong to later modules. The P06 §5 `rebased_from_change_id` column is not used: later changes are recalculated in place and the impact lists them.</t>
        </is>
      </c>
      <c r="F37" t="inlineStr">
        <is>
          <t>Open (verify)</t>
        </is>
      </c>
      <c r="I37" s="5" t="n"/>
    </row>
    <row r="38">
      <c r="A38" t="inlineStr">
        <is>
          <t>D-037</t>
        </is>
      </c>
      <c r="B38" t="inlineStr">
        <is>
          <t>2</t>
        </is>
      </c>
      <c r="C38" t="inlineStr">
        <is>
          <t>org:2b-effective-dating</t>
        </is>
      </c>
      <c r="D38" t="inlineStr">
        <is>
          <t>2026-10-06</t>
        </is>
      </c>
      <c r="E38" s="5" t="inlineStr">
        <is>
          <t>Inter-entity transfer (YX-ORG-11/17), exit, rehire and host postings are left out: they need the transfer policies and wave-4 offboarding. Cost-centre splits are supported by the API, but the change form offers a single cost centre at 100 %.</t>
        </is>
      </c>
      <c r="F38" t="inlineStr">
        <is>
          <t>Open (verify)</t>
        </is>
      </c>
      <c r="I38" s="5" t="n"/>
    </row>
    <row r="39">
      <c r="A39" t="inlineStr">
        <is>
          <t>D-038</t>
        </is>
      </c>
      <c r="B39" t="inlineStr">
        <is>
          <t>2</t>
        </is>
      </c>
      <c r="C39" t="inlineStr">
        <is>
          <t>org:2b-effective-dating</t>
        </is>
      </c>
      <c r="D39" t="inlineStr">
        <is>
          <t>2026-10-06</t>
        </is>
      </c>
      <c r="E39" s="5" t="inlineStr">
        <is>
          <t>The employee record is minimal (given, family and preferred name, work email, login link). Persons and person roles (J15), identifiers, the directory and the full record (M01 §3.1, step 2c) are not built. There are no SQL `*_current` views or `*_as_of` functions; the typed service is the reader.</t>
        </is>
      </c>
      <c r="F39" t="inlineStr">
        <is>
          <t>Open (verify)</t>
        </is>
      </c>
      <c r="I39" s="5" t="n"/>
    </row>
    <row r="40">
      <c r="A40" t="inlineStr">
        <is>
          <t>D-039</t>
        </is>
      </c>
      <c r="B40" t="inlineStr">
        <is>
          <t>2</t>
        </is>
      </c>
      <c r="C40" t="inlineStr">
        <is>
          <t>org:2b-effective-dating</t>
        </is>
      </c>
      <c r="D40" t="inlineStr">
        <is>
          <t>2026-10-06</t>
        </is>
      </c>
      <c r="E40" s="5" t="inlineStr">
        <is>
          <t>The UI computes the retro-limit hint from April (India default), not from the company setting or the entity's financial-year month; the API enforces the real limit. Screens were not rendered in a browser or Storybook for screenshots; they are checked by vitest and web jest tests only. The impact preview covers location (state and time zone), department, designation, grade, employment type, manager, cost centres, status and pay; holiday calendar, leave policy and shift effects wait for those modules.</t>
        </is>
      </c>
      <c r="F40" t="inlineStr">
        <is>
          <t>Open (verify)</t>
        </is>
      </c>
      <c r="I40" s="5" t="n"/>
    </row>
    <row r="41">
      <c r="A41" t="inlineStr">
        <is>
          <t>D-040</t>
        </is>
      </c>
      <c r="B41" t="inlineStr">
        <is>
          <t>1</t>
        </is>
      </c>
      <c r="C41" t="inlineStr">
        <is>
          <t>lockout-policy</t>
        </is>
      </c>
      <c r="D41" t="inlineStr">
        <is>
          <t>2026-10-06</t>
        </is>
      </c>
      <c r="E41" s="5" t="inlineStr">
        <is>
          <t>The 'unsuccessful' login-activity filter still counts one-time-code sends (code_sent), so the 'failed in the last 24 hours' figure includes them. This was already the case and is not changed here.</t>
        </is>
      </c>
      <c r="F41" t="inlineStr">
        <is>
          <t>Open (verify)</t>
        </is>
      </c>
      <c r="I41" s="5" t="n"/>
    </row>
    <row r="42">
      <c r="A42" t="inlineStr">
        <is>
          <t>D-041</t>
        </is>
      </c>
      <c r="B42" t="inlineStr">
        <is>
          <t>1</t>
        </is>
      </c>
      <c r="C42" t="inlineStr">
        <is>
          <t>lockout-policy</t>
        </is>
      </c>
      <c r="D42" t="inlineStr">
        <is>
          <t>2026-10-06</t>
        </is>
      </c>
      <c r="E42" s="5" t="inlineStr">
        <is>
          <t>Older fields on the Security page still say 'Minimum allowed'; only the new lockout fields say 'YukthiX minimum'.</t>
        </is>
      </c>
      <c r="F42" t="inlineStr">
        <is>
          <t>Open (verify)</t>
        </is>
      </c>
      <c r="I42" s="5" t="n"/>
    </row>
    <row r="43">
      <c r="A43" t="inlineStr">
        <is>
          <t>D-042</t>
        </is>
      </c>
      <c r="B43" t="inlineStr">
        <is>
          <t>1</t>
        </is>
      </c>
      <c r="C43" t="inlineStr">
        <is>
          <t>lockout-policy</t>
        </is>
      </c>
      <c r="D43" t="inlineStr">
        <is>
          <t>2026-10-06</t>
        </is>
      </c>
      <c r="E43" s="5" t="inlineStr">
        <is>
          <t>The full API e2e run was not repeated after the last two small fixes; only the 7 sign-in suites were re-run.</t>
        </is>
      </c>
      <c r="F43" t="inlineStr">
        <is>
          <t>Open (verify)</t>
        </is>
      </c>
      <c r="I43" s="5" t="n"/>
    </row>
    <row r="44">
      <c r="A44" t="inlineStr">
        <is>
          <t>D-043</t>
        </is>
      </c>
      <c r="B44" t="inlineStr">
        <is>
          <t>1</t>
        </is>
      </c>
      <c r="C44" t="inlineStr">
        <is>
          <t>lockout-policy</t>
        </is>
      </c>
      <c r="D44" t="inlineStr">
        <is>
          <t>2026-10-06</t>
        </is>
      </c>
      <c r="E44" s="5" t="inlineStr">
        <is>
          <t>Jest e2e reports open handles at exit, so the suite was run with --forceExit (this was already the case).</t>
        </is>
      </c>
      <c r="F44" t="inlineStr">
        <is>
          <t>Open (verify)</t>
        </is>
      </c>
      <c r="I44" s="5" t="n"/>
    </row>
    <row r="45">
      <c r="A45" t="inlineStr">
        <is>
          <t>D-044</t>
        </is>
      </c>
      <c r="B45" t="inlineStr">
        <is>
          <t>1</t>
        </is>
      </c>
      <c r="C45" t="inlineStr">
        <is>
          <t>login-no-code</t>
        </is>
      </c>
      <c r="D45" t="inlineStr">
        <is>
          <t>2026-10-06</t>
        </is>
      </c>
      <c r="E45" s="5" t="inlineStr">
        <is>
          <t>"Signed" selection token: it is a random 256-bit token with its state kept server-side in Redis, deleted on first use, tied to the device and expiring after 2 minutes — the same pattern as the existing MFA pending token. It is not a signature-carrying token like a JWT; I judged it at least as strong because it can't be forged, replayed or reused after deletion. Say if a literal signed token is required.</t>
        </is>
      </c>
      <c r="F45" t="inlineStr">
        <is>
          <t>Open (verify)</t>
        </is>
      </c>
      <c r="I45" s="5" t="n"/>
    </row>
    <row r="46">
      <c r="A46" t="inlineStr">
        <is>
          <t>D-045</t>
        </is>
      </c>
      <c r="B46" t="inlineStr">
        <is>
          <t>1</t>
        </is>
      </c>
      <c r="C46" t="inlineStr">
        <is>
          <t>login-no-code</t>
        </is>
      </c>
      <c r="D46" t="inlineStr">
        <is>
          <t>2026-10-06</t>
        </is>
      </c>
      <c r="E46" s="5" t="inlineStr">
        <is>
          <t>Equal work across 1 vs many matching accounts: the password checks run in parallel (at most 10), so response time barely changes, but it is not padded to a fixed number of checks. This is marked with a ponytail comment in the code. 0 vs 1 account costs the same, because of the dummy check.</t>
        </is>
      </c>
      <c r="F46" t="inlineStr">
        <is>
          <t>Open (verify)</t>
        </is>
      </c>
      <c r="I46" s="5" t="n"/>
    </row>
    <row r="47">
      <c r="A47" t="inlineStr">
        <is>
          <t>D-046</t>
        </is>
      </c>
      <c r="B47" t="inlineStr">
        <is>
          <t>1</t>
        </is>
      </c>
      <c r="C47" t="inlineStr">
        <is>
          <t>login-no-code</t>
        </is>
      </c>
      <c r="D47" t="inlineStr">
        <is>
          <t>2026-10-06</t>
        </is>
      </c>
      <c r="E47" s="5" t="inlineStr">
        <is>
          <t>A domain is never re-checked after it is verified; a lapsed domain keeps routing until it is taken off the company's providers.</t>
        </is>
      </c>
      <c r="F47" t="inlineStr">
        <is>
          <t>Open (verify)</t>
        </is>
      </c>
      <c r="I47" s="5" t="n"/>
    </row>
    <row r="48">
      <c r="A48" t="inlineStr">
        <is>
          <t>D-047</t>
        </is>
      </c>
      <c r="B48" t="inlineStr">
        <is>
          <t>1</t>
        </is>
      </c>
      <c r="C48" t="inlineStr">
        <is>
          <t>login-no-code</t>
        </is>
      </c>
      <c r="D48" t="inlineStr">
        <is>
          <t>2026-10-06</t>
        </is>
      </c>
      <c r="E48" s="5" t="inlineStr">
        <is>
          <t>The full identity-provider editor is still the v2 page (/v2/settings/sso). Only the domain status and the "Check record" button were added to the YukthiX Settings › Security screen.</t>
        </is>
      </c>
      <c r="F48" t="inlineStr">
        <is>
          <t>Open (verify)</t>
        </is>
      </c>
      <c r="I48" s="5" t="n"/>
    </row>
    <row r="49">
      <c r="A49" t="inlineStr">
        <is>
          <t>D-048</t>
        </is>
      </c>
      <c r="B49" t="inlineStr">
        <is>
          <t>1</t>
        </is>
      </c>
      <c r="C49" t="inlineStr">
        <is>
          <t>login-no-code</t>
        </is>
      </c>
      <c r="D49" t="inlineStr">
        <is>
          <t>2026-10-06</t>
        </is>
      </c>
      <c r="E49" s="5" t="inlineStr">
        <is>
          <t>When the company is known from the web address, an email whose domain one of that company's providers maps still goes straight to SSO without domain verification. This is the existing in-company behaviour of sso/start.</t>
        </is>
      </c>
      <c r="F49" t="inlineStr">
        <is>
          <t>Open (verify)</t>
        </is>
      </c>
      <c r="I49" s="5" t="n"/>
    </row>
    <row r="50">
      <c r="A50" t="inlineStr">
        <is>
          <t>D-049</t>
        </is>
      </c>
      <c r="B50" t="inlineStr">
        <is>
          <t>1</t>
        </is>
      </c>
      <c r="C50" t="inlineStr">
        <is>
          <t>login-no-code</t>
        </is>
      </c>
      <c r="D50" t="inlineStr">
        <is>
          <t>2026-10-06</t>
        </is>
      </c>
      <c r="E50" s="5" t="inlineStr">
        <is>
          <t>In email-first OTP with several matching accounts, the one code is sent through the first company's email sender or SMS account.</t>
        </is>
      </c>
      <c r="F50" t="inlineStr">
        <is>
          <t>Open (verify)</t>
        </is>
      </c>
      <c r="I50" s="5" t="n"/>
    </row>
    <row r="51">
      <c r="A51" t="inlineStr">
        <is>
          <t>D-050</t>
        </is>
      </c>
      <c r="B51" t="inlineStr">
        <is>
          <t>1</t>
        </is>
      </c>
      <c r="C51" t="inlineStr">
        <is>
          <t>login-no-code</t>
        </is>
      </c>
      <c r="D51" t="inlineStr">
        <is>
          <t>2026-10-06</t>
        </is>
      </c>
      <c r="E51" s="5" t="inlineStr">
        <is>
          <t>Platform staff (super admin) accounts are now one of the email-first candidates. If a staff account shares an email and password with a company account, the picker shows a "YukthiX" choice.</t>
        </is>
      </c>
      <c r="F51" t="inlineStr">
        <is>
          <t>Open (verify)</t>
        </is>
      </c>
      <c r="I51" s="5" t="n"/>
    </row>
    <row r="52">
      <c r="A52" t="inlineStr">
        <is>
          <t>D-051</t>
        </is>
      </c>
      <c r="B52" t="inlineStr">
        <is>
          <t>1</t>
        </is>
      </c>
      <c r="C52" t="inlineStr">
        <is>
          <t>sms-channel</t>
        </is>
      </c>
      <c r="D52" t="inlineStr">
        <is>
          <t>2026-10-06</t>
        </is>
      </c>
      <c r="E52" s="5" t="inlineStr">
        <is>
          <t>The example gateway configs, especially the delivery-report formats, are best-effort shapes from memory of each provider's API. Check each against the gateway's current API reference before going live; the README says so.</t>
        </is>
      </c>
      <c r="F52" t="inlineStr">
        <is>
          <t>Open (verify)</t>
        </is>
      </c>
      <c r="I52" s="5" t="n"/>
    </row>
    <row r="53">
      <c r="A53" t="inlineStr">
        <is>
          <t>D-052</t>
        </is>
      </c>
      <c r="B53" t="inlineStr">
        <is>
          <t>1</t>
        </is>
      </c>
      <c r="C53" t="inlineStr">
        <is>
          <t>sms-channel</t>
        </is>
      </c>
      <c r="D53" t="inlineStr">
        <is>
          <t>2026-10-06</t>
        </is>
      </c>
      <c r="E53" s="5" t="inlineStr">
        <is>
          <t>Twilio delivery reports are verified with the token in the callback URL, not with Twilio's own X-Twilio-Signature. Add native signature checking if wanted.</t>
        </is>
      </c>
      <c r="F53" t="inlineStr">
        <is>
          <t>Open (verify)</t>
        </is>
      </c>
      <c r="I53" s="5" t="n"/>
    </row>
    <row r="54">
      <c r="A54" t="inlineStr">
        <is>
          <t>D-053</t>
        </is>
      </c>
      <c r="B54" t="inlineStr">
        <is>
          <t>1</t>
        </is>
      </c>
      <c r="C54" t="inlineStr">
        <is>
          <t>sms-channel</t>
        </is>
      </c>
      <c r="D54" t="inlineStr">
        <is>
          <t>2026-10-06</t>
        </is>
      </c>
      <c r="E54" s="5" t="inlineStr">
        <is>
          <t>OTP sends run in-process, not on the engine's queue. The idempotency key is a random id per code issued; the full engine should pass (event, recipient, channel) through the same sendOtp.</t>
        </is>
      </c>
      <c r="F54" t="inlineStr">
        <is>
          <t>Open (verify)</t>
        </is>
      </c>
      <c r="I54" s="5" t="n"/>
    </row>
    <row r="55">
      <c r="A55" t="inlineStr">
        <is>
          <t>D-054</t>
        </is>
      </c>
      <c r="B55" t="inlineStr">
        <is>
          <t>1</t>
        </is>
      </c>
      <c r="C55" t="inlineStr">
        <is>
          <t>sms-channel</t>
        </is>
      </c>
      <c r="D55" t="inlineStr">
        <is>
          <t>2026-10-06</t>
        </is>
      </c>
      <c r="E55" s="5" t="inlineStr">
        <is>
          <t>There is no UI link to the example configs: I had no customer-facing docs URL to point to. Pass examplesHref once docs are hosted.</t>
        </is>
      </c>
      <c r="F55" t="inlineStr">
        <is>
          <t>Open (verify)</t>
        </is>
      </c>
      <c r="I55" s="5" t="n"/>
    </row>
    <row r="56">
      <c r="A56" t="inlineStr">
        <is>
          <t>D-055</t>
        </is>
      </c>
      <c r="B56" t="inlineStr">
        <is>
          <t>1</t>
        </is>
      </c>
      <c r="C56" t="inlineStr">
        <is>
          <t>sms-channel</t>
        </is>
      </c>
      <c r="D56" t="inlineStr">
        <is>
          <t>2026-10-06</t>
        </is>
      </c>
      <c r="E56" s="5" t="inlineStr">
        <is>
          <t>Only one template type ('otp') is stored per account (in a JSON column). The engine will add more types the same way.</t>
        </is>
      </c>
      <c r="F56" t="inlineStr">
        <is>
          <t>Open (verify)</t>
        </is>
      </c>
      <c r="I56" s="5" t="n"/>
    </row>
    <row r="57">
      <c r="A57" t="inlineStr">
        <is>
          <t>D-056</t>
        </is>
      </c>
      <c r="B57" t="inlineStr">
        <is>
          <t>1</t>
        </is>
      </c>
      <c r="C57" t="inlineStr">
        <is>
          <t>sms-channel</t>
        </is>
      </c>
      <c r="D57" t="inlineStr">
        <is>
          <t>2026-10-06</t>
        </is>
      </c>
      <c r="E57" s="5" t="inlineStr">
        <is>
          <t>The monthly cap counts messages, not billable parts (cost_units records parts). The month boundary is IST, not each company's time zone.</t>
        </is>
      </c>
      <c r="F57" t="inlineStr">
        <is>
          <t>Open (verify)</t>
        </is>
      </c>
      <c r="I57" s="5" t="n"/>
    </row>
    <row r="58">
      <c r="A58" t="inlineStr">
        <is>
          <t>D-057</t>
        </is>
      </c>
      <c r="B58" t="inlineStr">
        <is>
          <t>1</t>
        </is>
      </c>
      <c r="C58" t="inlineStr">
        <is>
          <t>sms-channel</t>
        </is>
      </c>
      <c r="D58" t="inlineStr">
        <is>
          <t>2026-10-06</t>
        </is>
      </c>
      <c r="E58" s="5" t="inlineStr">
        <is>
          <t>The SMS page sits in the existing Security shell's side nav as 'Text messages (SMS)'. A real Notifications section waits for the wider settings navigation.</t>
        </is>
      </c>
      <c r="F58" t="inlineStr">
        <is>
          <t>Open (verify)</t>
        </is>
      </c>
      <c r="I58" s="5" t="n"/>
    </row>
    <row r="59">
      <c r="A59" t="inlineStr">
        <is>
          <t>D-058</t>
        </is>
      </c>
      <c r="B59" t="inlineStr">
        <is>
          <t>1</t>
        </is>
      </c>
      <c r="C59" t="inlineStr">
        <is>
          <t>sms-channel</t>
        </is>
      </c>
      <c r="D59" t="inlineStr">
        <is>
          <t>2026-10-06</t>
        </is>
      </c>
      <c r="E59" s="5" t="inlineStr">
        <is>
          <t>On phone cards the delivery log shows a stray '·' separator next to the masked number. It comes from the shared DataTable card layout.</t>
        </is>
      </c>
      <c r="F59" t="inlineStr">
        <is>
          <t>Open (verify)</t>
        </is>
      </c>
      <c r="I59" s="5" t="n"/>
    </row>
    <row r="60">
      <c r="A60" t="inlineStr">
        <is>
          <t>D-059</t>
        </is>
      </c>
      <c r="B60" t="inlineStr">
        <is>
          <t>1</t>
        </is>
      </c>
      <c r="C60" t="inlineStr">
        <is>
          <t>login:1a-sessions</t>
        </is>
      </c>
      <c r="D60" t="inlineStr">
        <is>
          <t>2026-10-06</t>
        </is>
      </c>
      <c r="E60" s="5" t="inlineStr">
        <is>
          <t>Bot challenge on public login/OTP pages under attack (YX-IAM-07): needs a CAPTCHA/Turnstile provider decision and a frontend change; not in Part 1a's list.</t>
        </is>
      </c>
      <c r="F60" t="inlineStr">
        <is>
          <t>Open (verify)</t>
        </is>
      </c>
      <c r="I60" s="5" t="n"/>
    </row>
    <row r="61">
      <c r="A61" t="inlineStr">
        <is>
          <t>D-060</t>
        </is>
      </c>
      <c r="B61" t="inlineStr">
        <is>
          <t>1</t>
        </is>
      </c>
      <c r="C61" t="inlineStr">
        <is>
          <t>login:1a-sessions</t>
        </is>
      </c>
      <c r="D61" t="inlineStr">
        <is>
          <t>2026-10-06</t>
        </is>
      </c>
      <c r="E61" s="5" t="inlineStr">
        <is>
          <t>New-country login alerts and the sessions.geo column (YX-IAM-07): there is no geo-IP lookup in the codebase yet, so geo stays null as instructed. Only new-device alerts are sent.</t>
        </is>
      </c>
      <c r="F61" t="inlineStr">
        <is>
          <t>Open (verify)</t>
        </is>
      </c>
      <c r="I61" s="5" t="n"/>
    </row>
    <row r="62">
      <c r="A62" t="inlineStr">
        <is>
          <t>D-061</t>
        </is>
      </c>
      <c r="B62" t="inlineStr">
        <is>
          <t>1</t>
        </is>
      </c>
      <c r="C62" t="inlineStr">
        <is>
          <t>login:1a-sessions</t>
        </is>
      </c>
      <c r="D62" t="inlineStr">
        <is>
          <t>2026-10-06</t>
        </is>
      </c>
      <c r="E62" s="5" t="inlineStr">
        <is>
          <t>Per-tenant stricter session limits: limits are process-wide (env, clamped to the floor) until tenant_security_policies exists. Each session stores its own idle_timeout_seconds so a tenant policy can plug in later.</t>
        </is>
      </c>
      <c r="F62" t="inlineStr">
        <is>
          <t>Open (verify)</t>
        </is>
      </c>
      <c r="I62" s="5" t="n"/>
    </row>
    <row r="63">
      <c r="A63" t="inlineStr">
        <is>
          <t>D-062</t>
        </is>
      </c>
      <c r="B63" t="inlineStr">
        <is>
          <t>1</t>
        </is>
      </c>
      <c r="C63" t="inlineStr">
        <is>
          <t>login:1a-sessions</t>
        </is>
      </c>
      <c r="D63" t="inlineStr">
        <is>
          <t>2026-10-06</t>
        </is>
      </c>
      <c r="E63" s="5" t="inlineStr">
        <is>
          <t>Mobile 30-day sessions (M04 Q8): all staff sessions use the desk floor for now. A device-type distinction comes with the mobile/device-registration work.</t>
        </is>
      </c>
      <c r="F63" t="inlineStr">
        <is>
          <t>Open (verify)</t>
        </is>
      </c>
      <c r="I63" s="5" t="n"/>
    </row>
    <row r="64">
      <c r="A64" t="inlineStr">
        <is>
          <t>D-063</t>
        </is>
      </c>
      <c r="B64" t="inlineStr">
        <is>
          <t>1</t>
        </is>
      </c>
      <c r="C64" t="inlineStr">
        <is>
          <t>login:1a-sessions</t>
        </is>
      </c>
      <c r="D64" t="inlineStr">
        <is>
          <t>2026-10-06</t>
        </is>
      </c>
      <c r="E64" s="5" t="inlineStr">
        <is>
          <t>Retention job: expired and revoked sessions rows and login_events accumulate. Login events must be kept at least 1 year (YX-SECOPS-07); a purge job and its DB role are not built.</t>
        </is>
      </c>
      <c r="F64" t="inlineStr">
        <is>
          <t>Open (verify)</t>
        </is>
      </c>
      <c r="I64" s="5" t="n"/>
    </row>
    <row r="65">
      <c r="A65" t="inlineStr">
        <is>
          <t>D-064</t>
        </is>
      </c>
      <c r="B65" t="inlineStr">
        <is>
          <t>1</t>
        </is>
      </c>
      <c r="C65" t="inlineStr">
        <is>
          <t>login:1a-sessions</t>
        </is>
      </c>
      <c r="D65" t="inlineStr">
        <is>
          <t>2026-10-06</t>
        </is>
      </c>
      <c r="E65" s="5" t="inlineStr">
        <is>
          <t>Web app (apps/web) is untouched: no Me &gt; Security or Admin &gt; Login activity screens yet. The client also handles the new 401 'Session expired' only through its existing logout-on-refresh-failure path, and any background polling it does will keep a session from idling out. Not verified in the browser.</t>
        </is>
      </c>
      <c r="F65" t="inlineStr">
        <is>
          <t>Open (verify)</t>
        </is>
      </c>
      <c r="I65" s="5" t="n"/>
    </row>
    <row r="66">
      <c r="A66" t="inlineStr">
        <is>
          <t>D-065</t>
        </is>
      </c>
      <c r="B66" t="inlineStr">
        <is>
          <t>1</t>
        </is>
      </c>
      <c r="C66" t="inlineStr">
        <is>
          <t>login:1a-sessions</t>
        </is>
      </c>
      <c r="D66" t="inlineStr">
        <is>
          <t>2026-10-06</t>
        </is>
      </c>
      <c r="E66" s="5" t="inlineStr">
        <is>
          <t>Retry-After header: the 429 lockout response carries retryAfterSeconds in the body but does not set the HTTP Retry-After header.</t>
        </is>
      </c>
      <c r="F66" t="inlineStr">
        <is>
          <t>Open (verify)</t>
        </is>
      </c>
      <c r="I66" s="5" t="n"/>
    </row>
    <row r="67">
      <c r="A67" t="inlineStr">
        <is>
          <t>D-066</t>
        </is>
      </c>
      <c r="B67" t="inlineStr">
        <is>
          <t>1</t>
        </is>
      </c>
      <c r="C67" t="inlineStr">
        <is>
          <t>login:1a-sessions</t>
        </is>
      </c>
      <c r="D67" t="inlineStr">
        <is>
          <t>2026-10-06</t>
        </is>
      </c>
      <c r="E67" s="5" t="inlineStr">
        <is>
          <t>Login events and session revocations are recorded in their tables and the existing audit_logs; the P08 per-tenant audit hash chain does not exist yet, so they are not chained.</t>
        </is>
      </c>
      <c r="F67" t="inlineStr">
        <is>
          <t>Open (verify)</t>
        </is>
      </c>
      <c r="I67" s="5" t="n"/>
    </row>
    <row r="68">
      <c r="A68" t="inlineStr">
        <is>
          <t>D-067</t>
        </is>
      </c>
      <c r="B68" t="inlineStr">
        <is>
          <t>1</t>
        </is>
      </c>
      <c r="C68" t="inlineStr">
        <is>
          <t>login:1b-passwords-policy</t>
        </is>
      </c>
      <c r="D68" t="inlineStr">
        <is>
          <t>2026-10-06</t>
        </is>
      </c>
      <c r="E68" s="5" t="inlineStr">
        <is>
          <t>Enforcing MFA scope and allowed factors (YX-IAM-01/03), and requiring MFA on break-glass accounts. The settings are stored and validated now; enforcement needs the factors that Part 1c builds.</t>
        </is>
      </c>
      <c r="F68" t="inlineStr">
        <is>
          <t>Open (verify)</t>
        </is>
      </c>
      <c r="I68" s="5" t="n"/>
    </row>
    <row r="69">
      <c r="A69" t="inlineStr">
        <is>
          <t>D-068</t>
        </is>
      </c>
      <c r="B69" t="inlineStr">
        <is>
          <t>1</t>
        </is>
      </c>
      <c r="C69" t="inlineStr">
        <is>
          <t>login:1b-passwords-policy</t>
        </is>
      </c>
      <c r="D69" t="inlineStr">
        <is>
          <t>2026-10-06</t>
        </is>
      </c>
      <c r="E69" s="5" t="inlineStr">
        <is>
          <t>Step-up on security-policy changes (YX-IAM-02). The PATCH endpoint carries the @RequireStepUp() marker, but nothing enforces it until Part 1c's StepUpGuard exists.</t>
        </is>
      </c>
      <c r="F69" t="inlineStr">
        <is>
          <t>Open (verify)</t>
        </is>
      </c>
      <c r="I69" s="5" t="n"/>
    </row>
    <row r="70">
      <c r="A70" t="inlineStr">
        <is>
          <t>D-069</t>
        </is>
      </c>
      <c r="B70" t="inlineStr">
        <is>
          <t>1</t>
        </is>
      </c>
      <c r="C70" t="inlineStr">
        <is>
          <t>login:1b-passwords-policy</t>
        </is>
      </c>
      <c r="D70" t="inlineStr">
        <is>
          <t>2026-10-06</t>
        </is>
      </c>
      <c r="E70" s="5" t="inlineStr">
        <is>
          <t>An option for a company to include the mobile app or the candidate/external portals in its IP allow-lists. They are exempt for now: no mobile client exists yet to tell apart from the web, and the portals do not use staff tokens.</t>
        </is>
      </c>
      <c r="F70" t="inlineStr">
        <is>
          <t>Open (verify)</t>
        </is>
      </c>
      <c r="I70" s="5" t="n"/>
    </row>
    <row r="71">
      <c r="A71" t="inlineStr">
        <is>
          <t>D-070</t>
        </is>
      </c>
      <c r="B71" t="inlineStr">
        <is>
          <t>1</t>
        </is>
      </c>
      <c r="C71" t="inlineStr">
        <is>
          <t>login:1b-passwords-policy</t>
        </is>
      </c>
      <c r="D71" t="inlineStr">
        <is>
          <t>2026-10-06</t>
        </is>
      </c>
      <c r="E71" s="5" t="inlineStr">
        <is>
          <t>Several identity providers per company, mapped by email domain (YX-IAM-04, Q2). SSO-only currently relies on the existing single SAML setup (samlEnabled); multi-provider and Google / Entra OIDC are Part 1c/1d work.</t>
        </is>
      </c>
      <c r="F71" t="inlineStr">
        <is>
          <t>Open (verify)</t>
        </is>
      </c>
      <c r="I71" s="5" t="n"/>
    </row>
    <row r="72">
      <c r="A72" t="inlineStr">
        <is>
          <t>D-071</t>
        </is>
      </c>
      <c r="B72" t="inlineStr">
        <is>
          <t>1</t>
        </is>
      </c>
      <c r="C72" t="inlineStr">
        <is>
          <t>login:1b-passwords-policy</t>
        </is>
      </c>
      <c r="D72" t="inlineStr">
        <is>
          <t>2026-10-06</t>
        </is>
      </c>
      <c r="E72" s="5" t="inlineStr">
        <is>
          <t>The 'admin console' allow-list covers endpoints gated by an org:manage_* permission. Admin actions guarded only by a role check, such as impersonation, are covered by the desk list but not the admin list.</t>
        </is>
      </c>
      <c r="F72" t="inlineStr">
        <is>
          <t>Open (verify)</t>
        </is>
      </c>
      <c r="I72" s="5" t="n"/>
    </row>
    <row r="73">
      <c r="A73" t="inlineStr">
        <is>
          <t>D-072</t>
        </is>
      </c>
      <c r="B73" t="inlineStr">
        <is>
          <t>1</t>
        </is>
      </c>
      <c r="C73" t="inlineStr">
        <is>
          <t>login:1b-passwords-policy</t>
        </is>
      </c>
      <c r="D73" t="inlineStr">
        <is>
          <t>2026-10-06</t>
        </is>
      </c>
      <c r="E73" s="5" t="inlineStr">
        <is>
          <t>The policy cache is per process: other API instances apply a change within 30 seconds. A Redis-based invalidation would remove that delay if it ever matters.</t>
        </is>
      </c>
      <c r="F73" t="inlineStr">
        <is>
          <t>Open (verify)</t>
        </is>
      </c>
      <c r="I73" s="5" t="n"/>
    </row>
    <row r="74">
      <c r="A74" t="inlineStr">
        <is>
          <t>D-073</t>
        </is>
      </c>
      <c r="B74" t="inlineStr">
        <is>
          <t>1</t>
        </is>
      </c>
      <c r="C74" t="inlineStr">
        <is>
          <t>login:1c-mfa</t>
        </is>
      </c>
      <c r="D74" t="inlineStr">
        <is>
          <t>2026-10-06</t>
        </is>
      </c>
      <c r="E74" s="5" t="inlineStr">
        <is>
          <t>OTP by SMS / WhatsApp / email (the fallback factor in YX-IAM-03) is not built, because nothing exists to send it. The 'never the sole factor for System Admin / Payroll Admin' rule holds only because no OTP factor exists; it must be enforced when OTP is added.</t>
        </is>
      </c>
      <c r="F74" t="inlineStr">
        <is>
          <t>Open (verify)</t>
        </is>
      </c>
      <c r="I74" s="5" t="n"/>
    </row>
    <row r="75">
      <c r="A75" t="inlineStr">
        <is>
          <t>D-074</t>
        </is>
      </c>
      <c r="B75" t="inlineStr">
        <is>
          <t>1</t>
        </is>
      </c>
      <c r="C75" t="inlineStr">
        <is>
          <t>login:1c-mfa</t>
        </is>
      </c>
      <c r="D75" t="inlineStr">
        <is>
          <t>2026-10-06</t>
        </is>
      </c>
      <c r="E75" s="5" t="inlineStr">
        <is>
          <t>Hardware-key-only MFA for YukthiX staff (Q7) is not enforced: staff can use any passkey or TOTP app. Resetting a platform super admin's MFA is also not built, because resets are organisation-scoped.</t>
        </is>
      </c>
      <c r="F75" t="inlineStr">
        <is>
          <t>Open (verify)</t>
        </is>
      </c>
      <c r="I75" s="5" t="n"/>
    </row>
    <row r="76">
      <c r="A76" t="inlineStr">
        <is>
          <t>D-075</t>
        </is>
      </c>
      <c r="B76" t="inlineStr">
        <is>
          <t>1</t>
        </is>
      </c>
      <c r="C76" t="inlineStr">
        <is>
          <t>login:1c-mfa</t>
        </is>
      </c>
      <c r="D76" t="inlineStr">
        <is>
          <t>2026-10-06</t>
        </is>
      </c>
      <c r="E76" s="5" t="inlineStr">
        <is>
          <t>Passkey-only (usernameless) sign-in, where a passkey alone gives AAL2, is not built. Passkeys work as the second factor.</t>
        </is>
      </c>
      <c r="F76" t="inlineStr">
        <is>
          <t>Open (verify)</t>
        </is>
      </c>
      <c r="I76" s="5" t="n"/>
    </row>
    <row r="77">
      <c r="A77" t="inlineStr">
        <is>
          <t>D-076</t>
        </is>
      </c>
      <c r="B77" t="inlineStr">
        <is>
          <t>1</t>
        </is>
      </c>
      <c r="C77" t="inlineStr">
        <is>
          <t>login:1c-mfa</t>
        </is>
      </c>
      <c r="D77" t="inlineStr">
        <is>
          <t>2026-10-06</t>
        </is>
      </c>
      <c r="E77" s="5" t="inlineStr">
        <is>
          <t>SSO sessions do not count as AAL2 even when the identity provider enforces MFA; such users still need a YukthiX factor. Reading the provider's MFA claim belongs with the Google/Entra OIDC part.</t>
        </is>
      </c>
      <c r="F77" t="inlineStr">
        <is>
          <t>Open (verify)</t>
        </is>
      </c>
      <c r="I77" s="5" t="n"/>
    </row>
    <row r="78">
      <c r="A78" t="inlineStr">
        <is>
          <t>D-077</t>
        </is>
      </c>
      <c r="B78" t="inlineStr">
        <is>
          <t>1</t>
        </is>
      </c>
      <c r="C78" t="inlineStr">
        <is>
          <t>login:1c-mfa</t>
        </is>
      </c>
      <c r="D78" t="inlineStr">
        <is>
          <t>2026-10-06</t>
        </is>
      </c>
      <c r="E78" s="5" t="inlineStr">
        <is>
          <t>The 'identity re-verification' route of YX-IAM-11 is not built; the second-admin route is. The email password-reset link still works for a sensitive-role account that has no factor yet (inside its grace).</t>
        </is>
      </c>
      <c r="F78" t="inlineStr">
        <is>
          <t>Open (verify)</t>
        </is>
      </c>
      <c r="I78" s="5" t="n"/>
    </row>
    <row r="79">
      <c r="A79" t="inlineStr">
        <is>
          <t>D-078</t>
        </is>
      </c>
      <c r="B79" t="inlineStr">
        <is>
          <t>1</t>
        </is>
      </c>
      <c r="C79" t="inlineStr">
        <is>
          <t>login:1c-mfa</t>
        </is>
      </c>
      <c r="D79" t="inlineStr">
        <is>
          <t>2026-10-06</t>
        </is>
      </c>
      <c r="E79" s="5" t="inlineStr">
        <is>
          <t>Bank-account change, payroll approval, Confidential/Special data export and viewing a POSH case are not marked as step-up actions because those endpoints do not exist yet. The decorator is ready for them.</t>
        </is>
      </c>
      <c r="F79" t="inlineStr">
        <is>
          <t>Open (verify)</t>
        </is>
      </c>
      <c r="I79" s="5" t="n"/>
    </row>
    <row r="80">
      <c r="A80" t="inlineStr">
        <is>
          <t>D-079</t>
        </is>
      </c>
      <c r="B80" t="inlineStr">
        <is>
          <t>1</t>
        </is>
      </c>
      <c r="C80" t="inlineStr">
        <is>
          <t>login:1c-mfa</t>
        </is>
      </c>
      <c r="D80" t="inlineStr">
        <is>
          <t>2026-10-06</t>
        </is>
      </c>
      <c r="E80" s="5" t="inlineStr">
        <is>
          <t>Saving SSO-only does not yet check that the named break-glass accounts have MFA. Sign-in already refuses a break-glass account without it, and those admins can still sign in through SSO to enrol.</t>
        </is>
      </c>
      <c r="F80" t="inlineStr">
        <is>
          <t>Open (verify)</t>
        </is>
      </c>
      <c r="I80" s="5" t="n"/>
    </row>
    <row r="81">
      <c r="A81" t="inlineStr">
        <is>
          <t>D-080</t>
        </is>
      </c>
      <c r="B81" t="inlineStr">
        <is>
          <t>1</t>
        </is>
      </c>
      <c r="C81" t="inlineStr">
        <is>
          <t>login:1d-otp</t>
        </is>
      </c>
      <c r="D81" t="inlineStr">
        <is>
          <t>2026-10-06</t>
        </is>
      </c>
      <c r="E81" s="5" t="inlineStr">
        <is>
          <t>Real SMS / WhatsApp provider: only the interface, the in-memory dev/test sink and a 'none' provider exist. Production offers email codes only until a provider (DLT-registered SMS template, WhatsApp authentication template) is wired into otp-sender.ts with credentials from the environment. Reason: no provider has been chosen and no credentials may go in code.</t>
        </is>
      </c>
      <c r="F81" t="inlineStr">
        <is>
          <t>Open (verify)</t>
        </is>
      </c>
      <c r="I81" s="5" t="n"/>
    </row>
    <row r="82">
      <c r="A82" t="inlineStr">
        <is>
          <t>D-081</t>
        </is>
      </c>
      <c r="B82" t="inlineStr">
        <is>
          <t>1</t>
        </is>
      </c>
      <c r="C82" t="inlineStr">
        <is>
          <t>login:1d-otp</t>
        </is>
      </c>
      <c r="D82" t="inlineStr">
        <is>
          <t>2026-10-06</t>
        </is>
      </c>
      <c r="E82" s="5" t="inlineStr">
        <is>
          <t>P04 YX-NTF-12/13 SMS quota metering and YX-NTF-14 channel_consents: no notification engine or consent table exists yet. Texts are sent only when the person asks for one on that channel.</t>
        </is>
      </c>
      <c r="F82" t="inlineStr">
        <is>
          <t>Open (verify)</t>
        </is>
      </c>
      <c r="I82" s="5" t="n"/>
    </row>
    <row r="83">
      <c r="A83" t="inlineStr">
        <is>
          <t>D-082</t>
        </is>
      </c>
      <c r="B83" t="inlineStr">
        <is>
          <t>1</t>
        </is>
      </c>
      <c r="C83" t="inlineStr">
        <is>
          <t>login:1d-otp</t>
        </is>
      </c>
      <c r="D83" t="inlineStr">
        <is>
          <t>2026-10-06</t>
        </is>
      </c>
      <c r="E83" s="5" t="inlineStr">
        <is>
          <t>Admins cannot set a mobile number for field staff; only the person can verify their own, after signing in by email code or password. Reason: a number entered by someone else is not proven to belong to the person. Add an admin flow that sends the employee a verification code if it is wanted.</t>
        </is>
      </c>
      <c r="F83" t="inlineStr">
        <is>
          <t>Open (verify)</t>
        </is>
      </c>
      <c r="I83" s="5" t="n"/>
    </row>
    <row r="84">
      <c r="A84" t="inlineStr">
        <is>
          <t>D-083</t>
        </is>
      </c>
      <c r="B84" t="inlineStr">
        <is>
          <t>1</t>
        </is>
      </c>
      <c r="C84" t="inlineStr">
        <is>
          <t>login:1d-otp</t>
        </is>
      </c>
      <c r="D84" t="inlineStr">
        <is>
          <t>2026-10-06</t>
        </is>
      </c>
      <c r="E84" s="5" t="inlineStr">
        <is>
          <t>Known trade-off: someone who repeatedly asks for codes on another person's identifier can use up that person's 5 codes per hour, blocking their code sign-in for up to an hour (password sign-in still works). This comes from capping codes per identifier; a CAPTCHA under attack (the YX-IAM-07 bot challenge, still open from 1a) is the usual remedy.</t>
        </is>
      </c>
      <c r="F84" t="inlineStr">
        <is>
          <t>Open (verify)</t>
        </is>
      </c>
      <c r="I84" s="5" t="n"/>
    </row>
    <row r="85">
      <c r="A85" t="inlineStr">
        <is>
          <t>D-084</t>
        </is>
      </c>
      <c r="B85" t="inlineStr">
        <is>
          <t>1</t>
        </is>
      </c>
      <c r="C85" t="inlineStr">
        <is>
          <t>login:1d-otp</t>
        </is>
      </c>
      <c r="D85" t="inlineStr">
        <is>
          <t>2026-10-06</t>
        </is>
      </c>
      <c r="E85" s="5" t="inlineStr">
        <is>
          <t>M04 app PIN, biometric unlock and 30-day mobile sessions, and P12 SSO-only plus code sign-in in e2e (covered only by unit tests: e2e would need a full SAML setup).</t>
        </is>
      </c>
      <c r="F85" t="inlineStr">
        <is>
          <t>Open (verify)</t>
        </is>
      </c>
      <c r="I85" s="5" t="n"/>
    </row>
    <row r="86">
      <c r="A86" t="inlineStr">
        <is>
          <t>D-085</t>
        </is>
      </c>
      <c r="B86" t="inlineStr">
        <is>
          <t>1</t>
        </is>
      </c>
      <c r="C86" t="inlineStr">
        <is>
          <t>login:1e-sso</t>
        </is>
      </c>
      <c r="D86" t="inlineStr">
        <is>
          <t>2026-10-06</t>
        </is>
      </c>
      <c r="E86" s="5" t="inlineStr">
        <is>
          <t>SCIM 2.0 provisioning, and revoking sessions within 5 minutes when an IdP disables a user (YX-IAM-05 second half): P12 Q2 schedules these for wave 3, before the pilot, so they are out of scope here.</t>
        </is>
      </c>
      <c r="F86" t="inlineStr">
        <is>
          <t>Open (verify)</t>
        </is>
      </c>
      <c r="I86" s="5" t="n"/>
    </row>
    <row r="87">
      <c r="A87" t="inlineStr">
        <is>
          <t>D-086</t>
        </is>
      </c>
      <c r="B87" t="inlineStr">
        <is>
          <t>1</t>
        </is>
      </c>
      <c r="C87" t="inlineStr">
        <is>
          <t>login:1e-sso</t>
        </is>
      </c>
      <c r="D87" t="inlineStr">
        <is>
          <t>2026-10-06</t>
        </is>
      </c>
      <c r="E87" s="5" t="inlineStr">
        <is>
          <t>Disabling or removing an identity provider does not end sessions already opened through it, because sessions do not record which provider opened them. That belongs with the SCIM work above.</t>
        </is>
      </c>
      <c r="F87" t="inlineStr">
        <is>
          <t>Open (verify)</t>
        </is>
      </c>
      <c r="I87" s="5" t="n"/>
    </row>
    <row r="88">
      <c r="A88" t="inlineStr">
        <is>
          <t>D-087</t>
        </is>
      </c>
      <c r="B88" t="inlineStr">
        <is>
          <t>1</t>
        </is>
      </c>
      <c r="C88" t="inlineStr">
        <is>
          <t>login:1e-sso</t>
        </is>
      </c>
      <c r="D88" t="inlineStr">
        <is>
          <t>2026-10-06</t>
        </is>
      </c>
      <c r="E88" s="5" t="inlineStr">
        <is>
          <t>Step-up through an SSO re-sign-in is not available. Step-up still needs a passkey or authenticator app (Part 1c), so an SSO-only user with no factor cannot take step-up actions until they enrol one.</t>
        </is>
      </c>
      <c r="F88" t="inlineStr">
        <is>
          <t>Open (verify)</t>
        </is>
      </c>
      <c r="I88" s="5" t="n"/>
    </row>
    <row r="89">
      <c r="A89" t="inlineStr">
        <is>
          <t>D-088</t>
        </is>
      </c>
      <c r="B89" t="inlineStr">
        <is>
          <t>1</t>
        </is>
      </c>
      <c r="C89" t="inlineStr">
        <is>
          <t>login:1e-sso</t>
        </is>
      </c>
      <c r="D89" t="inlineStr">
        <is>
          <t>2026-10-06</t>
        </is>
      </c>
      <c r="E89" s="5" t="inlineStr">
        <is>
          <t>Existing accounts are matched by email, not by the IdP's stable user id (no linking table). This is the same as the previous SAML behaviour.</t>
        </is>
      </c>
      <c r="F89" t="inlineStr">
        <is>
          <t>Open (verify)</t>
        </is>
      </c>
      <c r="I89" s="5" t="n"/>
    </row>
    <row r="90">
      <c r="A90" t="inlineStr">
        <is>
          <t>D-089</t>
        </is>
      </c>
      <c r="B90" t="inlineStr">
        <is>
          <t>1</t>
        </is>
      </c>
      <c r="C90" t="inlineStr">
        <is>
          <t>login:1e-sso</t>
        </is>
      </c>
      <c r="D90" t="inlineStr">
        <is>
          <t>2026-10-06</t>
        </is>
      </c>
      <c r="E90" s="5" t="inlineStr">
        <is>
          <t>The generic-issuer address check happens when the provider is saved and does not resolve DNS, so DNS rebinding is not blocked. This is the existing helper's documented limit, and only company admins can set an issuer.</t>
        </is>
      </c>
      <c r="F90" t="inlineStr">
        <is>
          <t>Open (verify)</t>
        </is>
      </c>
      <c r="I90" s="5" t="n"/>
    </row>
    <row r="91">
      <c r="A91" t="inlineStr">
        <is>
          <t>D-090</t>
        </is>
      </c>
      <c r="B91" t="inlineStr">
        <is>
          <t>1</t>
        </is>
      </c>
      <c r="C91" t="inlineStr">
        <is>
          <t>login:1e-sso</t>
        </is>
      </c>
      <c r="D91" t="inlineStr">
        <is>
          <t>2026-10-06</t>
        </is>
      </c>
      <c r="E91" s="5" t="inlineStr">
        <is>
          <t>There is no "test sign-in" button in the SSO settings (P12 §6.3 step 3). Instead, a generic issuer must answer discovery before it can be switched on.</t>
        </is>
      </c>
      <c r="F91" t="inlineStr">
        <is>
          <t>Open (verify)</t>
        </is>
      </c>
      <c r="I91" s="5" t="n"/>
    </row>
    <row r="92">
      <c r="A92" t="inlineStr">
        <is>
          <t>D-091</t>
        </is>
      </c>
      <c r="B92" t="inlineStr">
        <is>
          <t>1</t>
        </is>
      </c>
      <c r="C92" t="inlineStr">
        <is>
          <t>login:1g-ui</t>
        </is>
      </c>
      <c r="D92" t="inlineStr">
        <is>
          <t>2026-10-06</t>
        </is>
      </c>
      <c r="E92" s="5" t="inlineStr">
        <is>
          <t>Full API e2e result not available: the run started before the last commit (the only change after it was a docs-only README) but had not finished when this report was written. Re-run `npm run test:e2e` in apps/api to confirm.</t>
        </is>
      </c>
      <c r="F92" t="inlineStr">
        <is>
          <t>Open (verify)</t>
        </is>
      </c>
      <c r="I92" s="5" t="n"/>
    </row>
    <row r="93">
      <c r="A93" t="inlineStr">
        <is>
          <t>D-092</t>
        </is>
      </c>
      <c r="B93" t="inlineStr">
        <is>
          <t>1</t>
        </is>
      </c>
      <c r="C93" t="inlineStr">
        <is>
          <t>login:1g-ui</t>
        </is>
      </c>
      <c r="D93" t="inlineStr">
        <is>
          <t>2026-10-06</t>
        </is>
      </c>
      <c r="E93" s="5" t="inlineStr">
        <is>
          <t>Phone check of tables in Storybook is inconclusive: the automatic overflow check ran with the browser pane hidden, so tables could not switch to phone cards and showed sideways scrolling inside the table. In the real app at 390 px, with the pane visible, they do switch to cards and the page itself never scrolls sideways.</t>
        </is>
      </c>
      <c r="F93" t="inlineStr">
        <is>
          <t>Open (verify)</t>
        </is>
      </c>
      <c r="I93" s="5" t="n"/>
    </row>
    <row r="94">
      <c r="A94" t="inlineStr">
        <is>
          <t>D-093</t>
        </is>
      </c>
      <c r="B94" t="inlineStr">
        <is>
          <t>1</t>
        </is>
      </c>
      <c r="C94" t="inlineStr">
        <is>
          <t>login:1g-ui</t>
        </is>
      </c>
      <c r="D94" t="inlineStr">
        <is>
          <t>2026-10-06</t>
        </is>
      </c>
      <c r="E94" s="5" t="inlineStr">
        <is>
          <t>The design system's visual and accessibility tests (Playwright) were not copied, as the task named only the token check and component tests; Storybook's a11y panel is still on.</t>
        </is>
      </c>
      <c r="F94" t="inlineStr">
        <is>
          <t>Open (verify)</t>
        </is>
      </c>
      <c r="I94" s="5" t="n"/>
    </row>
    <row r="95">
      <c r="A95" t="inlineStr">
        <is>
          <t>D-094</t>
        </is>
      </c>
      <c r="B95" t="inlineStr">
        <is>
          <t>1</t>
        </is>
      </c>
      <c r="C95" t="inlineStr">
        <is>
          <t>login:1g-ui</t>
        </is>
      </c>
      <c r="D95" t="inlineStr">
        <is>
          <t>2026-10-06</t>
        </is>
      </c>
      <c r="E95" s="5" t="inlineStr">
        <is>
          <t>Signed-in people who open /yx/sign-in are not sent on to their landing page.</t>
        </is>
      </c>
      <c r="F95" t="inlineStr">
        <is>
          <t>Open (verify)</t>
        </is>
      </c>
      <c r="I95" s="5" t="n"/>
    </row>
    <row r="96">
      <c r="A96" t="inlineStr">
        <is>
          <t>D-095</t>
        </is>
      </c>
      <c r="B96" t="inlineStr">
        <is>
          <t>1</t>
        </is>
      </c>
      <c r="C96" t="inlineStr">
        <is>
          <t>login:1g-ui</t>
        </is>
      </c>
      <c r="D96" t="inlineStr">
        <is>
          <t>2026-10-06</t>
        </is>
      </c>
      <c r="E96" s="5" t="inlineStr">
        <is>
          <t>The phone filters on Login activity are stacked full-width dropdowns; a collapsible filter panel would save space.</t>
        </is>
      </c>
      <c r="F96" t="inlineStr">
        <is>
          <t>Open (verify)</t>
        </is>
      </c>
      <c r="I96" s="5" t="n"/>
    </row>
    <row r="97">
      <c r="A97" t="inlineStr">
        <is>
          <t>D-096</t>
        </is>
      </c>
      <c r="B97" t="inlineStr">
        <is>
          <t>1</t>
        </is>
      </c>
      <c r="C97" t="inlineStr">
        <is>
          <t>login:1g-ui</t>
        </is>
      </c>
      <c r="D97" t="inlineStr">
        <is>
          <t>2026-10-06</t>
        </is>
      </c>
      <c r="E97" s="5" t="inlineStr">
        <is>
          <t>The classic login and profile pages are unchanged. The old 'New user' form, '/profile?mfa=setup' and the /v2 login still work as before; only the step-up prompt changed look everywhere.</t>
        </is>
      </c>
      <c r="F97" t="inlineStr">
        <is>
          <t>Open (verify)</t>
        </is>
      </c>
      <c r="I97" s="5" t="n"/>
    </row>
    <row r="98">
      <c r="A98" t="inlineStr">
        <is>
          <t>D-097</t>
        </is>
      </c>
      <c r="B98" t="inlineStr">
        <is>
          <t>1</t>
        </is>
      </c>
      <c r="C98" t="inlineStr">
        <is>
          <t>login:1g-ui</t>
        </is>
      </c>
      <c r="D98" t="inlineStr">
        <is>
          <t>2026-10-06</t>
        </is>
      </c>
      <c r="E98" s="5" t="inlineStr">
        <is>
          <t>Docker images still copy the whole node_modules into runtime images (existing pattern), so the new Storybook and Vite dev tools now ship in them too; the build should prune dev dependencies.</t>
        </is>
      </c>
      <c r="F98" t="inlineStr">
        <is>
          <t>Open (verify)</t>
        </is>
      </c>
      <c r="I98" s="5" t="n"/>
    </row>
    <row r="99">
      <c r="A99" t="inlineStr">
        <is>
          <t>D-098</t>
        </is>
      </c>
      <c r="B99" t="inlineStr">
        <is>
          <t>1</t>
        </is>
      </c>
      <c r="C99" t="inlineStr">
        <is>
          <t>login:1g-ui</t>
        </is>
      </c>
      <c r="D99" t="inlineStr">
        <is>
          <t>2026-10-06</t>
        </is>
      </c>
      <c r="E99" s="5" t="inlineStr">
        <is>
          <t>Not in this part: bot challenge and new-country alerts (from 1a), and automatic user provisioning from the identity provider (SCIM, wave 3).</t>
        </is>
      </c>
      <c r="F99" t="inlineStr">
        <is>
          <t>Open (verify)</t>
        </is>
      </c>
      <c r="I99" s="5" t="n"/>
    </row>
    <row r="100">
      <c r="A100" t="inlineStr">
        <is>
          <t>D-099</t>
        </is>
      </c>
      <c r="B100" t="inlineStr">
        <is>
          <t>1</t>
        </is>
      </c>
      <c r="C100" t="inlineStr">
        <is>
          <t>login:fix-review</t>
        </is>
      </c>
      <c r="D100" t="inlineStr">
        <is>
          <t>2026-10-06</t>
        </is>
      </c>
      <c r="E100" s="5" t="inlineStr">
        <is>
          <t>No Content-Security-Policy without 'unsafe-inline' for the web app. Next.js puts inline scripts on every page, so a strict policy needs a nonce issued per request, which makes every page server-rendered. The raw-HTML sink was removed instead, and /sso/callback only got a Referrer-Policy header.</t>
        </is>
      </c>
      <c r="F100" t="inlineStr">
        <is>
          <t>Open (verify)</t>
        </is>
      </c>
      <c r="I100" s="5" t="n"/>
    </row>
    <row r="101">
      <c r="A101" t="inlineStr">
        <is>
          <t>D-100</t>
        </is>
      </c>
      <c r="B101" t="inlineStr">
        <is>
          <t>1</t>
        </is>
      </c>
      <c r="C101" t="inlineStr">
        <is>
          <t>login:fix-review</t>
        </is>
      </c>
      <c r="D101" t="inlineStr">
        <is>
          <t>2026-10-06</t>
        </is>
      </c>
      <c r="E101" s="5" t="inlineStr">
        <is>
          <t>The CAPTCHA soft lock suggested in the review was not built. The device-trusted soft lock covers the denial-of-service case; the Turnstile check is optional, off until its keys are set, lets attempts through if Cloudflare is unreachable, and is not on forgot-password.</t>
        </is>
      </c>
      <c r="F101" t="inlineStr">
        <is>
          <t>Open (verify)</t>
        </is>
      </c>
      <c r="I101" s="5" t="n"/>
    </row>
    <row r="102">
      <c r="A102" t="inlineStr">
        <is>
          <t>D-101</t>
        </is>
      </c>
      <c r="B102" t="inlineStr">
        <is>
          <t>1</t>
        </is>
      </c>
      <c r="C102" t="inlineStr">
        <is>
          <t>login:fix-review</t>
        </is>
      </c>
      <c r="D102" t="inlineStr">
        <is>
          <t>2026-10-06</t>
        </is>
      </c>
      <c r="E102" s="5" t="inlineStr">
        <is>
          <t>Discovery-supplied endpoints are not required to share the issuer's registrable domain (that needs a public-suffix library, which is not a direct dependency). Every such URL is still DNS-checked and the connection pinned to the checked public address.</t>
        </is>
      </c>
      <c r="F102" t="inlineStr">
        <is>
          <t>Open (verify)</t>
        </is>
      </c>
      <c r="I102" s="5" t="n"/>
    </row>
    <row r="103">
      <c r="A103" t="inlineStr">
        <is>
          <t>D-102</t>
        </is>
      </c>
      <c r="B103" t="inlineStr">
        <is>
          <t>1</t>
        </is>
      </c>
      <c r="C103" t="inlineStr">
        <is>
          <t>login:fix-review</t>
        </is>
      </c>
      <c r="D103" t="inlineStr">
        <is>
          <t>2026-10-06</t>
        </is>
      </c>
      <c r="E103" s="5" t="inlineStr">
        <is>
          <t>Hardware-only for super admins is enforced as a device-bound (single-device, not backed-up) credential plus a roaming-key request. There is no attestation or vendor allow-list.</t>
        </is>
      </c>
      <c r="F103" t="inlineStr">
        <is>
          <t>Open (verify)</t>
        </is>
      </c>
      <c r="I103" s="5" t="n"/>
    </row>
    <row r="104">
      <c r="A104" t="inlineStr">
        <is>
          <t>D-103</t>
        </is>
      </c>
      <c r="B104" t="inlineStr">
        <is>
          <t>1</t>
        </is>
      </c>
      <c r="C104" t="inlineStr">
        <is>
          <t>login:fix-review</t>
        </is>
      </c>
      <c r="D104" t="inlineStr">
        <is>
          <t>2026-10-06</t>
        </is>
      </c>
      <c r="E104" s="5" t="inlineStr">
        <is>
          <t>There is no recovery flow for super admins: they have no recovery codes, and the existing MFA reset is per organisation. Staff should register two security keys.</t>
        </is>
      </c>
      <c r="F104" t="inlineStr">
        <is>
          <t>Open (verify)</t>
        </is>
      </c>
      <c r="I104" s="5" t="n"/>
    </row>
    <row r="105">
      <c r="A105" t="inlineStr">
        <is>
          <t>D-104</t>
        </is>
      </c>
      <c r="B105" t="inlineStr">
        <is>
          <t>1</t>
        </is>
      </c>
      <c r="C105" t="inlineStr">
        <is>
          <t>login:fix-review</t>
        </is>
      </c>
      <c r="D105" t="inlineStr">
        <is>
          <t>2026-10-06</t>
        </is>
      </c>
      <c r="E105" s="5" t="inlineStr">
        <is>
          <t>The migration gives existing domain-less providers the email domains of their organisation's accounts. A rogue domain-less provider created before this migration would also be mapped; admins should review provider domains after deploying.</t>
        </is>
      </c>
      <c r="F105" t="inlineStr">
        <is>
          <t>Open (verify)</t>
        </is>
      </c>
      <c r="I105" s="5" t="n"/>
    </row>
    <row r="106">
      <c r="A106" t="inlineStr">
        <is>
          <t>D-105</t>
        </is>
      </c>
      <c r="B106" t="inlineStr">
        <is>
          <t>1</t>
        </is>
      </c>
      <c r="C106" t="inlineStr">
        <is>
          <t>login:fix-review</t>
        </is>
      </c>
      <c r="D106" t="inlineStr">
        <is>
          <t>2026-10-06</t>
        </is>
      </c>
      <c r="E106" s="5" t="inlineStr">
        <is>
          <t>Some commits are grouped by area rather than one per finding, and intermediate commits may not compile on their own; the branch tip is green.</t>
        </is>
      </c>
      <c r="F106" t="inlineStr">
        <is>
          <t>Open (verify)</t>
        </is>
      </c>
      <c r="I106" s="5" t="n"/>
    </row>
  </sheetData>
  <autoFilter ref="A1:I106"/>
  <dataValidations count="1">
    <dataValidation sqref="G2:G106" showDropDown="0" showInputMessage="0" showErrorMessage="0" allowBlank="1" type="list">
      <formula1>"Open,In progress,Done,Parked,Not started,Accepted (won't do),Moved to a step"</formula1>
    </dataValidation>
  </dataValidations>
  <pageMargins left="0.75" right="0.75" top="1" bottom="1" header="0.5" footer="0.5"/>
</worksheet>
</file>

<file path=xl/worksheets/sheet7.xml><?xml version="1.0" encoding="utf-8"?>
<worksheet xmlns="http://schemas.openxmlformats.org/spreadsheetml/2006/main">
  <sheetPr>
    <outlinePr summaryBelow="1" summaryRight="1"/>
    <pageSetUpPr/>
  </sheetPr>
  <dimension ref="A1:H12"/>
  <sheetViews>
    <sheetView workbookViewId="0">
      <pane xSplit="1" ySplit="1" topLeftCell="B2" activePane="bottomRight" state="frozen"/>
      <selection pane="topRight"/>
      <selection pane="bottomLeft"/>
      <selection pane="bottomRight" activeCell="A1" sqref="A1"/>
    </sheetView>
  </sheetViews>
  <sheetFormatPr baseColWidth="8" defaultRowHeight="15"/>
  <cols>
    <col width="5" customWidth="1" min="1" max="1"/>
    <col width="26" customWidth="1" min="2" max="2"/>
    <col width="80" customWidth="1" min="3" max="3"/>
    <col width="50" customWidth="1" min="4" max="4"/>
    <col width="12" customWidth="1" min="5" max="5"/>
    <col width="14" customWidth="1" min="6" max="6"/>
    <col width="14" customWidth="1" min="7" max="7"/>
    <col width="14" customWidth="1" min="8" max="8"/>
  </cols>
  <sheetData>
    <row r="1">
      <c r="A1" s="4" t="inlineStr">
        <is>
          <t>#</t>
        </is>
      </c>
      <c r="B1" s="4" t="inlineStr">
        <is>
          <t>Item</t>
        </is>
      </c>
      <c r="C1" s="4" t="inlineStr">
        <is>
          <t>What to do</t>
        </is>
      </c>
      <c r="D1" s="4" t="inlineStr">
        <is>
          <t>Notes</t>
        </is>
      </c>
      <c r="E1" s="4" t="inlineStr">
        <is>
          <t>Status (start)</t>
        </is>
      </c>
      <c r="F1" s="4" t="inlineStr">
        <is>
          <t>Status (you)</t>
        </is>
      </c>
      <c r="G1" s="4" t="inlineStr">
        <is>
          <t>Owner (you)</t>
        </is>
      </c>
      <c r="H1" s="4" t="inlineStr">
        <is>
          <t>Target date (you)</t>
        </is>
      </c>
    </row>
    <row r="2">
      <c r="A2" t="inlineStr">
        <is>
          <t>1</t>
        </is>
      </c>
      <c r="B2" t="inlineStr">
        <is>
          <t>Domain</t>
        </is>
      </c>
      <c r="C2" s="5" t="inlineStr">
        <is>
          <t>Buy the app domain (e.g. app.yukthix.com) and point it at Cloudflare</t>
        </is>
      </c>
      <c r="D2" s="5" t="inlineStr">
        <is>
          <t>Needed by Turnstile, SSO redirect URLs, passkeys (WebAuthn RP ID), email sender, cookies</t>
        </is>
      </c>
      <c r="E2" t="inlineStr">
        <is>
          <t>Open</t>
        </is>
      </c>
    </row>
    <row r="3">
      <c r="A3" t="inlineStr">
        <is>
          <t>2</t>
        </is>
      </c>
      <c r="B3" t="inlineStr">
        <is>
          <t>Cloudflare Turnstile</t>
        </is>
      </c>
      <c r="C3" s="5" t="inlineStr">
        <is>
          <t>Dashboard › Turnstile › Add widget (name "YukthiX sign-in", hostname = the domain, mode Managed). Put the secret in the API host's secret settings as TURNSTILE_SECRET_KEY and the site key as NEXT_PUBLIC_TURNSTILE_SITE_KEY</t>
        </is>
      </c>
      <c r="D3" s="5" t="inlineStr">
        <is>
          <t>Never paste the secret into chat or commit it. Local dev uses Cloudflare's always-pass test keys</t>
        </is>
      </c>
      <c r="E3" t="inlineStr">
        <is>
          <t>Open</t>
        </is>
      </c>
    </row>
    <row r="4">
      <c r="A4" t="inlineStr">
        <is>
          <t>3</t>
        </is>
      </c>
      <c r="B4" t="inlineStr">
        <is>
          <t>New-country sign-in alerts</t>
        </is>
      </c>
      <c r="C4" s="5" t="inlineStr">
        <is>
          <t>Run the app behind Cloudflare's proxy, then set GEO_COUNTRY_HEADER=cf-ipcountry</t>
        </is>
      </c>
      <c r="D4" s="5" t="inlineStr">
        <is>
          <t>Only set it when traffic really goes through Cloudflare, or the header can be forged</t>
        </is>
      </c>
      <c r="E4" t="inlineStr">
        <is>
          <t>Open</t>
        </is>
      </c>
    </row>
    <row r="5">
      <c r="A5" t="inlineStr">
        <is>
          <t>4</t>
        </is>
      </c>
      <c r="B5" t="inlineStr">
        <is>
          <t>SMS provider + DLT</t>
        </is>
      </c>
      <c r="C5" s="5" t="inlineStr">
        <is>
          <t>Sign up with one SMS gateway (any; the generic HTTP adapter fits MSG91, Gupshup, Kaleyra, Exotel, Textlocal; Twilio for other countries). Register YukthiX on a DLT portal: entity (company PAN/GST), sender header (6 letters), OTP template text</t>
        </is>
      </c>
      <c r="D5" s="5" t="inlineStr">
        <is>
          <t>DLT approval takes 2–7 days. Until done, codes go by email only</t>
        </is>
      </c>
      <c r="E5" t="inlineStr">
        <is>
          <t>Open</t>
        </is>
      </c>
    </row>
    <row r="6">
      <c r="A6" t="inlineStr">
        <is>
          <t>4a</t>
        </is>
      </c>
      <c r="B6" t="inlineStr">
        <is>
          <t>Shared SMS account = Zoho CPaaS</t>
        </is>
      </c>
      <c r="C6" s="5" t="inlineStr">
        <is>
          <t>Zoho CPaaS account in the India DC; DLT registration through Zoho (sender + OTP template). A YukthiX platform admin adds it as the shared http account (example config in docs/sms-gateways/examples.json), types the API token as the token secret, sends a test, and points Zoho's delivery-report webhook at the account's callback URL</t>
        </is>
      </c>
      <c r="D6" s="5" t="inlineStr">
        <is>
          <t>Confirm Zoho's reply format (success value and message-id path) against their API reference once access is granted</t>
        </is>
      </c>
      <c r="E6" t="inlineStr">
        <is>
          <t>Open</t>
        </is>
      </c>
    </row>
    <row r="7">
      <c r="A7" t="inlineStr">
        <is>
          <t>5</t>
        </is>
      </c>
      <c r="B7" t="inlineStr">
        <is>
          <t>WhatsApp (optional)</t>
        </is>
      </c>
      <c r="C7" s="5" t="inlineStr">
        <is>
          <t>Each company connects its own WhatsApp Business number (P04 Q2)</t>
        </is>
      </c>
      <c r="D7" s="5" t="inlineStr">
        <is>
          <t>Meta bills the company directly</t>
        </is>
      </c>
      <c r="E7" t="inlineStr">
        <is>
          <t>Open</t>
        </is>
      </c>
    </row>
    <row r="8">
      <c r="A8" t="inlineStr">
        <is>
          <t>6</t>
        </is>
      </c>
      <c r="B8" t="inlineStr">
        <is>
          <t>Google / Microsoft SSO</t>
        </is>
      </c>
      <c r="C8" s="5" t="inlineStr">
        <is>
          <t>Create OAuth apps in Google Cloud and Microsoft Entra with the real redirect URL</t>
        </is>
      </c>
      <c r="D8" s="5" t="inlineStr">
        <is>
          <t>Per-company IdPs are configured by each company's admin in Settings › Security</t>
        </is>
      </c>
      <c r="E8" t="inlineStr">
        <is>
          <t>Open</t>
        </is>
      </c>
    </row>
    <row r="9">
      <c r="A9" t="inlineStr">
        <is>
          <t>7</t>
        </is>
      </c>
      <c r="B9" t="inlineStr">
        <is>
          <t>Database roles</t>
        </is>
      </c>
      <c r="C9" s="5" t="inlineStr">
        <is>
          <t>Create the owner, app login and app_runtime roles before the first prisma migrate deploy (see README › Database)</t>
        </is>
      </c>
      <c r="D9" s="5" t="inlineStr">
        <is>
          <t>The app role must not be superuser or BYPASSRLS</t>
        </is>
      </c>
      <c r="E9" t="inlineStr">
        <is>
          <t>Open</t>
        </is>
      </c>
    </row>
    <row r="10">
      <c r="A10" t="inlineStr">
        <is>
          <t>8</t>
        </is>
      </c>
      <c r="B10" t="inlineStr">
        <is>
          <t>Secrets</t>
        </is>
      </c>
      <c r="C10" s="5" t="inlineStr">
        <is>
          <t>JWT secrets, TOTP encryption key, OTP HMAC key, org-secrets key, DB/Redis passwords in a secrets manager</t>
        </is>
      </c>
      <c r="D10" s="5" t="inlineStr">
        <is>
          <t>Rotate per schedule (P12 YX-SECOPS-03)</t>
        </is>
      </c>
      <c r="E10" t="inlineStr">
        <is>
          <t>Open</t>
        </is>
      </c>
    </row>
    <row r="11">
      <c r="A11" t="inlineStr">
        <is>
          <t>9</t>
        </is>
      </c>
      <c r="B11" t="inlineStr">
        <is>
          <t>After first deploy</t>
        </is>
      </c>
      <c r="C11" s="5" t="inlineStr">
        <is>
          <t>Everyone signs in once more (old tokens had no session); admins review email domains on existing SSO providers</t>
        </is>
      </c>
      <c r="D11" s="5" t="inlineStr">
        <is>
          <t>From the login PR (#129)</t>
        </is>
      </c>
      <c r="E11" t="inlineStr">
        <is>
          <t>Open</t>
        </is>
      </c>
    </row>
    <row r="12">
      <c r="A12" t="inlineStr">
        <is>
          <t>10</t>
        </is>
      </c>
      <c r="B12" t="inlineStr">
        <is>
          <t>Security programme</t>
        </is>
      </c>
      <c r="C12" s="5" t="inlineStr">
        <is>
          <t>Pen test before the payroll pilot; incident plan and CERT-In 6-hour process; log retention ≥ 1 year</t>
        </is>
      </c>
      <c r="D12" s="5" t="inlineStr">
        <is>
          <t>P12 §8</t>
        </is>
      </c>
      <c r="E12" t="inlineStr">
        <is>
          <t>Open</t>
        </is>
      </c>
    </row>
  </sheetData>
  <autoFilter ref="A1:H12"/>
  <dataValidations count="1">
    <dataValidation sqref="F2:F12" showDropDown="0" showInputMessage="0" showErrorMessage="0" allowBlank="1" type="list">
      <formula1>"Open,In progress,Done,Parked,Not started,Accepted (won't do),Moved to a step"</formula1>
    </dataValidation>
  </dataValidations>
  <pageMargins left="0.75" right="0.75" top="1" bottom="1" header="0.5" footer="0.5"/>
</worksheet>
</file>

<file path=xl/worksheets/sheet8.xml><?xml version="1.0" encoding="utf-8"?>
<worksheet xmlns="http://schemas.openxmlformats.org/spreadsheetml/2006/main">
  <sheetPr>
    <outlinePr summaryBelow="1" summaryRight="1"/>
    <pageSetUpPr/>
  </sheetPr>
  <dimension ref="A1:F92"/>
  <sheetViews>
    <sheetView workbookViewId="0">
      <pane xSplit="1" ySplit="1" topLeftCell="B2" activePane="bottomRight" state="frozen"/>
      <selection pane="topRight"/>
      <selection pane="bottomLeft"/>
      <selection pane="bottomRight" activeCell="A1" sqref="A1"/>
    </sheetView>
  </sheetViews>
  <sheetFormatPr baseColWidth="8" defaultRowHeight="15"/>
  <cols>
    <col width="60" customWidth="1" min="1" max="1"/>
    <col width="14" customWidth="1" min="2" max="2"/>
    <col width="11" customWidth="1" min="3" max="3"/>
    <col width="12" customWidth="1" min="4" max="4"/>
    <col width="50" customWidth="1" min="5" max="5"/>
    <col width="30" customWidth="1" min="6" max="6"/>
  </cols>
  <sheetData>
    <row r="1">
      <c r="A1" s="4" t="inlineStr">
        <is>
          <t>Screen file</t>
        </is>
      </c>
      <c r="B1" s="4" t="inlineStr">
        <is>
          <t>Group</t>
        </is>
      </c>
      <c r="C1" s="4" t="inlineStr">
        <is>
          <t>Components</t>
        </is>
      </c>
      <c r="D1" s="4" t="inlineStr">
        <is>
          <t>Wired to API</t>
        </is>
      </c>
      <c r="E1" s="4" t="inlineStr">
        <is>
          <t>Wired components</t>
        </is>
      </c>
      <c r="F1" s="4" t="inlineStr">
        <is>
          <t>Notes (you)</t>
        </is>
      </c>
    </row>
    <row r="2">
      <c r="A2" t="inlineStr">
        <is>
          <t>packages/yx-ui/src/screens/auth/kit.tsx</t>
        </is>
      </c>
      <c r="B2" t="inlineStr">
        <is>
          <t>auth</t>
        </is>
      </c>
      <c r="C2" t="n">
        <v>4</v>
      </c>
      <c r="D2" t="inlineStr">
        <is>
          <t>No</t>
        </is>
      </c>
      <c r="E2" s="5" t="inlineStr"/>
    </row>
    <row r="3">
      <c r="A3" t="inlineStr">
        <is>
          <t>packages/yx-ui/src/screens/auth/login-activity.tsx</t>
        </is>
      </c>
      <c r="B3" t="inlineStr">
        <is>
          <t>auth</t>
        </is>
      </c>
      <c r="C3" t="n">
        <v>3</v>
      </c>
      <c r="D3" t="inlineStr">
        <is>
          <t>Yes</t>
        </is>
      </c>
      <c r="E3" s="5" t="inlineStr">
        <is>
          <t>LoginActivityScreen, NO_FILTERS</t>
        </is>
      </c>
    </row>
    <row r="4">
      <c r="A4" t="inlineStr">
        <is>
          <t>packages/yx-ui/src/screens/auth/me-security.tsx</t>
        </is>
      </c>
      <c r="B4" t="inlineStr">
        <is>
          <t>auth</t>
        </is>
      </c>
      <c r="C4" t="n">
        <v>1</v>
      </c>
      <c r="D4" t="inlineStr">
        <is>
          <t>Yes</t>
        </is>
      </c>
      <c r="E4" s="5" t="inlineStr">
        <is>
          <t>MeSecurityScreen</t>
        </is>
      </c>
    </row>
    <row r="5">
      <c r="A5" t="inlineStr">
        <is>
          <t>packages/yx-ui/src/screens/auth/mfa.tsx</t>
        </is>
      </c>
      <c r="B5" t="inlineStr">
        <is>
          <t>auth</t>
        </is>
      </c>
      <c r="C5" t="n">
        <v>4</v>
      </c>
      <c r="D5" t="inlineStr">
        <is>
          <t>Yes</t>
        </is>
      </c>
      <c r="E5" s="5" t="inlineStr">
        <is>
          <t>MfaChallengeScreen, MfaEnrolScreen</t>
        </is>
      </c>
    </row>
    <row r="6">
      <c r="A6" t="inlineStr">
        <is>
          <t>packages/yx-ui/src/screens/auth/security-settings.tsx</t>
        </is>
      </c>
      <c r="B6" t="inlineStr">
        <is>
          <t>auth</t>
        </is>
      </c>
      <c r="C6" t="n">
        <v>2</v>
      </c>
      <c r="D6" t="inlineStr">
        <is>
          <t>Yes</t>
        </is>
      </c>
      <c r="E6" s="5" t="inlineStr">
        <is>
          <t>SecuritySettingsScreen</t>
        </is>
      </c>
    </row>
    <row r="7">
      <c r="A7" t="inlineStr">
        <is>
          <t>packages/yx-ui/src/screens/auth/shell.tsx</t>
        </is>
      </c>
      <c r="B7" t="inlineStr">
        <is>
          <t>auth</t>
        </is>
      </c>
      <c r="C7" t="n">
        <v>1</v>
      </c>
      <c r="D7" t="inlineStr">
        <is>
          <t>Yes</t>
        </is>
      </c>
      <c r="E7" s="5" t="inlineStr">
        <is>
          <t>SecurityShell</t>
        </is>
      </c>
    </row>
    <row r="8">
      <c r="A8" t="inlineStr">
        <is>
          <t>packages/yx-ui/src/screens/auth/sign-in.tsx</t>
        </is>
      </c>
      <c r="B8" t="inlineStr">
        <is>
          <t>auth</t>
        </is>
      </c>
      <c r="C8" t="n">
        <v>1</v>
      </c>
      <c r="D8" t="inlineStr">
        <is>
          <t>Yes</t>
        </is>
      </c>
      <c r="E8" s="5" t="inlineStr">
        <is>
          <t>SignInScreen</t>
        </is>
      </c>
    </row>
    <row r="9">
      <c r="A9" t="inlineStr">
        <is>
          <t>packages/yx-ui/src/screens/auth/tables.tsx</t>
        </is>
      </c>
      <c r="B9" t="inlineStr">
        <is>
          <t>auth</t>
        </is>
      </c>
      <c r="C9" t="n">
        <v>2</v>
      </c>
      <c r="D9" t="inlineStr">
        <is>
          <t>No</t>
        </is>
      </c>
      <c r="E9" s="5" t="inlineStr"/>
    </row>
    <row r="10">
      <c r="A10" t="inlineStr">
        <is>
          <t>packages/yx-ui/src/screens/growth/engage-feed.tsx</t>
        </is>
      </c>
      <c r="B10" t="inlineStr">
        <is>
          <t>growth</t>
        </is>
      </c>
      <c r="C10" t="n">
        <v>4</v>
      </c>
      <c r="D10" t="inlineStr">
        <is>
          <t>No</t>
        </is>
      </c>
      <c r="E10" s="5" t="inlineStr"/>
    </row>
    <row r="11">
      <c r="A11" t="inlineStr">
        <is>
          <t>packages/yx-ui/src/screens/growth/engage-recognition.tsx</t>
        </is>
      </c>
      <c r="B11" t="inlineStr">
        <is>
          <t>growth</t>
        </is>
      </c>
      <c r="C11" t="n">
        <v>4</v>
      </c>
      <c r="D11" t="inlineStr">
        <is>
          <t>No</t>
        </is>
      </c>
      <c r="E11" s="5" t="inlineStr"/>
    </row>
    <row r="12">
      <c r="A12" t="inlineStr">
        <is>
          <t>packages/yx-ui/src/screens/growth/engage-surveys.tsx</t>
        </is>
      </c>
      <c r="B12" t="inlineStr">
        <is>
          <t>growth</t>
        </is>
      </c>
      <c r="C12" t="n">
        <v>5</v>
      </c>
      <c r="D12" t="inlineStr">
        <is>
          <t>No</t>
        </is>
      </c>
      <c r="E12" s="5" t="inlineStr"/>
    </row>
    <row r="13">
      <c r="A13" t="inlineStr">
        <is>
          <t>packages/yx-ui/src/screens/growth/learn-admin.tsx</t>
        </is>
      </c>
      <c r="B13" t="inlineStr">
        <is>
          <t>growth</t>
        </is>
      </c>
      <c r="C13" t="n">
        <v>9</v>
      </c>
      <c r="D13" t="inlineStr">
        <is>
          <t>No</t>
        </is>
      </c>
      <c r="E13" s="5" t="inlineStr"/>
    </row>
    <row r="14">
      <c r="A14" t="inlineStr">
        <is>
          <t>packages/yx-ui/src/screens/growth/learn-me.tsx</t>
        </is>
      </c>
      <c r="B14" t="inlineStr">
        <is>
          <t>growth</t>
        </is>
      </c>
      <c r="C14" t="n">
        <v>7</v>
      </c>
      <c r="D14" t="inlineStr">
        <is>
          <t>No</t>
        </is>
      </c>
      <c r="E14" s="5" t="inlineStr"/>
    </row>
    <row r="15">
      <c r="A15" t="inlineStr">
        <is>
          <t>packages/yx-ui/src/screens/growth/perf-goals.tsx</t>
        </is>
      </c>
      <c r="B15" t="inlineStr">
        <is>
          <t>growth</t>
        </is>
      </c>
      <c r="C15" t="n">
        <v>5</v>
      </c>
      <c r="D15" t="inlineStr">
        <is>
          <t>No</t>
        </is>
      </c>
      <c r="E15" s="5" t="inlineStr"/>
    </row>
    <row r="16">
      <c r="A16" t="inlineStr">
        <is>
          <t>packages/yx-ui/src/screens/growth/perf-people.tsx</t>
        </is>
      </c>
      <c r="B16" t="inlineStr">
        <is>
          <t>growth</t>
        </is>
      </c>
      <c r="C16" t="n">
        <v>5</v>
      </c>
      <c r="D16" t="inlineStr">
        <is>
          <t>No</t>
        </is>
      </c>
      <c r="E16" s="5" t="inlineStr"/>
    </row>
    <row r="17">
      <c r="A17" t="inlineStr">
        <is>
          <t>packages/yx-ui/src/screens/growth/perf-reviews.tsx</t>
        </is>
      </c>
      <c r="B17" t="inlineStr">
        <is>
          <t>growth</t>
        </is>
      </c>
      <c r="C17" t="n">
        <v>7</v>
      </c>
      <c r="D17" t="inlineStr">
        <is>
          <t>No</t>
        </is>
      </c>
      <c r="E17" s="5" t="inlineStr"/>
    </row>
    <row r="18">
      <c r="A18" t="inlineStr">
        <is>
          <t>packages/yx-ui/src/screens/growth/perf-talent.tsx</t>
        </is>
      </c>
      <c r="B18" t="inlineStr">
        <is>
          <t>growth</t>
        </is>
      </c>
      <c r="C18" t="n">
        <v>2</v>
      </c>
      <c r="D18" t="inlineStr">
        <is>
          <t>No</t>
        </is>
      </c>
      <c r="E18" s="5" t="inlineStr"/>
    </row>
    <row r="19">
      <c r="A19" t="inlineStr">
        <is>
          <t>packages/yx-ui/src/screens/hiring/hiring-offers.tsx</t>
        </is>
      </c>
      <c r="B19" t="inlineStr">
        <is>
          <t>hiring</t>
        </is>
      </c>
      <c r="C19" t="n">
        <v>7</v>
      </c>
      <c r="D19" t="inlineStr">
        <is>
          <t>No</t>
        </is>
      </c>
      <c r="E19" s="5" t="inlineStr"/>
    </row>
    <row r="20">
      <c r="A20" t="inlineStr">
        <is>
          <t>packages/yx-ui/src/screens/hiring/hiring-pipeline.tsx</t>
        </is>
      </c>
      <c r="B20" t="inlineStr">
        <is>
          <t>hiring</t>
        </is>
      </c>
      <c r="C20" t="n">
        <v>11</v>
      </c>
      <c r="D20" t="inlineStr">
        <is>
          <t>No</t>
        </is>
      </c>
      <c r="E20" s="5" t="inlineStr"/>
    </row>
    <row r="21">
      <c r="A21" t="inlineStr">
        <is>
          <t>packages/yx-ui/src/screens/hiring/hiring-plan.tsx</t>
        </is>
      </c>
      <c r="B21" t="inlineStr">
        <is>
          <t>hiring</t>
        </is>
      </c>
      <c r="C21" t="n">
        <v>12</v>
      </c>
      <c r="D21" t="inlineStr">
        <is>
          <t>No</t>
        </is>
      </c>
      <c r="E21" s="5" t="inlineStr"/>
    </row>
    <row r="22">
      <c r="A22" t="inlineStr">
        <is>
          <t>packages/yx-ui/src/screens/hiring/hiring-staffing.tsx</t>
        </is>
      </c>
      <c r="B22" t="inlineStr">
        <is>
          <t>hiring</t>
        </is>
      </c>
      <c r="C22" t="n">
        <v>12</v>
      </c>
      <c r="D22" t="inlineStr">
        <is>
          <t>No</t>
        </is>
      </c>
      <c r="E22" s="5" t="inlineStr"/>
    </row>
    <row r="23">
      <c r="A23" t="inlineStr">
        <is>
          <t>packages/yx-ui/src/screens/hiring/projects-billing.tsx</t>
        </is>
      </c>
      <c r="B23" t="inlineStr">
        <is>
          <t>hiring</t>
        </is>
      </c>
      <c r="C23" t="n">
        <v>4</v>
      </c>
      <c r="D23" t="inlineStr">
        <is>
          <t>No</t>
        </is>
      </c>
      <c r="E23" s="5" t="inlineStr"/>
    </row>
    <row r="24">
      <c r="A24" t="inlineStr">
        <is>
          <t>packages/yx-ui/src/screens/hiring/projects.tsx</t>
        </is>
      </c>
      <c r="B24" t="inlineStr">
        <is>
          <t>hiring</t>
        </is>
      </c>
      <c r="C24" t="n">
        <v>6</v>
      </c>
      <c r="D24" t="inlineStr">
        <is>
          <t>No</t>
        </is>
      </c>
      <c r="E24" s="5" t="inlineStr"/>
    </row>
    <row r="25">
      <c r="A25" t="inlineStr">
        <is>
          <t>packages/yx-ui/src/screens/history/job-changes.tsx</t>
        </is>
      </c>
      <c r="B25" t="inlineStr">
        <is>
          <t>history</t>
        </is>
      </c>
      <c r="C25" t="n">
        <v>1</v>
      </c>
      <c r="D25" t="inlineStr">
        <is>
          <t>Yes</t>
        </is>
      </c>
      <c r="E25" s="5" t="inlineStr">
        <is>
          <t>JobChangesScreen</t>
        </is>
      </c>
    </row>
    <row r="26">
      <c r="A26" t="inlineStr">
        <is>
          <t>packages/yx-ui/src/screens/history/person-history.tsx</t>
        </is>
      </c>
      <c r="B26" t="inlineStr">
        <is>
          <t>history</t>
        </is>
      </c>
      <c r="C26" t="n">
        <v>1</v>
      </c>
      <c r="D26" t="inlineStr">
        <is>
          <t>Yes</t>
        </is>
      </c>
      <c r="E26" s="5" t="inlineStr">
        <is>
          <t>PersonHistoryScreen</t>
        </is>
      </c>
    </row>
    <row r="27">
      <c r="A27" t="inlineStr">
        <is>
          <t>packages/yx-ui/src/screens/notifications/sms-settings.tsx</t>
        </is>
      </c>
      <c r="B27" t="inlineStr">
        <is>
          <t>notifications</t>
        </is>
      </c>
      <c r="C27" t="n">
        <v>2</v>
      </c>
      <c r="D27" t="inlineStr">
        <is>
          <t>Yes</t>
        </is>
      </c>
      <c r="E27" s="5" t="inlineStr">
        <is>
          <t>SmsSettingsScreen</t>
        </is>
      </c>
    </row>
    <row r="28">
      <c r="A28" t="inlineStr">
        <is>
          <t>packages/yx-ui/src/screens/ops/cases-more.tsx</t>
        </is>
      </c>
      <c r="B28" t="inlineStr">
        <is>
          <t>ops</t>
        </is>
      </c>
      <c r="C28" t="n">
        <v>4</v>
      </c>
      <c r="D28" t="inlineStr">
        <is>
          <t>No</t>
        </is>
      </c>
      <c r="E28" s="5" t="inlineStr"/>
    </row>
    <row r="29">
      <c r="A29" t="inlineStr">
        <is>
          <t>packages/yx-ui/src/screens/ops/cases.tsx</t>
        </is>
      </c>
      <c r="B29" t="inlineStr">
        <is>
          <t>ops</t>
        </is>
      </c>
      <c r="C29" t="n">
        <v>12</v>
      </c>
      <c r="D29" t="inlineStr">
        <is>
          <t>No</t>
        </is>
      </c>
      <c r="E29" s="5" t="inlineStr"/>
    </row>
    <row r="30">
      <c r="A30" t="inlineStr">
        <is>
          <t>packages/yx-ui/src/screens/ops/compliance.tsx</t>
        </is>
      </c>
      <c r="B30" t="inlineStr">
        <is>
          <t>ops</t>
        </is>
      </c>
      <c r="C30" t="n">
        <v>10</v>
      </c>
      <c r="D30" t="inlineStr">
        <is>
          <t>No</t>
        </is>
      </c>
      <c r="E30" s="5" t="inlineStr"/>
    </row>
    <row r="31">
      <c r="A31" t="inlineStr">
        <is>
          <t>packages/yx-ui/src/screens/ops/contract.tsx</t>
        </is>
      </c>
      <c r="B31" t="inlineStr">
        <is>
          <t>ops</t>
        </is>
      </c>
      <c r="C31" t="n">
        <v>8</v>
      </c>
      <c r="D31" t="inlineStr">
        <is>
          <t>No</t>
        </is>
      </c>
      <c r="E31" s="5" t="inlineStr"/>
    </row>
    <row r="32">
      <c r="A32" t="inlineStr">
        <is>
          <t>packages/yx-ui/src/screens/ops/expenses-finance.tsx</t>
        </is>
      </c>
      <c r="B32" t="inlineStr">
        <is>
          <t>ops</t>
        </is>
      </c>
      <c r="C32" t="n">
        <v>4</v>
      </c>
      <c r="D32" t="inlineStr">
        <is>
          <t>No</t>
        </is>
      </c>
      <c r="E32" s="5" t="inlineStr"/>
    </row>
    <row r="33">
      <c r="A33" t="inlineStr">
        <is>
          <t>packages/yx-ui/src/screens/ops/expenses.tsx</t>
        </is>
      </c>
      <c r="B33" t="inlineStr">
        <is>
          <t>ops</t>
        </is>
      </c>
      <c r="C33" t="n">
        <v>8</v>
      </c>
      <c r="D33" t="inlineStr">
        <is>
          <t>No</t>
        </is>
      </c>
      <c r="E33" s="5" t="inlineStr"/>
    </row>
    <row r="34">
      <c r="A34" t="inlineStr">
        <is>
          <t>packages/yx-ui/src/screens/ops/helpdesk.tsx</t>
        </is>
      </c>
      <c r="B34" t="inlineStr">
        <is>
          <t>ops</t>
        </is>
      </c>
      <c r="C34" t="n">
        <v>11</v>
      </c>
      <c r="D34" t="inlineStr">
        <is>
          <t>No</t>
        </is>
      </c>
      <c r="E34" s="5" t="inlineStr"/>
    </row>
    <row r="35">
      <c r="A35" t="inlineStr">
        <is>
          <t>packages/yx-ui/src/screens/ops/posh.tsx</t>
        </is>
      </c>
      <c r="B35" t="inlineStr">
        <is>
          <t>ops</t>
        </is>
      </c>
      <c r="C35" t="n">
        <v>3</v>
      </c>
      <c r="D35" t="inlineStr">
        <is>
          <t>No</t>
        </is>
      </c>
      <c r="E35" s="5" t="inlineStr"/>
    </row>
    <row r="36">
      <c r="A36" t="inlineStr">
        <is>
          <t>packages/yx-ui/src/screens/ops/visitors.tsx</t>
        </is>
      </c>
      <c r="B36" t="inlineStr">
        <is>
          <t>ops</t>
        </is>
      </c>
      <c r="C36" t="n">
        <v>6</v>
      </c>
      <c r="D36" t="inlineStr">
        <is>
          <t>No</t>
        </is>
      </c>
      <c r="E36" s="5" t="inlineStr"/>
    </row>
    <row r="37">
      <c r="A37" t="inlineStr">
        <is>
          <t>packages/yx-ui/src/screens/org/entities.tsx</t>
        </is>
      </c>
      <c r="B37" t="inlineStr">
        <is>
          <t>org</t>
        </is>
      </c>
      <c r="C37" t="n">
        <v>1</v>
      </c>
      <c r="D37" t="inlineStr">
        <is>
          <t>Yes</t>
        </is>
      </c>
      <c r="E37" s="5" t="inlineStr">
        <is>
          <t>LegalEntitiesScreen</t>
        </is>
      </c>
    </row>
    <row r="38">
      <c r="A38" t="inlineStr">
        <is>
          <t>packages/yx-ui/src/screens/org/locations.tsx</t>
        </is>
      </c>
      <c r="B38" t="inlineStr">
        <is>
          <t>org</t>
        </is>
      </c>
      <c r="C38" t="n">
        <v>1</v>
      </c>
      <c r="D38" t="inlineStr">
        <is>
          <t>Yes</t>
        </is>
      </c>
      <c r="E38" s="5" t="inlineStr">
        <is>
          <t>LocationsScreen</t>
        </is>
      </c>
    </row>
    <row r="39">
      <c r="A39" t="inlineStr">
        <is>
          <t>packages/yx-ui/src/screens/org/structure.tsx</t>
        </is>
      </c>
      <c r="B39" t="inlineStr">
        <is>
          <t>org</t>
        </is>
      </c>
      <c r="C39" t="n">
        <v>3</v>
      </c>
      <c r="D39" t="inlineStr">
        <is>
          <t>Yes</t>
        </is>
      </c>
      <c r="E39" s="5" t="inlineStr">
        <is>
          <t>KINDS, StructureScreen</t>
        </is>
      </c>
    </row>
    <row r="40">
      <c r="A40" t="inlineStr">
        <is>
          <t>packages/yx-ui/src/screens/pay/admin-tax-loans.tsx</t>
        </is>
      </c>
      <c r="B40" t="inlineStr">
        <is>
          <t>pay</t>
        </is>
      </c>
      <c r="C40" t="n">
        <v>6</v>
      </c>
      <c r="D40" t="inlineStr">
        <is>
          <t>No</t>
        </is>
      </c>
      <c r="E40" s="5" t="inlineStr"/>
    </row>
    <row r="41">
      <c r="A41" t="inlineStr">
        <is>
          <t>packages/yx-ui/src/screens/pay/comp-setup.tsx</t>
        </is>
      </c>
      <c r="B41" t="inlineStr">
        <is>
          <t>pay</t>
        </is>
      </c>
      <c r="C41" t="n">
        <v>8</v>
      </c>
      <c r="D41" t="inlineStr">
        <is>
          <t>No</t>
        </is>
      </c>
      <c r="E41" s="5" t="inlineStr"/>
    </row>
    <row r="42">
      <c r="A42" t="inlineStr">
        <is>
          <t>packages/yx-ui/src/screens/pay/employee-pay.tsx</t>
        </is>
      </c>
      <c r="B42" t="inlineStr">
        <is>
          <t>pay</t>
        </is>
      </c>
      <c r="C42" t="n">
        <v>11</v>
      </c>
      <c r="D42" t="inlineStr">
        <is>
          <t>No</t>
        </is>
      </c>
      <c r="E42" s="5" t="inlineStr"/>
    </row>
    <row r="43">
      <c r="A43" t="inlineStr">
        <is>
          <t>packages/yx-ui/src/screens/pay/offcycle.tsx</t>
        </is>
      </c>
      <c r="B43" t="inlineStr">
        <is>
          <t>pay</t>
        </is>
      </c>
      <c r="C43" t="n">
        <v>10</v>
      </c>
      <c r="D43" t="inlineStr">
        <is>
          <t>No</t>
        </is>
      </c>
      <c r="E43" s="5" t="inlineStr"/>
    </row>
    <row r="44">
      <c r="A44" t="inlineStr">
        <is>
          <t>packages/yx-ui/src/screens/pay/payroll-inputs.tsx</t>
        </is>
      </c>
      <c r="B44" t="inlineStr">
        <is>
          <t>pay</t>
        </is>
      </c>
      <c r="C44" t="n">
        <v>11</v>
      </c>
      <c r="D44" t="inlineStr">
        <is>
          <t>No</t>
        </is>
      </c>
      <c r="E44" s="5" t="inlineStr"/>
    </row>
    <row r="45">
      <c r="A45" t="inlineStr">
        <is>
          <t>packages/yx-ui/src/screens/pay/payroll-run.tsx</t>
        </is>
      </c>
      <c r="B45" t="inlineStr">
        <is>
          <t>pay</t>
        </is>
      </c>
      <c r="C45" t="n">
        <v>15</v>
      </c>
      <c r="D45" t="inlineStr">
        <is>
          <t>No</t>
        </is>
      </c>
      <c r="E45" s="5" t="inlineStr"/>
    </row>
    <row r="46">
      <c r="A46" t="inlineStr">
        <is>
          <t>packages/yx-ui/src/screens/pay/special-pay.tsx</t>
        </is>
      </c>
      <c r="B46" t="inlineStr">
        <is>
          <t>pay</t>
        </is>
      </c>
      <c r="C46" t="n">
        <v>12</v>
      </c>
      <c r="D46" t="inlineStr">
        <is>
          <t>No</t>
        </is>
      </c>
      <c r="E46" s="5" t="inlineStr"/>
    </row>
    <row r="47">
      <c r="A47" t="inlineStr">
        <is>
          <t>packages/yx-ui/src/screens/people/assets.tsx</t>
        </is>
      </c>
      <c r="B47" t="inlineStr">
        <is>
          <t>people</t>
        </is>
      </c>
      <c r="C47" t="n">
        <v>3</v>
      </c>
      <c r="D47" t="inlineStr">
        <is>
          <t>No</t>
        </is>
      </c>
      <c r="E47" s="5" t="inlineStr"/>
    </row>
    <row r="48">
      <c r="A48" t="inlineStr">
        <is>
          <t>packages/yx-ui/src/screens/people/changes.tsx</t>
        </is>
      </c>
      <c r="B48" t="inlineStr">
        <is>
          <t>people</t>
        </is>
      </c>
      <c r="C48" t="n">
        <v>7</v>
      </c>
      <c r="D48" t="inlineStr">
        <is>
          <t>No</t>
        </is>
      </c>
      <c r="E48" s="5" t="inlineStr"/>
    </row>
    <row r="49">
      <c r="A49" t="inlineStr">
        <is>
          <t>packages/yx-ui/src/screens/people/directory.tsx</t>
        </is>
      </c>
      <c r="B49" t="inlineStr">
        <is>
          <t>people</t>
        </is>
      </c>
      <c r="C49" t="n">
        <v>4</v>
      </c>
      <c r="D49" t="inlineStr">
        <is>
          <t>No</t>
        </is>
      </c>
      <c r="E49" s="5" t="inlineStr"/>
    </row>
    <row r="50">
      <c r="A50" t="inlineStr">
        <is>
          <t>packages/yx-ui/src/screens/people/documents.tsx</t>
        </is>
      </c>
      <c r="B50" t="inlineStr">
        <is>
          <t>people</t>
        </is>
      </c>
      <c r="C50" t="n">
        <v>11</v>
      </c>
      <c r="D50" t="inlineStr">
        <is>
          <t>No</t>
        </is>
      </c>
      <c r="E50" s="5" t="inlineStr"/>
    </row>
    <row r="51">
      <c r="A51" t="inlineStr">
        <is>
          <t>packages/yx-ui/src/screens/people/exits.tsx</t>
        </is>
      </c>
      <c r="B51" t="inlineStr">
        <is>
          <t>people</t>
        </is>
      </c>
      <c r="C51" t="n">
        <v>11</v>
      </c>
      <c r="D51" t="inlineStr">
        <is>
          <t>No</t>
        </is>
      </c>
      <c r="E51" s="5" t="inlineStr"/>
    </row>
    <row r="52">
      <c r="A52" t="inlineStr">
        <is>
          <t>packages/yx-ui/src/screens/people/onboarding.tsx</t>
        </is>
      </c>
      <c r="B52" t="inlineStr">
        <is>
          <t>people</t>
        </is>
      </c>
      <c r="C52" t="n">
        <v>11</v>
      </c>
      <c r="D52" t="inlineStr">
        <is>
          <t>No</t>
        </is>
      </c>
      <c r="E52" s="5" t="inlineStr"/>
    </row>
    <row r="53">
      <c r="A53" t="inlineStr">
        <is>
          <t>packages/yx-ui/src/screens/people/record.tsx</t>
        </is>
      </c>
      <c r="B53" t="inlineStr">
        <is>
          <t>people</t>
        </is>
      </c>
      <c r="C53" t="n">
        <v>6</v>
      </c>
      <c r="D53" t="inlineStr">
        <is>
          <t>No</t>
        </is>
      </c>
      <c r="E53" s="5" t="inlineStr"/>
    </row>
    <row r="54">
      <c r="A54" t="inlineStr">
        <is>
          <t>packages/yx-ui/src/screens/people/relations.tsx</t>
        </is>
      </c>
      <c r="B54" t="inlineStr">
        <is>
          <t>people</t>
        </is>
      </c>
      <c r="C54" t="n">
        <v>5</v>
      </c>
      <c r="D54" t="inlineStr">
        <is>
          <t>No</t>
        </is>
      </c>
      <c r="E54" s="5" t="inlineStr"/>
    </row>
    <row r="55">
      <c r="A55" t="inlineStr">
        <is>
          <t>packages/yx-ui/src/screens/people/selfservice.tsx</t>
        </is>
      </c>
      <c r="B55" t="inlineStr">
        <is>
          <t>people</t>
        </is>
      </c>
      <c r="C55" t="n">
        <v>12</v>
      </c>
      <c r="D55" t="inlineStr">
        <is>
          <t>No</t>
        </is>
      </c>
      <c r="E55" s="5" t="inlineStr"/>
    </row>
    <row r="56">
      <c r="A56" t="inlineStr">
        <is>
          <t>packages/yx-ui/src/screens/platform-a/custom.tsx</t>
        </is>
      </c>
      <c r="B56" t="inlineStr">
        <is>
          <t>platform-a</t>
        </is>
      </c>
      <c r="C56" t="n">
        <v>8</v>
      </c>
      <c r="D56" t="inlineStr">
        <is>
          <t>No</t>
        </is>
      </c>
      <c r="E56" s="5" t="inlineStr"/>
    </row>
    <row r="57">
      <c r="A57" t="inlineStr">
        <is>
          <t>packages/yx-ui/src/screens/platform-a/governance.tsx</t>
        </is>
      </c>
      <c r="B57" t="inlineStr">
        <is>
          <t>platform-a</t>
        </is>
      </c>
      <c r="C57" t="n">
        <v>9</v>
      </c>
      <c r="D57" t="inlineStr">
        <is>
          <t>No</t>
        </is>
      </c>
      <c r="E57" s="5" t="inlineStr"/>
    </row>
    <row r="58">
      <c r="A58" t="inlineStr">
        <is>
          <t>packages/yx-ui/src/screens/platform-a/inbox.tsx</t>
        </is>
      </c>
      <c r="B58" t="inlineStr">
        <is>
          <t>platform-a</t>
        </is>
      </c>
      <c r="C58" t="n">
        <v>13</v>
      </c>
      <c r="D58" t="inlineStr">
        <is>
          <t>No</t>
        </is>
      </c>
      <c r="E58" s="5" t="inlineStr"/>
    </row>
    <row r="59">
      <c r="A59" t="inlineStr">
        <is>
          <t>packages/yx-ui/src/screens/platform-a/integrations.tsx</t>
        </is>
      </c>
      <c r="B59" t="inlineStr">
        <is>
          <t>platform-a</t>
        </is>
      </c>
      <c r="C59" t="n">
        <v>5</v>
      </c>
      <c r="D59" t="inlineStr">
        <is>
          <t>No</t>
        </is>
      </c>
      <c r="E59" s="5" t="inlineStr"/>
    </row>
    <row r="60">
      <c r="A60" t="inlineStr">
        <is>
          <t>packages/yx-ui/src/screens/platform-a/setup-admin.tsx</t>
        </is>
      </c>
      <c r="B60" t="inlineStr">
        <is>
          <t>platform-a</t>
        </is>
      </c>
      <c r="C60" t="n">
        <v>8</v>
      </c>
      <c r="D60" t="inlineStr">
        <is>
          <t>No</t>
        </is>
      </c>
      <c r="E60" s="5" t="inlineStr"/>
    </row>
    <row r="61">
      <c r="A61" t="inlineStr">
        <is>
          <t>packages/yx-ui/src/screens/platform-a/shell-home.tsx</t>
        </is>
      </c>
      <c r="B61" t="inlineStr">
        <is>
          <t>platform-a</t>
        </is>
      </c>
      <c r="C61" t="n">
        <v>12</v>
      </c>
      <c r="D61" t="inlineStr">
        <is>
          <t>No</t>
        </is>
      </c>
      <c r="E61" s="5" t="inlineStr"/>
    </row>
    <row r="62">
      <c r="A62" t="inlineStr">
        <is>
          <t>packages/yx-ui/src/screens/platform-b/growth-screens.tsx</t>
        </is>
      </c>
      <c r="B62" t="inlineStr">
        <is>
          <t>platform-b</t>
        </is>
      </c>
      <c r="C62" t="n">
        <v>15</v>
      </c>
      <c r="D62" t="inlineStr">
        <is>
          <t>No</t>
        </is>
      </c>
      <c r="E62" s="5" t="inlineStr"/>
    </row>
    <row r="63">
      <c r="A63" t="inlineStr">
        <is>
          <t>packages/yx-ui/src/screens/platform-b/region-agent-screens.tsx</t>
        </is>
      </c>
      <c r="B63" t="inlineStr">
        <is>
          <t>platform-b</t>
        </is>
      </c>
      <c r="C63" t="n">
        <v>9</v>
      </c>
      <c r="D63" t="inlineStr">
        <is>
          <t>No</t>
        </is>
      </c>
      <c r="E63" s="5" t="inlineStr"/>
    </row>
    <row r="64">
      <c r="A64" t="inlineStr">
        <is>
          <t>packages/yx-ui/src/screens/platform-b/rules-screens.tsx</t>
        </is>
      </c>
      <c r="B64" t="inlineStr">
        <is>
          <t>platform-b</t>
        </is>
      </c>
      <c r="C64" t="n">
        <v>10</v>
      </c>
      <c r="D64" t="inlineStr">
        <is>
          <t>No</t>
        </is>
      </c>
      <c r="E64" s="5" t="inlineStr"/>
    </row>
    <row r="65">
      <c r="A65" t="inlineStr">
        <is>
          <t>packages/yx-ui/src/screens/platform-b/studio-screens.tsx</t>
        </is>
      </c>
      <c r="B65" t="inlineStr">
        <is>
          <t>platform-b</t>
        </is>
      </c>
      <c r="C65" t="n">
        <v>11</v>
      </c>
      <c r="D65" t="inlineStr">
        <is>
          <t>No</t>
        </is>
      </c>
      <c r="E65" s="5" t="inlineStr"/>
    </row>
    <row r="66">
      <c r="A66" t="inlineStr">
        <is>
          <t>packages/yx-ui/src/screens/portals/console-finance.tsx</t>
        </is>
      </c>
      <c r="B66" t="inlineStr">
        <is>
          <t>portals</t>
        </is>
      </c>
      <c r="C66" t="n">
        <v>6</v>
      </c>
      <c r="D66" t="inlineStr">
        <is>
          <t>No</t>
        </is>
      </c>
      <c r="E66" s="5" t="inlineStr"/>
    </row>
    <row r="67">
      <c r="A67" t="inlineStr">
        <is>
          <t>packages/yx-ui/src/screens/portals/console-ops.tsx</t>
        </is>
      </c>
      <c r="B67" t="inlineStr">
        <is>
          <t>portals</t>
        </is>
      </c>
      <c r="C67" t="n">
        <v>12</v>
      </c>
      <c r="D67" t="inlineStr">
        <is>
          <t>No</t>
        </is>
      </c>
      <c r="E67" s="5" t="inlineStr"/>
    </row>
    <row r="68">
      <c r="A68" t="inlineStr">
        <is>
          <t>packages/yx-ui/src/screens/portals/console-rules.tsx</t>
        </is>
      </c>
      <c r="B68" t="inlineStr">
        <is>
          <t>portals</t>
        </is>
      </c>
      <c r="C68" t="n">
        <v>4</v>
      </c>
      <c r="D68" t="inlineStr">
        <is>
          <t>No</t>
        </is>
      </c>
      <c r="E68" s="5" t="inlineStr"/>
    </row>
    <row r="69">
      <c r="A69" t="inlineStr">
        <is>
          <t>packages/yx-ui/src/screens/portals/mobile-shell.tsx</t>
        </is>
      </c>
      <c r="B69" t="inlineStr">
        <is>
          <t>portals</t>
        </is>
      </c>
      <c r="C69" t="n">
        <v>3</v>
      </c>
      <c r="D69" t="inlineStr">
        <is>
          <t>No</t>
        </is>
      </c>
      <c r="E69" s="5" t="inlineStr"/>
    </row>
    <row r="70">
      <c r="A70" t="inlineStr">
        <is>
          <t>packages/yx-ui/src/screens/portals/partner.tsx</t>
        </is>
      </c>
      <c r="B70" t="inlineStr">
        <is>
          <t>portals</t>
        </is>
      </c>
      <c r="C70" t="n">
        <v>11</v>
      </c>
      <c r="D70" t="inlineStr">
        <is>
          <t>No</t>
        </is>
      </c>
      <c r="E70" s="5" t="inlineStr"/>
    </row>
    <row r="71">
      <c r="A71" t="inlineStr">
        <is>
          <t>packages/yx-ui/src/screens/portals/t9-business.tsx</t>
        </is>
      </c>
      <c r="B71" t="inlineStr">
        <is>
          <t>portals</t>
        </is>
      </c>
      <c r="C71" t="n">
        <v>4</v>
      </c>
      <c r="D71" t="inlineStr">
        <is>
          <t>No</t>
        </is>
      </c>
      <c r="E71" s="5" t="inlineStr"/>
    </row>
    <row r="72">
      <c r="A72" t="inlineStr">
        <is>
          <t>packages/yx-ui/src/screens/portals/t9-candidate.tsx</t>
        </is>
      </c>
      <c r="B72" t="inlineStr">
        <is>
          <t>portals</t>
        </is>
      </c>
      <c r="C72" t="n">
        <v>9</v>
      </c>
      <c r="D72" t="inlineStr">
        <is>
          <t>No</t>
        </is>
      </c>
      <c r="E72" s="5" t="inlineStr"/>
    </row>
    <row r="73">
      <c r="A73" t="inlineStr">
        <is>
          <t>packages/yx-ui/src/screens/portals/t9-public.tsx</t>
        </is>
      </c>
      <c r="B73" t="inlineStr">
        <is>
          <t>portals</t>
        </is>
      </c>
      <c r="C73" t="n">
        <v>7</v>
      </c>
      <c r="D73" t="inlineStr">
        <is>
          <t>No</t>
        </is>
      </c>
      <c r="E73" s="5" t="inlineStr"/>
    </row>
    <row r="74">
      <c r="A74" t="inlineStr">
        <is>
          <t>packages/yx-ui/src/screens/portals/t9-workforce.tsx</t>
        </is>
      </c>
      <c r="B74" t="inlineStr">
        <is>
          <t>portals</t>
        </is>
      </c>
      <c r="C74" t="n">
        <v>15</v>
      </c>
      <c r="D74" t="inlineStr">
        <is>
          <t>No</t>
        </is>
      </c>
      <c r="E74" s="5" t="inlineStr"/>
    </row>
    <row r="75">
      <c r="A75" t="inlineStr">
        <is>
          <t>packages/yx-ui/src/screens/proctoring/analytics.tsx</t>
        </is>
      </c>
      <c r="B75" t="inlineStr">
        <is>
          <t>proctoring</t>
        </is>
      </c>
      <c r="C75" t="n">
        <v>11</v>
      </c>
      <c r="D75" t="inlineStr">
        <is>
          <t>No</t>
        </is>
      </c>
      <c r="E75" s="5" t="inlineStr"/>
    </row>
    <row r="76">
      <c r="A76" t="inlineStr">
        <is>
          <t>packages/yx-ui/src/screens/proctoring/bank-tests.tsx</t>
        </is>
      </c>
      <c r="B76" t="inlineStr">
        <is>
          <t>proctoring</t>
        </is>
      </c>
      <c r="C76" t="n">
        <v>9</v>
      </c>
      <c r="D76" t="inlineStr">
        <is>
          <t>No</t>
        </is>
      </c>
      <c r="E76" s="5" t="inlineStr"/>
    </row>
    <row r="77">
      <c r="A77" t="inlineStr">
        <is>
          <t>packages/yx-ui/src/screens/proctoring/candidate.tsx</t>
        </is>
      </c>
      <c r="B77" t="inlineStr">
        <is>
          <t>proctoring</t>
        </is>
      </c>
      <c r="C77" t="n">
        <v>10</v>
      </c>
      <c r="D77" t="inlineStr">
        <is>
          <t>No</t>
        </is>
      </c>
      <c r="E77" s="5" t="inlineStr"/>
    </row>
    <row r="78">
      <c r="A78" t="inlineStr">
        <is>
          <t>packages/yx-ui/src/screens/proctoring/delivery.tsx</t>
        </is>
      </c>
      <c r="B78" t="inlineStr">
        <is>
          <t>proctoring</t>
        </is>
      </c>
      <c r="C78" t="n">
        <v>9</v>
      </c>
      <c r="D78" t="inlineStr">
        <is>
          <t>No</t>
        </is>
      </c>
      <c r="E78" s="5" t="inlineStr"/>
    </row>
    <row r="79">
      <c r="A79" t="inlineStr">
        <is>
          <t>packages/yx-ui/src/screens/proctoring/integrity.tsx</t>
        </is>
      </c>
      <c r="B79" t="inlineStr">
        <is>
          <t>proctoring</t>
        </is>
      </c>
      <c r="C79" t="n">
        <v>7</v>
      </c>
      <c r="D79" t="inlineStr">
        <is>
          <t>No</t>
        </is>
      </c>
      <c r="E79" s="5" t="inlineStr"/>
    </row>
    <row r="80">
      <c r="A80" t="inlineStr">
        <is>
          <t>packages/yx-ui/src/screens/proctoring/live.tsx</t>
        </is>
      </c>
      <c r="B80" t="inlineStr">
        <is>
          <t>proctoring</t>
        </is>
      </c>
      <c r="C80" t="n">
        <v>6</v>
      </c>
      <c r="D80" t="inlineStr">
        <is>
          <t>No</t>
        </is>
      </c>
      <c r="E80" s="5" t="inlineStr"/>
    </row>
    <row r="81">
      <c r="A81" t="inlineStr">
        <is>
          <t>packages/yx-ui/src/screens/proctoring/proctoring-shared.tsx</t>
        </is>
      </c>
      <c r="B81" t="inlineStr">
        <is>
          <t>proctoring</t>
        </is>
      </c>
      <c r="C81" t="n">
        <v>3</v>
      </c>
      <c r="D81" t="inlineStr">
        <is>
          <t>No</t>
        </is>
      </c>
      <c r="E81" s="5" t="inlineStr"/>
    </row>
    <row r="82">
      <c r="A82" t="inlineStr">
        <is>
          <t>packages/yx-ui/src/screens/settings/help.tsx</t>
        </is>
      </c>
      <c r="B82" t="inlineStr">
        <is>
          <t>settings</t>
        </is>
      </c>
      <c r="C82" t="n">
        <v>14</v>
      </c>
      <c r="D82" t="inlineStr">
        <is>
          <t>No</t>
        </is>
      </c>
      <c r="E82" s="5" t="inlineStr"/>
    </row>
    <row r="83">
      <c r="A83" t="inlineStr">
        <is>
          <t>packages/yx-ui/src/screens/settings/mobile-home.tsx</t>
        </is>
      </c>
      <c r="B83" t="inlineStr">
        <is>
          <t>settings</t>
        </is>
      </c>
      <c r="C83" t="n">
        <v>12</v>
      </c>
      <c r="D83" t="inlineStr">
        <is>
          <t>No</t>
        </is>
      </c>
      <c r="E83" s="5" t="inlineStr"/>
    </row>
    <row r="84">
      <c r="A84" t="inlineStr">
        <is>
          <t>packages/yx-ui/src/screens/settings/mobile-me.tsx</t>
        </is>
      </c>
      <c r="B84" t="inlineStr">
        <is>
          <t>settings</t>
        </is>
      </c>
      <c r="C84" t="n">
        <v>21</v>
      </c>
      <c r="D84" t="inlineStr">
        <is>
          <t>No</t>
        </is>
      </c>
      <c r="E84" s="5" t="inlineStr"/>
    </row>
    <row r="85">
      <c r="A85" t="inlineStr">
        <is>
          <t>packages/yx-ui/src/screens/settings/settings-screens.tsx</t>
        </is>
      </c>
      <c r="B85" t="inlineStr">
        <is>
          <t>settings</t>
        </is>
      </c>
      <c r="C85" t="n">
        <v>3</v>
      </c>
      <c r="D85" t="inlineStr">
        <is>
          <t>No</t>
        </is>
      </c>
      <c r="E85" s="5" t="inlineStr"/>
    </row>
    <row r="86">
      <c r="A86" t="inlineStr">
        <is>
          <t>packages/yx-ui/src/screens/time/attendance.tsx</t>
        </is>
      </c>
      <c r="B86" t="inlineStr">
        <is>
          <t>time</t>
        </is>
      </c>
      <c r="C86" t="n">
        <v>12</v>
      </c>
      <c r="D86" t="inlineStr">
        <is>
          <t>No</t>
        </is>
      </c>
      <c r="E86" s="5" t="inlineStr"/>
    </row>
    <row r="87">
      <c r="A87" t="inlineStr">
        <is>
          <t>packages/yx-ui/src/screens/time/field.tsx</t>
        </is>
      </c>
      <c r="B87" t="inlineStr">
        <is>
          <t>time</t>
        </is>
      </c>
      <c r="C87" t="n">
        <v>5</v>
      </c>
      <c r="D87" t="inlineStr">
        <is>
          <t>No</t>
        </is>
      </c>
      <c r="E87" s="5" t="inlineStr"/>
    </row>
    <row r="88">
      <c r="A88" t="inlineStr">
        <is>
          <t>packages/yx-ui/src/screens/time/leave-admin.tsx</t>
        </is>
      </c>
      <c r="B88" t="inlineStr">
        <is>
          <t>time</t>
        </is>
      </c>
      <c r="C88" t="n">
        <v>6</v>
      </c>
      <c r="D88" t="inlineStr">
        <is>
          <t>No</t>
        </is>
      </c>
      <c r="E88" s="5" t="inlineStr"/>
    </row>
    <row r="89">
      <c r="A89" t="inlineStr">
        <is>
          <t>packages/yx-ui/src/screens/time/leave.tsx</t>
        </is>
      </c>
      <c r="B89" t="inlineStr">
        <is>
          <t>time</t>
        </is>
      </c>
      <c r="C89" t="n">
        <v>16</v>
      </c>
      <c r="D89" t="inlineStr">
        <is>
          <t>No</t>
        </is>
      </c>
      <c r="E89" s="5" t="inlineStr"/>
    </row>
    <row r="90">
      <c r="A90" t="inlineStr">
        <is>
          <t>packages/yx-ui/src/screens/time/ops.tsx</t>
        </is>
      </c>
      <c r="B90" t="inlineStr">
        <is>
          <t>time</t>
        </is>
      </c>
      <c r="C90" t="n">
        <v>10</v>
      </c>
      <c r="D90" t="inlineStr">
        <is>
          <t>No</t>
        </is>
      </c>
      <c r="E90" s="5" t="inlineStr"/>
    </row>
    <row r="91">
      <c r="A91" t="inlineStr">
        <is>
          <t>packages/yx-ui/src/screens/time/requests.tsx</t>
        </is>
      </c>
      <c r="B91" t="inlineStr">
        <is>
          <t>time</t>
        </is>
      </c>
      <c r="C91" t="n">
        <v>6</v>
      </c>
      <c r="D91" t="inlineStr">
        <is>
          <t>No</t>
        </is>
      </c>
      <c r="E91" s="5" t="inlineStr"/>
    </row>
    <row r="92">
      <c r="A92" t="inlineStr">
        <is>
          <t>packages/yx-ui/src/screens/time/roster.tsx</t>
        </is>
      </c>
      <c r="B92" t="inlineStr">
        <is>
          <t>time</t>
        </is>
      </c>
      <c r="C92" t="n">
        <v>17</v>
      </c>
      <c r="D92" t="inlineStr">
        <is>
          <t>No</t>
        </is>
      </c>
      <c r="E92" s="5" t="inlineStr"/>
    </row>
  </sheetData>
  <autoFilter ref="A1:F92"/>
  <conditionalFormatting sqref="D2:D92">
    <cfRule type="expression" priority="1" dxfId="0">
      <formula>ISNUMBER(SEARCH("Yes",D2))</formula>
    </cfRule>
    <cfRule type="expression" priority="2" dxfId="1">
      <formula>ISNUMBER(SEARCH("No",D2))</formula>
    </cfRule>
  </conditionalFormatting>
  <pageMargins left="0.75" right="0.75" top="1" bottom="1" header="0.5" footer="0.5"/>
</worksheet>
</file>

<file path=xl/worksheets/sheet9.xml><?xml version="1.0" encoding="utf-8"?>
<worksheet xmlns="http://schemas.openxmlformats.org/spreadsheetml/2006/main">
  <sheetPr>
    <outlinePr summaryBelow="1" summaryRight="1"/>
    <pageSetUpPr/>
  </sheetPr>
  <dimension ref="A1:I4"/>
  <sheetViews>
    <sheetView workbookViewId="0">
      <pane xSplit="1" ySplit="1" topLeftCell="B2" activePane="bottomRight" state="frozen"/>
      <selection pane="topRight"/>
      <selection pane="bottomLeft"/>
      <selection pane="bottomRight" activeCell="A1" sqref="A1"/>
    </sheetView>
  </sheetViews>
  <sheetFormatPr baseColWidth="8" defaultRowHeight="15"/>
  <cols>
    <col width="6" customWidth="1" min="1" max="1"/>
    <col width="60" customWidth="1" min="2" max="2"/>
    <col width="9" customWidth="1" min="3" max="3"/>
    <col width="9" customWidth="1" min="4" max="4"/>
    <col width="24" customWidth="1" min="5" max="5"/>
    <col width="24" customWidth="1" min="6" max="6"/>
    <col width="11" customWidth="1" min="7" max="7"/>
    <col width="48" customWidth="1" min="8" max="8"/>
    <col width="30" customWidth="1" min="9" max="9"/>
  </cols>
  <sheetData>
    <row r="1">
      <c r="A1" s="4" t="inlineStr">
        <is>
          <t>PR</t>
        </is>
      </c>
      <c r="B1" s="4" t="inlineStr">
        <is>
          <t>Title</t>
        </is>
      </c>
      <c r="C1" s="4" t="inlineStr">
        <is>
          <t>State</t>
        </is>
      </c>
      <c r="D1" s="4" t="inlineStr">
        <is>
          <t>CI</t>
        </is>
      </c>
      <c r="E1" s="4" t="inlineStr">
        <is>
          <t>Branch</t>
        </is>
      </c>
      <c r="F1" s="4" t="inlineStr">
        <is>
          <t>Base</t>
        </is>
      </c>
      <c r="G1" s="4" t="inlineStr">
        <is>
          <t>Updated</t>
        </is>
      </c>
      <c r="H1" s="4" t="inlineStr">
        <is>
          <t>Link</t>
        </is>
      </c>
      <c r="I1" s="4" t="inlineStr">
        <is>
          <t>Notes (you)</t>
        </is>
      </c>
    </row>
    <row r="2">
      <c r="A2" t="n">
        <v>130</v>
      </c>
      <c r="B2" s="5" t="inlineStr">
        <is>
          <t>Bring YukthiX design docs and the full UI prototype into the monorepo</t>
        </is>
      </c>
      <c r="C2" t="inlineStr">
        <is>
          <t>OPEN</t>
        </is>
      </c>
      <c r="D2" t="inlineStr">
        <is>
          <t>failing</t>
        </is>
      </c>
      <c r="E2" t="inlineStr">
        <is>
          <t>feat/yukthix-workspace</t>
        </is>
      </c>
      <c r="F2" t="inlineStr">
        <is>
          <t>feat/yukthix-login</t>
        </is>
      </c>
      <c r="G2" t="inlineStr">
        <is>
          <t>2026-10-06</t>
        </is>
      </c>
      <c r="H2" t="inlineStr">
        <is>
          <t>https://github.com/hari9495/exam-app/pull/130</t>
        </is>
      </c>
    </row>
    <row r="3">
      <c r="A3" t="n">
        <v>129</v>
      </c>
      <c r="B3" s="5" t="inlineStr">
        <is>
          <t>Login to the P12 security spec: sessions, MFA, OTP, SSO and YukthiX screens</t>
        </is>
      </c>
      <c r="C3" t="inlineStr">
        <is>
          <t>OPEN</t>
        </is>
      </c>
      <c r="D3" t="inlineStr">
        <is>
          <t>failing</t>
        </is>
      </c>
      <c r="E3" t="inlineStr">
        <is>
          <t>feat/yukthix-login</t>
        </is>
      </c>
      <c r="F3" t="inlineStr">
        <is>
          <t>feat/yukthix-postgres</t>
        </is>
      </c>
      <c r="G3" t="inlineStr">
        <is>
          <t>2026-10-06</t>
        </is>
      </c>
      <c r="H3" t="inlineStr">
        <is>
          <t>https://github.com/hari9495/exam-app/pull/129</t>
        </is>
      </c>
    </row>
    <row r="4">
      <c r="A4" t="n">
        <v>128</v>
      </c>
      <c r="B4" s="5" t="inlineStr">
        <is>
          <t>Move platform to PostgreSQL with forced row-level security</t>
        </is>
      </c>
      <c r="C4" t="inlineStr">
        <is>
          <t>OPEN</t>
        </is>
      </c>
      <c r="D4" t="inlineStr">
        <is>
          <t>failing</t>
        </is>
      </c>
      <c r="E4" t="inlineStr">
        <is>
          <t>feat/yukthix-postgres</t>
        </is>
      </c>
      <c r="F4" t="inlineStr">
        <is>
          <t>main</t>
        </is>
      </c>
      <c r="G4" t="inlineStr">
        <is>
          <t>2026-10-06</t>
        </is>
      </c>
      <c r="H4" t="inlineStr">
        <is>
          <t>https://github.com/hari9495/exam-app/pull/128</t>
        </is>
      </c>
    </row>
  </sheetData>
  <autoFilter ref="A1:I4"/>
  <conditionalFormatting sqref="D2:D4">
    <cfRule type="expression" priority="1" dxfId="0">
      <formula>ISNUMBER(SEARCH("passing",D2))</formula>
    </cfRule>
    <cfRule type="expression" priority="2" dxfId="2">
      <formula>ISNUMBER(SEARCH("failing",D2))</formula>
    </cfRule>
    <cfRule type="expression" priority="3" dxfId="1">
      <formula>ISNUMBER(SEARCH("running",D2))</formula>
    </cfRule>
  </conditionalFormatting>
  <pageMargins left="0.75" right="0.75" top="1" bottom="1" header="0.5" footer="0.5"/>
</worksheet>
</file>

<file path=xl/worksheets/sheet10.xml><?xml version="1.0" encoding="utf-8"?>
<worksheet xmlns="http://schemas.openxmlformats.org/spreadsheetml/2006/main">
  <sheetPr>
    <outlinePr summaryBelow="1" summaryRight="1"/>
    <pageSetUpPr/>
  </sheetPr>
  <dimension ref="A1:C3"/>
  <sheetViews>
    <sheetView workbookViewId="0">
      <pane xSplit="1" ySplit="1" topLeftCell="B2" activePane="bottomRight" state="frozen"/>
      <selection pane="topRight"/>
      <selection pane="bottomLeft"/>
      <selection pane="bottomRight" activeCell="A1" sqref="A1"/>
    </sheetView>
  </sheetViews>
  <sheetFormatPr baseColWidth="8" defaultRowHeight="15"/>
  <cols>
    <col width="24" customWidth="1" min="1" max="1"/>
    <col width="28" customWidth="1" min="2" max="2"/>
    <col width="90" customWidth="1" min="3" max="3"/>
  </cols>
  <sheetData>
    <row r="1">
      <c r="A1" s="4" t="inlineStr">
        <is>
          <t>Checkout</t>
        </is>
      </c>
      <c r="B1" s="4" t="inlineStr">
        <is>
          <t>Branch</t>
        </is>
      </c>
      <c r="C1" s="4" t="inlineStr">
        <is>
          <t>Last commit</t>
        </is>
      </c>
    </row>
    <row r="2">
      <c r="A2" t="inlineStr">
        <is>
          <t>exam-app-org</t>
        </is>
      </c>
      <c r="B2" t="inlineStr">
        <is>
          <t>feat/yukthix-org</t>
        </is>
      </c>
      <c r="C2" t="inlineStr">
        <is>
          <t>63ec5516 fix(api): close self-approval by edit, own-login linking and history over-sharing (2026-10-06)</t>
        </is>
      </c>
    </row>
    <row r="3">
      <c r="A3" t="inlineStr">
        <is>
          <t>exam-app-login</t>
        </is>
      </c>
      <c r="B3" t="inlineStr">
        <is>
          <t>feat/yukthix-login</t>
        </is>
      </c>
      <c r="C3" t="inlineStr">
        <is>
          <t>377eca4c fix(deps): patch Next.js og RCE and proxy-addr IP spoofing; nodemailer 10 (2026-10-06)</t>
        </is>
      </c>
    </row>
  </sheetData>
  <autoFilter ref="A1:C3"/>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openpyxl</dc:creator>
  <dcterms:created xsi:type="dcterms:W3CDTF">2026-10-06T18:06:44Z</dcterms:created>
  <dcterms:modified xsi:type="dcterms:W3CDTF">2026-10-06T18:06:46Z</dcterms:modified>
</cp:coreProperties>
</file>