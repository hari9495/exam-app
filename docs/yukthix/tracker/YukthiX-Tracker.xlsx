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ules" sheetId="2" state="visible" r:id="rId2"/>
    <sheet name="Design docs" sheetId="3" state="visible" r:id="rId3"/>
    <sheet name="Roadmap" sheetId="4" state="visible" r:id="rId4"/>
    <sheet name="Open work" sheetId="5" state="visible" r:id="rId5"/>
    <sheet name="Deferred" sheetId="6" state="visible" r:id="rId6"/>
    <sheet name="Go-live" sheetId="7" state="visible" r:id="rId7"/>
    <sheet name="Screens" sheetId="8" state="visible" r:id="rId8"/>
    <sheet name="PRs" sheetId="9" state="visible" r:id="rId9"/>
    <sheet name="Code scanned" sheetId="10" state="visible" r:id="rId10"/>
    <sheet name="Backlog" sheetId="11" state="visible" r:id="rId11"/>
    <sheet name="Plan" sheetId="12" state="visible" r:id="rId12"/>
    <sheet name="Coverage" sheetId="13" state="visible" r:id="rId13"/>
  </sheets>
  <definedNames>
    <definedName name="_xlnm._FilterDatabase" localSheetId="1" hidden="1">'Rules'!$A$1:$M$982</definedName>
    <definedName name="_xlnm._FilterDatabase" localSheetId="2" hidden="1">'Design docs'!$A$1:$M$53</definedName>
    <definedName name="_xlnm._FilterDatabase" localSheetId="3" hidden="1">'Roadmap'!$A$1:$G$11</definedName>
    <definedName name="_xlnm._FilterDatabase" localSheetId="4" hidden="1">'Open work'!$A$1:$H$16</definedName>
    <definedName name="_xlnm._FilterDatabase" localSheetId="5" hidden="1">'Deferred'!$A$1:$I$106</definedName>
    <definedName name="_xlnm._FilterDatabase" localSheetId="6" hidden="1">'Go-live'!$A$1:$H$13</definedName>
    <definedName name="_xlnm._FilterDatabase" localSheetId="7" hidden="1">'Screens'!$A$1:$F$103</definedName>
    <definedName name="_xlnm._FilterDatabase" localSheetId="8" hidden="1">'PRs'!$A$1:$I$5</definedName>
    <definedName name="_xlnm._FilterDatabase" localSheetId="9" hidden="1">'Code scanned'!$A$1:$C$3</definedName>
    <definedName name="_xlnm._FilterDatabase" localSheetId="10" hidden="1">'Backlog'!$A$1:$S$1564</definedName>
    <definedName name="_xlnm._FilterDatabase" localSheetId="11" hidden="1">'Plan'!$A$1:$J$87</definedName>
    <definedName name="_xlnm._FilterDatabase" localSheetId="12" hidden="1">'Coverage'!$A$1:$D$1</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FFFFFF"/>
    </font>
    <font>
      <b val="1"/>
    </font>
    <font>
      <b val="1"/>
      <sz val="16"/>
    </font>
  </fonts>
  <fills count="5">
    <fill>
      <patternFill/>
    </fill>
    <fill>
      <patternFill patternType="gray125"/>
    </fill>
    <fill>
      <patternFill patternType="solid">
        <fgColor rgb="001F3A5F"/>
      </patternFill>
    </fill>
    <fill>
      <patternFill patternType="solid">
        <fgColor rgb="00DDEBF7"/>
      </patternFill>
    </fill>
    <fill>
      <patternFill patternType="solid">
        <fgColor rgb="00E7E6E6"/>
      </patternFill>
    </fill>
  </fills>
  <borders count="1">
    <border>
      <left/>
      <right/>
      <top/>
      <bottom/>
      <diagonal/>
    </border>
  </borders>
  <cellStyleXfs count="1">
    <xf numFmtId="0" fontId="0" fillId="0" borderId="0"/>
  </cellStyleXfs>
  <cellXfs count="11">
    <xf numFmtId="0" fontId="0" fillId="0" borderId="0" pivotButton="0" quotePrefix="0" xfId="0"/>
    <xf numFmtId="0" fontId="3" fillId="0" borderId="0" pivotButton="0" quotePrefix="0" xfId="0"/>
    <xf numFmtId="0" fontId="2" fillId="0" borderId="0" pivotButton="0" quotePrefix="0" xfId="0"/>
    <xf numFmtId="164"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9" fontId="0" fillId="0" borderId="0" pivotButton="0" quotePrefix="0" xfId="0"/>
    <xf numFmtId="0" fontId="2" fillId="3" borderId="0" pivotButton="0" quotePrefix="0" xfId="0"/>
    <xf numFmtId="0" fontId="2" fillId="3" borderId="0" applyAlignment="1" pivotButton="0" quotePrefix="0" xfId="0">
      <alignment vertical="top" wrapText="1"/>
    </xf>
    <xf numFmtId="0" fontId="2" fillId="4" borderId="0" pivotButton="0" quotePrefix="0" xfId="0"/>
    <xf numFmtId="0" fontId="2" fillId="4" borderId="0" applyAlignment="1" pivotButton="0" quotePrefix="0" xfId="0">
      <alignment vertical="top" wrapText="1"/>
    </xf>
  </cellXfs>
  <cellStyles count="1">
    <cellStyle name="Normal" xfId="0" builtinId="0" hidden="0"/>
  </cellStyles>
  <dxfs count="5">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DDEBF7"/>
        </patternFill>
      </fill>
    </dxf>
    <dxf>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34" customWidth="1" min="1" max="1"/>
    <col width="14" customWidth="1" min="2" max="2"/>
  </cols>
  <sheetData>
    <row r="1">
      <c r="A1" s="1" t="inlineStr">
        <is>
          <t>YukthiX product tracker</t>
        </is>
      </c>
    </row>
    <row r="2">
      <c r="A2" t="inlineStr">
        <is>
          <t>Generated 2026-10-07 from docs/yukthix (design docs, roadmap, go-live) and the code in: exam-app-org, exam-app-ws</t>
        </is>
      </c>
    </row>
    <row r="4">
      <c r="A4" s="2" t="inlineStr">
        <is>
          <t>Design rules</t>
        </is>
      </c>
    </row>
    <row r="5">
      <c r="A5" t="inlineStr">
        <is>
          <t>Built + tested</t>
        </is>
      </c>
      <c r="B5">
        <f>COUNTIF(Rules!$H$2:$H$982,"Built + tested")</f>
        <v/>
      </c>
    </row>
    <row r="6">
      <c r="A6" t="inlineStr">
        <is>
          <t>Built, no test cites it</t>
        </is>
      </c>
      <c r="B6">
        <f>COUNTIF(Rules!$H$2:$H$982,"Built, no test cites it")</f>
        <v/>
      </c>
    </row>
    <row r="7">
      <c r="A7" t="inlineStr">
        <is>
          <t>Tested, code not linked</t>
        </is>
      </c>
      <c r="B7">
        <f>COUNTIF(Rules!$H$2:$H$982,"Tested, code not linked")</f>
        <v/>
      </c>
    </row>
    <row r="8">
      <c r="A8" t="inlineStr">
        <is>
          <t>UI prototype only</t>
        </is>
      </c>
      <c r="B8">
        <f>COUNTIF(Rules!$H$2:$H$982,"UI prototype only")</f>
        <v/>
      </c>
    </row>
    <row r="9">
      <c r="A9" t="inlineStr">
        <is>
          <t>Verify (step done, not linked)</t>
        </is>
      </c>
      <c r="B9">
        <f>COUNTIF(Rules!$H$2:$H$982,"Verify (step done, not linked)")</f>
        <v/>
      </c>
    </row>
    <row r="10">
      <c r="A10" t="inlineStr">
        <is>
          <t>In progress</t>
        </is>
      </c>
      <c r="B10">
        <f>COUNTIF(Rules!$H$2:$H$982,"In progress")</f>
        <v/>
      </c>
    </row>
    <row r="11">
      <c r="A11" t="inlineStr">
        <is>
          <t>Not started</t>
        </is>
      </c>
      <c r="B11">
        <f>COUNTIF(Rules!$H$2:$H$982,"Not started")</f>
        <v/>
      </c>
    </row>
    <row r="12">
      <c r="A12" t="inlineStr">
        <is>
          <t>Not needed</t>
        </is>
      </c>
      <c r="B12">
        <f>COUNTIF(Rules!$H$2:$H$982,"Not needed")</f>
        <v/>
      </c>
    </row>
    <row r="13">
      <c r="A13" t="inlineStr">
        <is>
          <t>All rules</t>
        </is>
      </c>
      <c r="B13">
        <f>COUNTA(Rules!$A$2:$A$982)</f>
        <v/>
      </c>
    </row>
    <row r="14">
      <c r="A14" t="inlineStr">
        <is>
          <t>% built + tested</t>
        </is>
      </c>
      <c r="B14" s="3">
        <f>COUNTIF(Rules!$H$2:$H$982,"Built + tested")/COUNTA(Rules!$A$2:$A$982)</f>
        <v/>
      </c>
    </row>
    <row r="15">
      <c r="A15" t="inlineStr"/>
    </row>
    <row r="16">
      <c r="A16" s="2" t="inlineStr">
        <is>
          <t>Work</t>
        </is>
      </c>
    </row>
    <row r="17">
      <c r="A17" t="inlineStr">
        <is>
          <t>Open work items not done</t>
        </is>
      </c>
      <c r="B17">
        <f>COUNTA('Open work'!A2:A16)-COUNTIF('Open work'!E2:E16,"Done")</f>
        <v/>
      </c>
    </row>
    <row r="18">
      <c r="A18" t="inlineStr">
        <is>
          <t>Deferred items still open</t>
        </is>
      </c>
      <c r="B18">
        <f>COUNTA(Deferred!A2:A106)-COUNTIF(Deferred!G2:G106,"Done")-COUNTIF(Deferred!G2:G106,"Accepted*")-COUNTIF(Deferred!G2:G106,"Moved*")</f>
        <v/>
      </c>
    </row>
    <row r="19">
      <c r="A19" t="inlineStr">
        <is>
          <t>Go-live items not done</t>
        </is>
      </c>
      <c r="B19">
        <f>COUNTA('Go-live'!A2:A13)-COUNTIF('Go-live'!F2:F13,"Done")</f>
        <v/>
      </c>
    </row>
    <row r="20">
      <c r="A20" t="inlineStr"/>
    </row>
    <row r="21">
      <c r="A21" s="2" t="inlineStr">
        <is>
          <t>UI</t>
        </is>
      </c>
    </row>
    <row r="22">
      <c r="A22" t="inlineStr">
        <is>
          <t>Screen files</t>
        </is>
      </c>
      <c r="B22" t="n">
        <v>102</v>
      </c>
    </row>
    <row r="23">
      <c r="A23" t="inlineStr">
        <is>
          <t>Screen files wired to the API</t>
        </is>
      </c>
      <c r="B23" t="n">
        <v>23</v>
      </c>
    </row>
    <row r="24">
      <c r="A24" t="inlineStr">
        <is>
          <t>Storybook stories</t>
        </is>
      </c>
      <c r="B24" t="n">
        <v>2975</v>
      </c>
    </row>
    <row r="25">
      <c r="A25" t="inlineStr"/>
    </row>
    <row r="26">
      <c r="A26" s="2" t="inlineStr">
        <is>
          <t>Design</t>
        </is>
      </c>
    </row>
    <row r="27">
      <c r="A27" t="inlineStr">
        <is>
          <t>Design docs</t>
        </is>
      </c>
      <c r="B27" t="n">
        <v>52</v>
      </c>
    </row>
    <row r="28">
      <c r="A28" t="inlineStr">
        <is>
          <t>PRs (YukthiX branches)</t>
        </is>
      </c>
      <c r="B28" t="n">
        <v>4</v>
      </c>
    </row>
    <row r="29">
      <c r="A29" t="inlineStr"/>
    </row>
    <row r="30">
      <c r="A30" s="2" t="inlineStr">
        <is>
          <t>Backlog</t>
        </is>
      </c>
    </row>
    <row r="31">
      <c r="A31" t="inlineStr">
        <is>
          <t>Epics</t>
        </is>
      </c>
      <c r="B31">
        <f>COUNTIF(Backlog!$C$2:$C$1564,"Epic")</f>
        <v/>
      </c>
    </row>
    <row r="32">
      <c r="A32" t="inlineStr">
        <is>
          <t>Features</t>
        </is>
      </c>
      <c r="B32">
        <f>COUNTIF(Backlog!$C$2:$C$1564,"Feature")</f>
        <v/>
      </c>
    </row>
    <row r="33">
      <c r="A33" t="inlineStr">
        <is>
          <t>Stories</t>
        </is>
      </c>
      <c r="B33">
        <f>COUNTIF(Backlog!$C$2:$C$1564,"Story")</f>
        <v/>
      </c>
    </row>
    <row r="34">
      <c r="A34" t="inlineStr">
        <is>
          <t>Stories Done</t>
        </is>
      </c>
      <c r="B34">
        <f>COUNTIFS(Backlog!$C$2:$C$1564,"Story",Backlog!$I$2:$I$1564,"Done")</f>
        <v/>
      </c>
    </row>
    <row r="35">
      <c r="A35" t="inlineStr">
        <is>
          <t>Stories Active</t>
        </is>
      </c>
      <c r="B35">
        <f>COUNTIFS(Backlog!$C$2:$C$1564,"Story",Backlog!$I$2:$I$1564,"Active")</f>
        <v/>
      </c>
    </row>
    <row r="36">
      <c r="A36" t="inlineStr">
        <is>
          <t>Stories New</t>
        </is>
      </c>
      <c r="B36">
        <f>COUNTIFS(Backlog!$C$2:$C$1564,"Story",Backlog!$I$2:$I$1564,"New")</f>
        <v/>
      </c>
    </row>
    <row r="37">
      <c r="A37" t="inlineStr">
        <is>
          <t>Story points total</t>
        </is>
      </c>
      <c r="B37">
        <f>SUMIFS(Backlog!$K$2:$K$1564,Backlog!$C$2:$C$1564,"Story")</f>
        <v/>
      </c>
    </row>
    <row r="38">
      <c r="A38" t="inlineStr">
        <is>
          <t>% points done</t>
        </is>
      </c>
      <c r="B38" s="3">
        <f>SUMIFS(Backlog!$K$2:$K$1564,Backlog!$C$2:$C$1564,"Story",Backlog!$I$2:$I$1564,"Done")/SUMIFS(Backlog!$K$2:$K$1564,Backlog!$C$2:$C$1564,"Story")</f>
        <v/>
      </c>
    </row>
    <row r="39">
      <c r="A39" t="inlineStr">
        <is>
          <t>Rules not covered by a story</t>
        </is>
      </c>
      <c r="B39">
        <f>COUNTA(Coverage!A2:A1031)</f>
        <v/>
      </c>
    </row>
    <row r="42">
      <c r="A42" s="2" t="inlineStr">
        <is>
          <t>How to read this</t>
        </is>
      </c>
    </row>
    <row r="43">
      <c r="A43" t="inlineStr">
        <is>
          <t>Rules: every YX-... rule in the design docs. "Built + tested" means a code file and a test file cite the rule ID.</t>
        </is>
      </c>
    </row>
    <row r="44">
      <c r="A44" t="inlineStr">
        <is>
          <t>"Verify" means its roadmap step is done but no code or test cites the rule: confirm it is built and add the ID to its test, or build it.</t>
        </is>
      </c>
    </row>
    <row r="45">
      <c r="A45" t="inlineStr">
        <is>
          <t>Override (you) on the Rules sheet replaces the automatic status (e.g. "Not needed" with a note).</t>
        </is>
      </c>
    </row>
    <row r="46">
      <c r="A46" t="inlineStr">
        <is>
          <t>Deferred: things each build job reported as left out. Close, move to a step, or accept each one.</t>
        </is>
      </c>
    </row>
    <row r="47">
      <c r="A47" t="inlineStr">
        <is>
          <t>Columns marked (you) are kept when the tracker is regenerated. Everything else is rebuilt from the docs and the code.</t>
        </is>
      </c>
    </row>
    <row r="48">
      <c r="A48" t="inlineStr">
        <is>
          <t>Rebuild: python docs/yukthix/tracker/build_tracker.py --code &lt;each worktree with unmerged work&gt;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8" customWidth="1" min="2" max="2"/>
    <col width="12" customWidth="1" min="3" max="3"/>
    <col width="9" customWidth="1" min="4" max="4"/>
    <col width="80" customWidth="1" min="5" max="5"/>
    <col width="24" customWidth="1" min="6" max="6"/>
    <col width="22" customWidth="1" min="7" max="7"/>
    <col width="24" customWidth="1" min="8" max="8"/>
    <col width="8" customWidth="1" min="9" max="9"/>
    <col width="8" customWidth="1" min="10" max="10"/>
    <col width="8" customWidth="1" min="11" max="11"/>
    <col width="50" customWidth="1" min="12" max="12"/>
    <col width="30" customWidth="1" min="13" max="13"/>
  </cols>
  <sheetData>
    <row r="1">
      <c r="A1" s="4" t="inlineStr">
        <is>
          <t>Rule ID</t>
        </is>
      </c>
      <c r="B1" s="4" t="inlineStr">
        <is>
          <t>Doc</t>
        </is>
      </c>
      <c r="C1" s="4" t="inlineStr">
        <is>
          <t>Area</t>
        </is>
      </c>
      <c r="D1" s="4" t="inlineStr">
        <is>
          <t>Roadmap step</t>
        </is>
      </c>
      <c r="E1" s="4" t="inlineStr">
        <is>
          <t>Rule (from the design doc)</t>
        </is>
      </c>
      <c r="F1" s="4" t="inlineStr">
        <is>
          <t>Status (auto)</t>
        </is>
      </c>
      <c r="G1" s="4" t="inlineStr">
        <is>
          <t>Override (you)</t>
        </is>
      </c>
      <c r="H1" s="4" t="inlineStr">
        <is>
          <t>Status</t>
        </is>
      </c>
      <c r="I1" s="4" t="inlineStr">
        <is>
          <t>Code files</t>
        </is>
      </c>
      <c r="J1" s="4" t="inlineStr">
        <is>
          <t>Test files</t>
        </is>
      </c>
      <c r="K1" s="4" t="inlineStr">
        <is>
          <t>UI files</t>
        </is>
      </c>
      <c r="L1" s="4" t="inlineStr">
        <is>
          <t>Where (first 3)</t>
        </is>
      </c>
      <c r="M1" s="4" t="inlineStr">
        <is>
          <t>Notes (you)</t>
        </is>
      </c>
    </row>
    <row r="2">
      <c r="A2" t="inlineStr">
        <is>
          <t>YX-ORG-23</t>
        </is>
      </c>
      <c r="B2" t="inlineStr">
        <is>
          <t>APX-E</t>
        </is>
      </c>
      <c r="C2" t="inlineStr">
        <is>
          <t>YX-ORG</t>
        </is>
      </c>
      <c r="D2" t="inlineStr">
        <is>
          <t>6+</t>
        </is>
      </c>
      <c r="E2" s="5" t="inlineStr">
        <is>
          <t>Setup hub. Setup steps are registered in code per module with card, required / optional flag, dependencies, a computed completion check, the starter keys they apply and the editor they open; the hub shows one card per area for the products the tenant has switched on. Starter templates are applied when a product or wave is switched on, each labelled "YukthiX starter — edit for your company" and recorded in starter_applications; a starter flagged ⚑ stays "unreviewed" until a person keeps or edits it, and later YukthiX starter versions never overwrite a company value.</t>
        </is>
      </c>
      <c r="F2" t="inlineStr">
        <is>
          <t>Not started</t>
        </is>
      </c>
      <c r="H2">
        <f>IF(G2&lt;&gt;"",G2,F2)</f>
        <v/>
      </c>
      <c r="I2" t="n">
        <v>0</v>
      </c>
      <c r="J2" t="n">
        <v>0</v>
      </c>
      <c r="K2" t="n">
        <v>0</v>
      </c>
      <c r="L2" s="5" t="inlineStr"/>
      <c r="M2" s="5" t="n"/>
    </row>
    <row r="3">
      <c r="A3" t="inlineStr">
        <is>
          <t>YX-ORG-24</t>
        </is>
      </c>
      <c r="B3" t="inlineStr">
        <is>
          <t>APX-E</t>
        </is>
      </c>
      <c r="C3" t="inlineStr">
        <is>
          <t>YX-ORG</t>
        </is>
      </c>
      <c r="D3" t="inlineStr">
        <is>
          <t>6+</t>
        </is>
      </c>
      <c r="E3" s="5" t="inlineStr">
        <is>
          <t>Go-live readiness. Each module has registered readiness checks, each blocking or advisory (§2). A module's employee-facing features (self-service requests, mobile invites, employee notifications for that module) are switched on for a legal entity only when all its blocking checks pass and the module owner has signed off; admins can configure and test before. Sign-off records the owner, time, readiness score and an acknowledgement note for every open advisory; it cannot be given while a blocking check fails. After go-live the checks keep running as health checks and a regression alerts the owne</t>
        </is>
      </c>
      <c r="F3" t="inlineStr">
        <is>
          <t>Not started</t>
        </is>
      </c>
      <c r="H3">
        <f>IF(G3&lt;&gt;"",G3,F3)</f>
        <v/>
      </c>
      <c r="I3" t="n">
        <v>0</v>
      </c>
      <c r="J3" t="n">
        <v>0</v>
      </c>
      <c r="K3" t="n">
        <v>0</v>
      </c>
      <c r="L3" s="5" t="inlineStr"/>
      <c r="M3" s="5" t="n"/>
    </row>
    <row r="4">
      <c r="A4" t="inlineStr">
        <is>
          <t>YX-ORG-25</t>
        </is>
      </c>
      <c r="B4" t="inlineStr">
        <is>
          <t>APX-E</t>
        </is>
      </c>
      <c r="C4" t="inlineStr">
        <is>
          <t>YX-ORG</t>
        </is>
      </c>
      <c r="D4" t="inlineStr">
        <is>
          <t>6+</t>
        </is>
      </c>
      <c r="E4" s="5" t="inlineStr">
        <is>
          <t>Every company policy has an editor. Every setting key and policy record registered by a module declares its editor screen, Settings group, allowed scopes, dated flag and either a starter template or a P07 legal source; a CI check fails the build if a registered policy key has no editor route or no starter / legal source. Legal values (P07) are shown read-only with source and version and are never starters (spec D17).</t>
        </is>
      </c>
      <c r="F4" t="inlineStr">
        <is>
          <t>Not started</t>
        </is>
      </c>
      <c r="H4">
        <f>IF(G4&lt;&gt;"",G4,F4)</f>
        <v/>
      </c>
      <c r="I4" t="n">
        <v>0</v>
      </c>
      <c r="J4" t="n">
        <v>0</v>
      </c>
      <c r="K4" t="n">
        <v>0</v>
      </c>
      <c r="L4" s="5" t="inlineStr"/>
      <c r="M4" s="5" t="n"/>
    </row>
    <row r="5">
      <c r="A5" t="inlineStr">
        <is>
          <t>YX-DOC-20</t>
        </is>
      </c>
      <c r="B5" t="inlineStr">
        <is>
          <t>APX-F</t>
        </is>
      </c>
      <c r="C5" t="inlineStr">
        <is>
          <t>YX-DOC</t>
        </is>
      </c>
      <c r="D5" t="inlineStr">
        <is>
          <t>6+</t>
        </is>
      </c>
      <c r="E5" s="5" t="inlineStr">
        <is>
          <t>Starter library. Every template in this library ships as a versioned starter template labelled "YukthiX starter — edit for your company" in the template list and editor (never printed on issued documents). The company edits a copy; a later YukthiX starter version never overwrites a company-edited template and is offered as "new starter version available" with a diff. Issuing from a starter that nobody has reviewed shows the issuer a one-time warning and counts as an advisory readiness finding (APX-E YX-ORG-24).</t>
        </is>
      </c>
      <c r="F5" t="inlineStr">
        <is>
          <t>Not started</t>
        </is>
      </c>
      <c r="H5">
        <f>IF(G5&lt;&gt;"",G5,F5)</f>
        <v/>
      </c>
      <c r="I5" t="n">
        <v>0</v>
      </c>
      <c r="J5" t="n">
        <v>0</v>
      </c>
      <c r="K5" t="n">
        <v>0</v>
      </c>
      <c r="L5" s="5" t="inlineStr"/>
      <c r="M5" s="5" t="n"/>
    </row>
    <row r="6">
      <c r="A6" t="inlineStr">
        <is>
          <t>YX-DOC-21</t>
        </is>
      </c>
      <c r="B6" t="inlineStr">
        <is>
          <t>APX-F</t>
        </is>
      </c>
      <c r="C6" t="inlineStr">
        <is>
          <t>YX-DOC</t>
        </is>
      </c>
      <c r="D6" t="inlineStr">
        <is>
          <t>6+</t>
        </is>
      </c>
      <c r="E6" s="5" t="inlineStr">
        <is>
          <t>Restricted-area letters on the verify page. Letters issued from a restricted-area case (POSH, disciplinary, grievance, whistleblower; P02) keep QR verification on by default (P05 Q5), but the public verify page shows the letter type only as "Confidential HR letter", with company, name, date and current / superseded status; the case type never appears outside the app.</t>
        </is>
      </c>
      <c r="F6" t="inlineStr">
        <is>
          <t>Not started</t>
        </is>
      </c>
      <c r="H6">
        <f>IF(G6&lt;&gt;"",G6,F6)</f>
        <v/>
      </c>
      <c r="I6" t="n">
        <v>0</v>
      </c>
      <c r="J6" t="n">
        <v>0</v>
      </c>
      <c r="K6" t="n">
        <v>0</v>
      </c>
      <c r="L6" s="5" t="inlineStr"/>
      <c r="M6" s="5" t="n"/>
    </row>
    <row r="7">
      <c r="A7" t="inlineStr">
        <is>
          <t>YX-DOC-22</t>
        </is>
      </c>
      <c r="B7" t="inlineStr">
        <is>
          <t>APX-F</t>
        </is>
      </c>
      <c r="C7" t="inlineStr">
        <is>
          <t>YX-DOC</t>
        </is>
      </c>
      <c r="D7" t="inlineStr">
        <is>
          <t>6+</t>
        </is>
      </c>
      <c r="E7" s="5" t="inlineStr">
        <is>
          <t>Legally mandatory content is locked. For templates whose content is prescribed by law (statutory forms, GST tax invoice and credit note, wage slip / payslip, legally required notice wording) the editor locks the mandatory fields and blocks; the company may change branding, layout of non-mandatory parts, optional fields and language. A template cannot be activated when a mandatory field is missing (extends YX-DOC-15); the mandatory field list comes from P07 and changes with it.</t>
        </is>
      </c>
      <c r="F7" t="inlineStr">
        <is>
          <t>Not started</t>
        </is>
      </c>
      <c r="H7">
        <f>IF(G7&lt;&gt;"",G7,F7)</f>
        <v/>
      </c>
      <c r="I7" t="n">
        <v>0</v>
      </c>
      <c r="J7" t="n">
        <v>0</v>
      </c>
      <c r="K7" t="n">
        <v>0</v>
      </c>
      <c r="L7" s="5" t="inlineStr"/>
      <c r="M7" s="5" t="n"/>
    </row>
    <row r="8">
      <c r="A8" t="inlineStr">
        <is>
          <t>YX-EMP-01</t>
        </is>
      </c>
      <c r="B8" t="inlineStr">
        <is>
          <t>M01</t>
        </is>
      </c>
      <c r="C8" t="inlineStr">
        <is>
          <t>YX-EMP</t>
        </is>
      </c>
      <c r="D8" t="inlineStr">
        <is>
          <t>2</t>
        </is>
      </c>
      <c r="E8" s="5" t="inlineStr">
        <is>
          <t>Identity fields are validated on entry (PAN format + verification, Aadhaar checksum, UAN/ESIC/IFSC formats); Aadhaar is stored encrypted and displayed masked (P02 YX-SEC-08).</t>
        </is>
      </c>
      <c r="F8" t="inlineStr">
        <is>
          <t>Built + tested</t>
        </is>
      </c>
      <c r="H8">
        <f>IF(G8&lt;&gt;"",G8,F8)</f>
        <v/>
      </c>
      <c r="I8" t="n">
        <v>1</v>
      </c>
      <c r="J8" t="n">
        <v>2</v>
      </c>
      <c r="K8" t="n">
        <v>2</v>
      </c>
      <c r="L8" s="5" t="inlineStr">
        <is>
          <t>exam-app-org:apps/api/src/access/scope.spec.ts
exam-app-org:apps/api/src/people/profile.dto.ts
exam-app-org:apps/api/test/access-privacy.e2e-spec.ts</t>
        </is>
      </c>
      <c r="M8" s="5" t="n"/>
    </row>
    <row r="9">
      <c r="A9" t="inlineStr">
        <is>
          <t>YX-EMP-02</t>
        </is>
      </c>
      <c r="B9" t="inlineStr">
        <is>
          <t>M01</t>
        </is>
      </c>
      <c r="C9" t="inlineStr">
        <is>
          <t>YX-EMP</t>
        </is>
      </c>
      <c r="D9" t="inlineStr">
        <is>
          <t>2</t>
        </is>
      </c>
      <c r="E9" s="5" t="inlineStr">
        <is>
          <t>Duplicate PAN, Aadhaar or salary bank account across active employees raises a blocking warning with the conflicting record (HR may override with reason).</t>
        </is>
      </c>
      <c r="F9" t="inlineStr">
        <is>
          <t>Built + tested</t>
        </is>
      </c>
      <c r="H9">
        <f>IF(G9&lt;&gt;"",G9,F9)</f>
        <v/>
      </c>
      <c r="I9" t="n">
        <v>4</v>
      </c>
      <c r="J9" t="n">
        <v>2</v>
      </c>
      <c r="K9" t="n">
        <v>2</v>
      </c>
      <c r="L9" s="5" t="inlineStr">
        <is>
          <t>exam-app-org:apps/api/prisma/migrations/20261010000000_access_privacy/migration.sql
exam-app-org:apps/api/prisma/schema.prisma
exam-app-org:apps/api/src/people/profile.dto.ts</t>
        </is>
      </c>
      <c r="M9" s="5" t="n"/>
    </row>
    <row r="10">
      <c r="A10" t="inlineStr">
        <is>
          <t>YX-EMP-03</t>
        </is>
      </c>
      <c r="B10" t="inlineStr">
        <is>
          <t>M01</t>
        </is>
      </c>
      <c r="C10" t="inlineStr">
        <is>
          <t>YX-EMP</t>
        </is>
      </c>
      <c r="D10" t="inlineStr">
        <is>
          <t>2</t>
        </is>
      </c>
      <c r="E10" s="5" t="inlineStr">
        <is>
          <t>Custom fields carry a sensitivity class and self-edit flag; P02 rules apply to them like built-in fields.</t>
        </is>
      </c>
      <c r="F10" t="inlineStr">
        <is>
          <t>Verify (step done, not linked)</t>
        </is>
      </c>
      <c r="H10">
        <f>IF(G10&lt;&gt;"",G10,F10)</f>
        <v/>
      </c>
      <c r="I10" t="n">
        <v>0</v>
      </c>
      <c r="J10" t="n">
        <v>0</v>
      </c>
      <c r="K10" t="n">
        <v>0</v>
      </c>
      <c r="L10" s="5" t="inlineStr"/>
      <c r="M10" s="5" t="n"/>
    </row>
    <row r="11">
      <c r="A11" t="inlineStr">
        <is>
          <t>YX-EMP-04</t>
        </is>
      </c>
      <c r="B11" t="inlineStr">
        <is>
          <t>M01</t>
        </is>
      </c>
      <c r="C11" t="inlineStr">
        <is>
          <t>YX-EMP</t>
        </is>
      </c>
      <c r="D11" t="inlineStr">
        <is>
          <t>2</t>
        </is>
      </c>
      <c r="E11" s="5" t="inlineStr">
        <is>
          <t>Dotted-line managers never enter approval chains unless a policy explicitly names them.</t>
        </is>
      </c>
      <c r="F11" t="inlineStr">
        <is>
          <t>Built + tested</t>
        </is>
      </c>
      <c r="H11">
        <f>IF(G11&lt;&gt;"",G11,F11)</f>
        <v/>
      </c>
      <c r="I11" t="n">
        <v>3</v>
      </c>
      <c r="J11" t="n">
        <v>2</v>
      </c>
      <c r="K11" t="n">
        <v>1</v>
      </c>
      <c r="L11" s="5" t="inlineStr">
        <is>
          <t>exam-app-org:apps/api/prisma/migrations/20261009000000_people_core/migration.sql
exam-app-org:apps/api/prisma/schema.prisma
exam-app-org:apps/api/src/employee-history/history-rules.ts</t>
        </is>
      </c>
      <c r="M11" s="5" t="n"/>
    </row>
    <row r="12">
      <c r="A12" t="inlineStr">
        <is>
          <t>YX-EMP-05</t>
        </is>
      </c>
      <c r="B12" t="inlineStr">
        <is>
          <t>M01</t>
        </is>
      </c>
      <c r="C12" t="inlineStr">
        <is>
          <t>YX-EMP</t>
        </is>
      </c>
      <c r="D12" t="inlineStr">
        <is>
          <t>2</t>
        </is>
      </c>
      <c r="E12" s="5" t="inlineStr">
        <is>
          <t>Every job change is a P06 change with a type, impact preview, approval and (where configured) a letter; a promotion that changes pay updates compensation in the same change.</t>
        </is>
      </c>
      <c r="F12" t="inlineStr">
        <is>
          <t>Verify (step done, not linked)</t>
        </is>
      </c>
      <c r="H12">
        <f>IF(G12&lt;&gt;"",G12,F12)</f>
        <v/>
      </c>
      <c r="I12" t="n">
        <v>0</v>
      </c>
      <c r="J12" t="n">
        <v>0</v>
      </c>
      <c r="K12" t="n">
        <v>0</v>
      </c>
      <c r="L12" s="5" t="inlineStr"/>
      <c r="M12" s="5" t="n"/>
    </row>
    <row r="13">
      <c r="A13" t="inlineStr">
        <is>
          <t>YX-EMP-06</t>
        </is>
      </c>
      <c r="B13" t="inlineStr">
        <is>
          <t>M01</t>
        </is>
      </c>
      <c r="C13" t="inlineStr">
        <is>
          <t>YX-EMP</t>
        </is>
      </c>
      <c r="D13" t="inlineStr">
        <is>
          <t>2</t>
        </is>
      </c>
      <c r="E13" s="5" t="inlineStr">
        <is>
          <t>Long absence (sabbatical, long LWP, maternity, long-term disability) is a dated absence status on the employment with an expected return date; starting, changing and ending it are P06 changes, the return fires return-to-work tasks, and its payroll / leave / statutory effects come from M02 / M03. Sabbatical eligibility, length and pay are company policy (starter template).</t>
        </is>
      </c>
      <c r="F13" t="inlineStr">
        <is>
          <t>Verify (step done, not linked)</t>
        </is>
      </c>
      <c r="H13">
        <f>IF(G13&lt;&gt;"",G13,F13)</f>
        <v/>
      </c>
      <c r="I13" t="n">
        <v>0</v>
      </c>
      <c r="J13" t="n">
        <v>0</v>
      </c>
      <c r="K13" t="n">
        <v>0</v>
      </c>
      <c r="L13" s="5" t="inlineStr"/>
      <c r="M13" s="5" t="n"/>
    </row>
    <row r="14">
      <c r="A14" t="inlineStr">
        <is>
          <t>YX-EMP-07</t>
        </is>
      </c>
      <c r="B14" t="inlineStr">
        <is>
          <t>M01</t>
        </is>
      </c>
      <c r="C14" t="inlineStr">
        <is>
          <t>YX-EMP</t>
        </is>
      </c>
      <c r="D14" t="inlineStr">
        <is>
          <t>2</t>
        </is>
      </c>
      <c r="E14" s="5" t="inlineStr">
        <is>
          <t>An assignment with host fields takes its holiday calendar, PT state and geofence from the host location for the assignment's dates while the home entity stays the employer; a recharge flag lists it in the recharge report. Bulk restructures use one wizard with YX-ORG-17 options as editable defaults; an entity is closed only when it has no active employments and its last payroll period is locked.</t>
        </is>
      </c>
      <c r="F14" t="inlineStr">
        <is>
          <t>Verify (step done, not linked)</t>
        </is>
      </c>
      <c r="H14">
        <f>IF(G14&lt;&gt;"",G14,F14)</f>
        <v/>
      </c>
      <c r="I14" t="n">
        <v>0</v>
      </c>
      <c r="J14" t="n">
        <v>0</v>
      </c>
      <c r="K14" t="n">
        <v>0</v>
      </c>
      <c r="L14" s="5" t="inlineStr"/>
      <c r="M14" s="5" t="n"/>
    </row>
    <row r="15">
      <c r="A15" t="inlineStr">
        <is>
          <t>YX-EMP-08</t>
        </is>
      </c>
      <c r="B15" t="inlineStr">
        <is>
          <t>M01</t>
        </is>
      </c>
      <c r="C15" t="inlineStr">
        <is>
          <t>YX-EMP</t>
        </is>
      </c>
      <c r="D15" t="inlineStr">
        <is>
          <t>2</t>
        </is>
      </c>
      <c r="E15" s="5" t="inlineStr">
        <is>
          <t>Every inter-entity transfer opens a continuity checklist (UAN transfer, ESI IP, Form 12B into the new entity, declarations / proofs, loans re-parented when "no F&amp;F", leave-ledger transfer entries, gratuity exemption carried across payouts); open items are visible on the change and in M03 pre-flight.</t>
        </is>
      </c>
      <c r="F15" t="inlineStr">
        <is>
          <t>Verify (step done, not linked)</t>
        </is>
      </c>
      <c r="H15">
        <f>IF(G15&lt;&gt;"",G15,F15)</f>
        <v/>
      </c>
      <c r="I15" t="n">
        <v>0</v>
      </c>
      <c r="J15" t="n">
        <v>0</v>
      </c>
      <c r="K15" t="n">
        <v>0</v>
      </c>
      <c r="L15" s="5" t="inlineStr"/>
      <c r="M15" s="5" t="n"/>
    </row>
    <row r="16">
      <c r="A16" t="inlineStr">
        <is>
          <t>YX-EMP-09</t>
        </is>
      </c>
      <c r="B16" t="inlineStr">
        <is>
          <t>M01</t>
        </is>
      </c>
      <c r="C16" t="inlineStr">
        <is>
          <t>YX-EMP</t>
        </is>
      </c>
      <c r="D16" t="inlineStr">
        <is>
          <t>2</t>
        </is>
      </c>
      <c r="E16" s="5" t="inlineStr">
        <is>
          <t>Positions (B16): in position-based mode every assignment references a position of the same entity; the sum of incumbents' FTE never exceeds the position's FTE (job-share allowed); creating, re-grading or closing a position is a P03 request; a position becomes vacant on its incumbent's exit or transfer and "Open requisition" on a vacant / approved position creates an M10 requisition linked to it and its plan line; in job-based mode (starter) positions are optional and nothing is blocked.</t>
        </is>
      </c>
      <c r="F16" t="inlineStr">
        <is>
          <t>Verify (step done, not linked)</t>
        </is>
      </c>
      <c r="H16">
        <f>IF(G16&lt;&gt;"",G16,F16)</f>
        <v/>
      </c>
      <c r="I16" t="n">
        <v>0</v>
      </c>
      <c r="J16" t="n">
        <v>0</v>
      </c>
      <c r="K16" t="n">
        <v>0</v>
      </c>
      <c r="L16" s="5" t="inlineStr"/>
      <c r="M16" s="5" t="n"/>
    </row>
    <row r="17">
      <c r="A17" t="inlineStr">
        <is>
          <t>YX-EMP-10</t>
        </is>
      </c>
      <c r="B17" t="inlineStr">
        <is>
          <t>M01</t>
        </is>
      </c>
      <c r="C17" t="inlineStr">
        <is>
          <t>YX-EMP</t>
        </is>
      </c>
      <c r="D17" t="inlineStr">
        <is>
          <t>2</t>
        </is>
      </c>
      <c r="E17" s="5" t="inlineStr">
        <is>
          <t>Workforce scenarios (B16): a scenario never changes live data; its forecast = current headcount and cost ± planned changes, reduced by the scenario's attrition rate per department with backfill lag; costs use M03 compensation and employer contributions (new hires at band midpoint); only an approved scenario (P03) creates positions / M10 headcount-plan lines; scenarios are Confidential (HR, finance, leadership).</t>
        </is>
      </c>
      <c r="F17" t="inlineStr">
        <is>
          <t>Verify (step done, not linked)</t>
        </is>
      </c>
      <c r="H17">
        <f>IF(G17&lt;&gt;"",G17,F17)</f>
        <v/>
      </c>
      <c r="I17" t="n">
        <v>0</v>
      </c>
      <c r="J17" t="n">
        <v>0</v>
      </c>
      <c r="K17" t="n">
        <v>0</v>
      </c>
      <c r="L17" s="5" t="inlineStr"/>
      <c r="M17" s="5" t="n"/>
    </row>
    <row r="18">
      <c r="A18" t="inlineStr">
        <is>
          <t>YX-EMP-11</t>
        </is>
      </c>
      <c r="B18" t="inlineStr">
        <is>
          <t>M01</t>
        </is>
      </c>
      <c r="C18" t="inlineStr">
        <is>
          <t>YX-EMP</t>
        </is>
      </c>
      <c r="D18" t="inlineStr">
        <is>
          <t>2</t>
        </is>
      </c>
      <c r="E18" s="5" t="inlineStr">
        <is>
          <t>Career paths &amp; IDPs (B16) — owned by M06. Rules are YX-PERF-14 (IDP) and YX-PERF-15 (career paths); M01 only displays them (Me › Career, succession view) and never keeps its own copy.</t>
        </is>
      </c>
      <c r="F18" t="inlineStr">
        <is>
          <t>Verify (step done, not linked)</t>
        </is>
      </c>
      <c r="H18">
        <f>IF(G18&lt;&gt;"",G18,F18)</f>
        <v/>
      </c>
      <c r="I18" t="n">
        <v>0</v>
      </c>
      <c r="J18" t="n">
        <v>0</v>
      </c>
      <c r="K18" t="n">
        <v>0</v>
      </c>
      <c r="L18" s="5" t="inlineStr"/>
      <c r="M18" s="5" t="n"/>
    </row>
    <row r="19">
      <c r="A19" t="inlineStr">
        <is>
          <t>YX-EMP-12</t>
        </is>
      </c>
      <c r="B19" t="inlineStr">
        <is>
          <t>M01</t>
        </is>
      </c>
      <c r="C19" t="inlineStr">
        <is>
          <t>YX-EMP</t>
        </is>
      </c>
      <c r="D19" t="inlineStr">
        <is>
          <t>2</t>
        </is>
      </c>
      <c r="E19" s="5" t="inlineStr">
        <is>
          <t>Attrition-risk signal (B16) — owned by M06. Rules are YX-PERF-17 (HR only, advisory, never read by any workflow, approval, rating, pay, notification or selection step). M01 workforce scenarios (YX-EMP-10) use only the aggregate P09 attrition rate, never individual bands.</t>
        </is>
      </c>
      <c r="F19" t="inlineStr">
        <is>
          <t>Verify (step done, not linked)</t>
        </is>
      </c>
      <c r="H19">
        <f>IF(G19&lt;&gt;"",G19,F19)</f>
        <v/>
      </c>
      <c r="I19" t="n">
        <v>0</v>
      </c>
      <c r="J19" t="n">
        <v>0</v>
      </c>
      <c r="K19" t="n">
        <v>0</v>
      </c>
      <c r="L19" s="5" t="inlineStr"/>
      <c r="M19" s="5" t="n"/>
    </row>
    <row r="20">
      <c r="A20" t="inlineStr">
        <is>
          <t>YX-EMP-13</t>
        </is>
      </c>
      <c r="B20" t="inlineStr">
        <is>
          <t>M01</t>
        </is>
      </c>
      <c r="C20" t="inlineStr">
        <is>
          <t>YX-EMP</t>
        </is>
      </c>
      <c r="D20" t="inlineStr">
        <is>
          <t>2</t>
        </is>
      </c>
      <c r="E20" s="5" t="inlineStr">
        <is>
          <t>Annual health check-up (C1): where P07 IN.OSH prescribes it, eligible workers (currently aged 40+) are listed yearly per establishment, get a scheduling task and a free check-up record; outcomes and reports are Special class (P02), hidden from managers (who see scheduled / done only), and nothing is charged to the employee.</t>
        </is>
      </c>
      <c r="F20" t="inlineStr">
        <is>
          <t>Verify (step done, not linked)</t>
        </is>
      </c>
      <c r="H20">
        <f>IF(G20&lt;&gt;"",G20,F20)</f>
        <v/>
      </c>
      <c r="I20" t="n">
        <v>0</v>
      </c>
      <c r="J20" t="n">
        <v>0</v>
      </c>
      <c r="K20" t="n">
        <v>0</v>
      </c>
      <c r="L20" s="5" t="inlineStr"/>
      <c r="M20" s="5" t="n"/>
    </row>
    <row r="21">
      <c r="A21" t="inlineStr">
        <is>
          <t>YX-EMP-14</t>
        </is>
      </c>
      <c r="B21" t="inlineStr">
        <is>
          <t>M01</t>
        </is>
      </c>
      <c r="C21" t="inlineStr">
        <is>
          <t>YX-EMP</t>
        </is>
      </c>
      <c r="D21" t="inlineStr">
        <is>
          <t>2</t>
        </is>
      </c>
      <c r="E21" s="5" t="inlineStr">
        <is>
          <t>Disability declaration (R8). Disability status is voluntary and recorded only with explicit, withdrawable consent; it is Special class (P02): never shown to the manager, used by payroll only as the ESI PwD ceiling flag (P07 IN.ESI), and reported only in aggregate with small-cell suppression; the equal-opportunity policy (M08, starter template) is linked from the declaration. Withdrawal hides the data from all but the audit trail within the retention rule.</t>
        </is>
      </c>
      <c r="F21" t="inlineStr">
        <is>
          <t>Verify (step done, not linked)</t>
        </is>
      </c>
      <c r="H21">
        <f>IF(G21&lt;&gt;"",G21,F21)</f>
        <v/>
      </c>
      <c r="I21" t="n">
        <v>0</v>
      </c>
      <c r="J21" t="n">
        <v>0</v>
      </c>
      <c r="K21" t="n">
        <v>0</v>
      </c>
      <c r="L21" s="5" t="inlineStr"/>
      <c r="M21" s="5" t="n"/>
    </row>
    <row r="22">
      <c r="A22" t="inlineStr">
        <is>
          <t>YX-EMP-15</t>
        </is>
      </c>
      <c r="B22" t="inlineStr">
        <is>
          <t>M01</t>
        </is>
      </c>
      <c r="C22" t="inlineStr">
        <is>
          <t>YX-EMP</t>
        </is>
      </c>
      <c r="D22" t="inlineStr">
        <is>
          <t>2</t>
        </is>
      </c>
      <c r="E22" s="5" t="inlineStr">
        <is>
          <t>Union register and membership (J4). Unions, their recognition (basis and dates, per IR Code negotiating-union rules, verify) and dated employee memberships with check-off consent are kept per legal entity / establishment; membership is Confidential (P02: HR-IR role and payroll for dues only), never used by other modules; lay-off, strike and lockout days from M02 (YX-AT-27) appear on the employee timeline.</t>
        </is>
      </c>
      <c r="F22" t="inlineStr">
        <is>
          <t>Verify (step done, not linked)</t>
        </is>
      </c>
      <c r="H22">
        <f>IF(G22&lt;&gt;"",G22,F22)</f>
        <v/>
      </c>
      <c r="I22" t="n">
        <v>0</v>
      </c>
      <c r="J22" t="n">
        <v>0</v>
      </c>
      <c r="K22" t="n">
        <v>0</v>
      </c>
      <c r="L22" s="5" t="inlineStr"/>
      <c r="M22" s="5" t="n"/>
    </row>
    <row r="23">
      <c r="A23" t="inlineStr">
        <is>
          <t>YX-EMP-16</t>
        </is>
      </c>
      <c r="B23" t="inlineStr">
        <is>
          <t>M01</t>
        </is>
      </c>
      <c r="C23" t="inlineStr">
        <is>
          <t>YX-EMP</t>
        </is>
      </c>
      <c r="D23" t="inlineStr">
        <is>
          <t>2</t>
        </is>
      </c>
      <c r="E23" s="5" t="inlineStr">
        <is>
          <t>Periodic re-verification (V11, T22). Re-verification runs only per a company rule (periodic N years, role change into a sensitive role, client mandate), each cycle with fresh consent via the P10 BGV connector; results are Confidential (adverse findings Special), open an HR review task, and never trigger an automatic status change.</t>
        </is>
      </c>
      <c r="F23" t="inlineStr">
        <is>
          <t>Verify (step done, not linked)</t>
        </is>
      </c>
      <c r="H23">
        <f>IF(G23&lt;&gt;"",G23,F23)</f>
        <v/>
      </c>
      <c r="I23" t="n">
        <v>0</v>
      </c>
      <c r="J23" t="n">
        <v>0</v>
      </c>
      <c r="K23" t="n">
        <v>2</v>
      </c>
      <c r="L23" s="5" t="inlineStr"/>
      <c r="M23" s="5" t="n"/>
    </row>
    <row r="24">
      <c r="A24" t="inlineStr">
        <is>
          <t>YX-EMP-17</t>
        </is>
      </c>
      <c r="B24" t="inlineStr">
        <is>
          <t>M01</t>
        </is>
      </c>
      <c r="C24" t="inlineStr">
        <is>
          <t>YX-EMP</t>
        </is>
      </c>
      <c r="D24" t="inlineStr">
        <is>
          <t>2</t>
        </is>
      </c>
      <c r="E24" s="5" t="inlineStr">
        <is>
          <t>Regulated declarations (V12). With the BFSI pack on, designated roles submit fit-and-proper / KMP declarations yearly and on change, and every employee attests the current code-of-conduct version yearly (OTP, M08 YX-POL-02); due dates and escalations follow the company calendar (D17) over the regulator's minimum (verify); records are Confidential to the compliance officer.</t>
        </is>
      </c>
      <c r="F24" t="inlineStr">
        <is>
          <t>Verify (step done, not linked)</t>
        </is>
      </c>
      <c r="H24">
        <f>IF(G24&lt;&gt;"",G24,F24)</f>
        <v/>
      </c>
      <c r="I24" t="n">
        <v>0</v>
      </c>
      <c r="J24" t="n">
        <v>0</v>
      </c>
      <c r="K24" t="n">
        <v>0</v>
      </c>
      <c r="L24" s="5" t="inlineStr"/>
      <c r="M24" s="5" t="n"/>
    </row>
    <row r="25">
      <c r="A25" t="inlineStr">
        <is>
          <t>YX-EMP-18</t>
        </is>
      </c>
      <c r="B25" t="inlineStr">
        <is>
          <t>M01</t>
        </is>
      </c>
      <c r="C25" t="inlineStr">
        <is>
          <t>YX-EMP</t>
        </is>
      </c>
      <c r="D25" t="inlineStr">
        <is>
          <t>2</t>
        </is>
      </c>
      <c r="E25" s="5" t="inlineStr">
        <is>
          <t>Insider-trading designated persons (V12). Designated persons (SEBI PIT Regulations 2015, verify) file holdings and relatives disclosures on designation and yearly, and need pre-clearance for trades above the company threshold; a pre-clearance is valid for the company's window (starter 7 trading days, verify) and blocked during a trading-window closure; the trade is reported back and late / missing reports alert the compliance officer.</t>
        </is>
      </c>
      <c r="F25" t="inlineStr">
        <is>
          <t>Verify (step done, not linked)</t>
        </is>
      </c>
      <c r="H25">
        <f>IF(G25&lt;&gt;"",G25,F25)</f>
        <v/>
      </c>
      <c r="I25" t="n">
        <v>0</v>
      </c>
      <c r="J25" t="n">
        <v>0</v>
      </c>
      <c r="K25" t="n">
        <v>2</v>
      </c>
      <c r="L25" s="5" t="inlineStr"/>
      <c r="M25" s="5" t="n"/>
    </row>
    <row r="26">
      <c r="A26" t="inlineStr">
        <is>
          <t>YX-LC-01</t>
        </is>
      </c>
      <c r="B26" t="inlineStr">
        <is>
          <t>M01</t>
        </is>
      </c>
      <c r="C26" t="inlineStr">
        <is>
          <t>YX-LC</t>
        </is>
      </c>
      <c r="D26" t="inlineStr">
        <is>
          <t>2</t>
        </is>
      </c>
      <c r="E26" s="5" t="inlineStr">
        <is>
          <t>Probation reviews are created N days before the end; unresolved reviews escalate to HR on the end date; no auto-confirmation unless the tenant enables it.</t>
        </is>
      </c>
      <c r="F26" t="inlineStr">
        <is>
          <t>Built + tested</t>
        </is>
      </c>
      <c r="H26">
        <f>IF(G26&lt;&gt;"",G26,F26)</f>
        <v/>
      </c>
      <c r="I26" t="n">
        <v>5</v>
      </c>
      <c r="J26" t="n">
        <v>2</v>
      </c>
      <c r="K26" t="n">
        <v>4</v>
      </c>
      <c r="L26" s="5" t="inlineStr">
        <is>
          <t>exam-app-org:apps/api/prisma/migrations/20261009000000_people_core/migration.sql
exam-app-org:apps/api/src/jobs/scheduled-sweeps.queue.ts
exam-app-org:apps/api/src/jobs/scheduled-sweeps.worker.service.ts</t>
        </is>
      </c>
      <c r="M26" s="5" t="n"/>
    </row>
    <row r="27">
      <c r="A27" t="inlineStr">
        <is>
          <t>YX-LC-02</t>
        </is>
      </c>
      <c r="B27" t="inlineStr">
        <is>
          <t>M01</t>
        </is>
      </c>
      <c r="C27" t="inlineStr">
        <is>
          <t>YX-LC</t>
        </is>
      </c>
      <c r="D27" t="inlineStr">
        <is>
          <t>2</t>
        </is>
      </c>
      <c r="E27" s="5" t="inlineStr">
        <is>
          <t>Onboarding and offboarding tasks use relative due dates (negative allowed), named owners and SLA reminders; progress is shown on the employee record.</t>
        </is>
      </c>
      <c r="F27" t="inlineStr">
        <is>
          <t>Verify (step done, not linked)</t>
        </is>
      </c>
      <c r="H27">
        <f>IF(G27&lt;&gt;"",G27,F27)</f>
        <v/>
      </c>
      <c r="I27" t="n">
        <v>0</v>
      </c>
      <c r="J27" t="n">
        <v>0</v>
      </c>
      <c r="K27" t="n">
        <v>2</v>
      </c>
      <c r="L27" s="5" t="inlineStr"/>
      <c r="M27" s="5" t="n"/>
    </row>
    <row r="28">
      <c r="A28" t="inlineStr">
        <is>
          <t>YX-LC-03</t>
        </is>
      </c>
      <c r="B28" t="inlineStr">
        <is>
          <t>M01</t>
        </is>
      </c>
      <c r="C28" t="inlineStr">
        <is>
          <t>YX-LC</t>
        </is>
      </c>
      <c r="D28" t="inlineStr">
        <is>
          <t>2</t>
        </is>
      </c>
      <c r="E28" s="5" t="inlineStr">
        <is>
          <t>Pre-boarding data becomes employee data on joining without re-entry; unverified mandatory documents are flagged in payroll pre-flight (P05 YX-DOC-17).</t>
        </is>
      </c>
      <c r="F28" t="inlineStr">
        <is>
          <t>Verify (step done, not linked)</t>
        </is>
      </c>
      <c r="H28">
        <f>IF(G28&lt;&gt;"",G28,F28)</f>
        <v/>
      </c>
      <c r="I28" t="n">
        <v>0</v>
      </c>
      <c r="J28" t="n">
        <v>0</v>
      </c>
      <c r="K28" t="n">
        <v>0</v>
      </c>
      <c r="L28" s="5" t="inlineStr"/>
      <c r="M28" s="5" t="n"/>
    </row>
    <row r="29">
      <c r="A29" t="inlineStr">
        <is>
          <t>YX-LC-04</t>
        </is>
      </c>
      <c r="B29" t="inlineStr">
        <is>
          <t>M01</t>
        </is>
      </c>
      <c r="C29" t="inlineStr">
        <is>
          <t>YX-LC</t>
        </is>
      </c>
      <c r="D29" t="inlineStr">
        <is>
          <t>2</t>
        </is>
      </c>
      <c r="E29" s="5" t="inlineStr">
        <is>
          <t>Resignation notice is computed from the policy valid on the submission date; early release, buy-out and withdrawal each require approval and are recorded on the exit case.</t>
        </is>
      </c>
      <c r="F29" t="inlineStr">
        <is>
          <t>Verify (step done, not linked)</t>
        </is>
      </c>
      <c r="H29">
        <f>IF(G29&lt;&gt;"",G29,F29)</f>
        <v/>
      </c>
      <c r="I29" t="n">
        <v>0</v>
      </c>
      <c r="J29" t="n">
        <v>0</v>
      </c>
      <c r="K29" t="n">
        <v>4</v>
      </c>
      <c r="L29" s="5" t="inlineStr"/>
      <c r="M29" s="5" t="n"/>
    </row>
    <row r="30">
      <c r="A30" t="inlineStr">
        <is>
          <t>YX-LC-05</t>
        </is>
      </c>
      <c r="B30" t="inlineStr">
        <is>
          <t>M01</t>
        </is>
      </c>
      <c r="C30" t="inlineStr">
        <is>
          <t>YX-LC</t>
        </is>
      </c>
      <c r="D30" t="inlineStr">
        <is>
          <t>2</t>
        </is>
      </c>
      <c r="E30" s="5" t="inlineStr">
        <is>
          <t>On the last working day: access converts to alumni, implicit grants end, open approvals are reassigned and pending onboarding/exit tasks are escalated.</t>
        </is>
      </c>
      <c r="F30" t="inlineStr">
        <is>
          <t>Verify (step done, not linked)</t>
        </is>
      </c>
      <c r="H30">
        <f>IF(G30&lt;&gt;"",G30,F30)</f>
        <v/>
      </c>
      <c r="I30" t="n">
        <v>0</v>
      </c>
      <c r="J30" t="n">
        <v>0</v>
      </c>
      <c r="K30" t="n">
        <v>0</v>
      </c>
      <c r="L30" s="5" t="inlineStr"/>
      <c r="M30" s="5" t="n"/>
    </row>
    <row r="31">
      <c r="A31" t="inlineStr">
        <is>
          <t>YX-LC-06</t>
        </is>
      </c>
      <c r="B31" t="inlineStr">
        <is>
          <t>M01</t>
        </is>
      </c>
      <c r="C31" t="inlineStr">
        <is>
          <t>YX-LC</t>
        </is>
      </c>
      <c r="D31" t="inlineStr">
        <is>
          <t>2</t>
        </is>
      </c>
      <c r="E31" s="5" t="inlineStr">
        <is>
          <t>F&amp;F is calculated (not just tracked): final salary, encashment, bonus, gratuity, reimbursements, arrears, notice pay in lieu minus notice shortfall, negative leave, expense advances (M05 Q6), salary advances / loans (M03 Q4), assets, training-bond recovery (M07 Q5), joining / retention bonus clawback (M10 Q3), other, with TDS; every line is explained.</t>
        </is>
      </c>
      <c r="F31" t="inlineStr">
        <is>
          <t>Verify (step done, not linked)</t>
        </is>
      </c>
      <c r="H31">
        <f>IF(G31&lt;&gt;"",G31,F31)</f>
        <v/>
      </c>
      <c r="I31" t="n">
        <v>0</v>
      </c>
      <c r="J31" t="n">
        <v>0</v>
      </c>
      <c r="K31" t="n">
        <v>2</v>
      </c>
      <c r="L31" s="5" t="inlineStr"/>
      <c r="M31" s="5" t="n"/>
    </row>
    <row r="32">
      <c r="A32" t="inlineStr">
        <is>
          <t>YX-LC-07</t>
        </is>
      </c>
      <c r="B32" t="inlineStr">
        <is>
          <t>M01</t>
        </is>
      </c>
      <c r="C32" t="inlineStr">
        <is>
          <t>YX-LC</t>
        </is>
      </c>
      <c r="D32" t="inlineStr">
        <is>
          <t>2</t>
        </is>
      </c>
      <c r="E32" s="5" t="inlineStr">
        <is>
          <t>Open expense advances (M05 Q6), salary advances / loans (M03 Q4), unreturned assets, negative leave balances, confirmed training-bond recoveries (M07 Q5) and bonus clawbacks (M10 Q3) are pulled into the F&amp;F automatically and refreshed until the F&amp;F is approved (fixes U65).</t>
        </is>
      </c>
      <c r="F32" t="inlineStr">
        <is>
          <t>Verify (step done, not linked)</t>
        </is>
      </c>
      <c r="H32">
        <f>IF(G32&lt;&gt;"",G32,F32)</f>
        <v/>
      </c>
      <c r="I32" t="n">
        <v>0</v>
      </c>
      <c r="J32" t="n">
        <v>0</v>
      </c>
      <c r="K32" t="n">
        <v>2</v>
      </c>
      <c r="L32" s="5" t="inlineStr"/>
      <c r="M32" s="5" t="n"/>
    </row>
    <row r="33">
      <c r="A33" t="inlineStr">
        <is>
          <t>YX-LC-08</t>
        </is>
      </c>
      <c r="B33" t="inlineStr">
        <is>
          <t>M01</t>
        </is>
      </c>
      <c r="C33" t="inlineStr">
        <is>
          <t>YX-LC</t>
        </is>
      </c>
      <c r="D33" t="inlineStr">
        <is>
          <t>2</t>
        </is>
      </c>
      <c r="E33" s="5" t="inlineStr">
        <is>
          <t>F&amp;F due dates follow the legal deadline: wages due on exit are paid within 2 working days of the LWD for every exit type (P07 IN.WAGES-CODE, from 21 Nov 2025) and other dues by their own P07 deadlines; holds, open clearance and missing payee details never move the due date (wage lines may be paid in a first F&amp;F run); overdue settlements are flagged to HR/Payroll. *(Amended by Correction C1.)*</t>
        </is>
      </c>
      <c r="F33" t="inlineStr">
        <is>
          <t>Verify (step done, not linked)</t>
        </is>
      </c>
      <c r="H33">
        <f>IF(G33&lt;&gt;"",G33,F33)</f>
        <v/>
      </c>
      <c r="I33" t="n">
        <v>0</v>
      </c>
      <c r="J33" t="n">
        <v>0</v>
      </c>
      <c r="K33" t="n">
        <v>4</v>
      </c>
      <c r="L33" s="5" t="inlineStr"/>
      <c r="M33" s="5" t="n"/>
    </row>
    <row r="34">
      <c r="A34" t="inlineStr">
        <is>
          <t>YX-LC-09</t>
        </is>
      </c>
      <c r="B34" t="inlineStr">
        <is>
          <t>M01</t>
        </is>
      </c>
      <c r="C34" t="inlineStr">
        <is>
          <t>YX-LC</t>
        </is>
      </c>
      <c r="D34" t="inlineStr">
        <is>
          <t>2</t>
        </is>
      </c>
      <c r="E34" s="5" t="inlineStr">
        <is>
          <t>Exit interview answers marked confidential are visible only to HR roles, never to the leaver's manager.</t>
        </is>
      </c>
      <c r="F34" t="inlineStr">
        <is>
          <t>Verify (step done, not linked)</t>
        </is>
      </c>
      <c r="H34">
        <f>IF(G34&lt;&gt;"",G34,F34)</f>
        <v/>
      </c>
      <c r="I34" t="n">
        <v>0</v>
      </c>
      <c r="J34" t="n">
        <v>0</v>
      </c>
      <c r="K34" t="n">
        <v>0</v>
      </c>
      <c r="L34" s="5" t="inlineStr"/>
      <c r="M34" s="5" t="n"/>
    </row>
    <row r="35">
      <c r="A35" t="inlineStr">
        <is>
          <t>YX-LC-10</t>
        </is>
      </c>
      <c r="B35" t="inlineStr">
        <is>
          <t>M01</t>
        </is>
      </c>
      <c r="C35" t="inlineStr">
        <is>
          <t>YX-LC</t>
        </is>
      </c>
      <c r="D35" t="inlineStr">
        <is>
          <t>2</t>
        </is>
      </c>
      <c r="E35" s="5" t="inlineStr">
        <is>
          <t>Rehire-eligibility flags are HR-only and surface when the person reappears in the ATS.</t>
        </is>
      </c>
      <c r="F35" t="inlineStr">
        <is>
          <t>Verify (step done, not linked)</t>
        </is>
      </c>
      <c r="H35">
        <f>IF(G35&lt;&gt;"",G35,F35)</f>
        <v/>
      </c>
      <c r="I35" t="n">
        <v>0</v>
      </c>
      <c r="J35" t="n">
        <v>0</v>
      </c>
      <c r="K35" t="n">
        <v>0</v>
      </c>
      <c r="L35" s="5" t="inlineStr"/>
      <c r="M35" s="5" t="n"/>
    </row>
    <row r="36">
      <c r="A36" t="inlineStr">
        <is>
          <t>YX-LC-11</t>
        </is>
      </c>
      <c r="B36" t="inlineStr">
        <is>
          <t>M01</t>
        </is>
      </c>
      <c r="C36" t="inlineStr">
        <is>
          <t>YX-LC</t>
        </is>
      </c>
      <c r="D36" t="inlineStr">
        <is>
          <t>2</t>
        </is>
      </c>
      <c r="E36" s="5" t="inlineStr">
        <is>
          <t>Onboarding branches by person type (M10 hand-off matrix): a new person gets a new employee record; an ex-employee rehire gets a new employment on the existing record (rehire_of, P01 YX-ORG-19 continuity options, pre-filled from the old record); an internal move is a P06 transfer / promotion effective on a release date agreed with the current manager, never an onboarding; a contractor conversion is a P06 employment-type change. Amended 28 Sep 2026 (J15): the person type is decided from the P01 person record (YX-ORG-26 / 27), not from the offer or name.</t>
        </is>
      </c>
      <c r="F36" t="inlineStr">
        <is>
          <t>Verify (step done, not linked)</t>
        </is>
      </c>
      <c r="H36">
        <f>IF(G36&lt;&gt;"",G36,F36)</f>
        <v/>
      </c>
      <c r="I36" t="n">
        <v>0</v>
      </c>
      <c r="J36" t="n">
        <v>0</v>
      </c>
      <c r="K36" t="n">
        <v>0</v>
      </c>
      <c r="L36" s="5" t="inlineStr"/>
      <c r="M36" s="5" t="n"/>
    </row>
    <row r="37">
      <c r="A37" t="inlineStr">
        <is>
          <t>YX-LC-12</t>
        </is>
      </c>
      <c r="B37" t="inlineStr">
        <is>
          <t>M01</t>
        </is>
      </c>
      <c r="C37" t="inlineStr">
        <is>
          <t>YX-LC</t>
        </is>
      </c>
      <c r="D37" t="inlineStr">
        <is>
          <t>2</t>
        </is>
      </c>
      <c r="E37" s="5" t="inlineStr">
        <is>
          <t>A pre-boarder who did not join, reneged or whose offer was withdrawn after acceptance (manual, reason mandatory, withdrawal letter) is unwound in one audited action: employee, employment, draft compensation and pre-boarding login are cancelled (kept, not deleted), the M10 headcount-plan slot is released and the requisition reopened, and the candidate is marked reneged / withdrawn. Pre-boarders are never counted as active employees for billing.</t>
        </is>
      </c>
      <c r="F37" t="inlineStr">
        <is>
          <t>Verify (step done, not linked)</t>
        </is>
      </c>
      <c r="H37">
        <f>IF(G37&lt;&gt;"",G37,F37)</f>
        <v/>
      </c>
      <c r="I37" t="n">
        <v>0</v>
      </c>
      <c r="J37" t="n">
        <v>0</v>
      </c>
      <c r="K37" t="n">
        <v>0</v>
      </c>
      <c r="L37" s="5" t="inlineStr"/>
      <c r="M37" s="5" t="n"/>
    </row>
    <row r="38">
      <c r="A38" t="inlineStr">
        <is>
          <t>YX-LC-13</t>
        </is>
      </c>
      <c r="B38" t="inlineStr">
        <is>
          <t>M01</t>
        </is>
      </c>
      <c r="C38" t="inlineStr">
        <is>
          <t>YX-LC</t>
        </is>
      </c>
      <c r="D38" t="inlineStr">
        <is>
          <t>2</t>
        </is>
      </c>
      <c r="E38" s="5" t="inlineStr">
        <is>
          <t>Changing a pre-boarder's joining date re-anchors the journey: every open task's due date, the draft compensation, the assignment start and the probation dates move with the new joining date; completed tasks are untouched.</t>
        </is>
      </c>
      <c r="F38" t="inlineStr">
        <is>
          <t>Verify (step done, not linked)</t>
        </is>
      </c>
      <c r="H38">
        <f>IF(G38&lt;&gt;"",G38,F38)</f>
        <v/>
      </c>
      <c r="I38" t="n">
        <v>0</v>
      </c>
      <c r="J38" t="n">
        <v>0</v>
      </c>
      <c r="K38" t="n">
        <v>2</v>
      </c>
      <c r="L38" s="5" t="inlineStr"/>
      <c r="M38" s="5" t="n"/>
    </row>
    <row r="39">
      <c r="A39" t="inlineStr">
        <is>
          <t>YX-LC-14</t>
        </is>
      </c>
      <c r="B39" t="inlineStr">
        <is>
          <t>M01</t>
        </is>
      </c>
      <c r="C39" t="inlineStr">
        <is>
          <t>YX-LC</t>
        </is>
      </c>
      <c r="D39" t="inlineStr">
        <is>
          <t>2</t>
        </is>
      </c>
      <c r="E39" s="5" t="inlineStr">
        <is>
          <t>Every module that holds access, assignments or ownership for a person registers an employment.exited handler (and an LWD-approaching handler where the action must run while the person is active); the exit case shows each handler's deprovisioning status, and failed handlers retry and alert HR.</t>
        </is>
      </c>
      <c r="F39" t="inlineStr">
        <is>
          <t>Verify (step done, not linked)</t>
        </is>
      </c>
      <c r="H39">
        <f>IF(G39&lt;&gt;"",G39,F39)</f>
        <v/>
      </c>
      <c r="I39" t="n">
        <v>0</v>
      </c>
      <c r="J39" t="n">
        <v>0</v>
      </c>
      <c r="K39" t="n">
        <v>0</v>
      </c>
      <c r="L39" s="5" t="inlineStr"/>
      <c r="M39" s="5" t="n"/>
    </row>
    <row r="40">
      <c r="A40" t="inlineStr">
        <is>
          <t>YX-LC-15</t>
        </is>
      </c>
      <c r="B40" t="inlineStr">
        <is>
          <t>M01</t>
        </is>
      </c>
      <c r="C40" t="inlineStr">
        <is>
          <t>YX-LC</t>
        </is>
      </c>
      <c r="D40" t="inlineStr">
        <is>
          <t>2</t>
        </is>
      </c>
      <c r="E40" s="5" t="inlineStr">
        <is>
          <t>An exit case with backfill_requested opens a replacement requisition in M10 linked to the exit, reusing the leaver's headcount-plan line; without it, the line is released back to the plan N days after the LWD.</t>
        </is>
      </c>
      <c r="F40" t="inlineStr">
        <is>
          <t>Verify (step done, not linked)</t>
        </is>
      </c>
      <c r="H40">
        <f>IF(G40&lt;&gt;"",G40,F40)</f>
        <v/>
      </c>
      <c r="I40" t="n">
        <v>0</v>
      </c>
      <c r="J40" t="n">
        <v>0</v>
      </c>
      <c r="K40" t="n">
        <v>0</v>
      </c>
      <c r="L40" s="5" t="inlineStr"/>
      <c r="M40" s="5" t="n"/>
    </row>
    <row r="41">
      <c r="A41" t="inlineStr">
        <is>
          <t>YX-LC-16</t>
        </is>
      </c>
      <c r="B41" t="inlineStr">
        <is>
          <t>M01</t>
        </is>
      </c>
      <c r="C41" t="inlineStr">
        <is>
          <t>YX-LC</t>
        </is>
      </c>
      <c r="D41" t="inlineStr">
        <is>
          <t>2</t>
        </is>
      </c>
      <c r="E41" s="5" t="inlineStr">
        <is>
          <t>A death-in-service exit revokes all access at once, has no exit interview or employee sign-off, and pays the F&amp;F to nominees per employee_nominations shares (legal heirs with succession documents when there is no valid nomination), each to a verified bank account; gratuity ignores the 5-year condition, leave encashment goes to the nominee, tax follows P07 heir treatment, Form 16 and all letters go to the heir / next of kin, and nominees get limited document access. The company's optional support policy (ex-gratia, salary continuation, insurance hand-off, contact person) applies on top.</t>
        </is>
      </c>
      <c r="F41" t="inlineStr">
        <is>
          <t>Verify (step done, not linked)</t>
        </is>
      </c>
      <c r="H41">
        <f>IF(G41&lt;&gt;"",G41,F41)</f>
        <v/>
      </c>
      <c r="I41" t="n">
        <v>0</v>
      </c>
      <c r="J41" t="n">
        <v>0</v>
      </c>
      <c r="K41" t="n">
        <v>0</v>
      </c>
      <c r="L41" s="5" t="inlineStr"/>
      <c r="M41" s="5" t="n"/>
    </row>
    <row r="42">
      <c r="A42" t="inlineStr">
        <is>
          <t>YX-LC-17</t>
        </is>
      </c>
      <c r="B42" t="inlineStr">
        <is>
          <t>M01</t>
        </is>
      </c>
      <c r="C42" t="inlineStr">
        <is>
          <t>YX-LC</t>
        </is>
      </c>
      <c r="D42" t="inlineStr">
        <is>
          <t>2</t>
        </is>
      </c>
      <c r="E42" s="5" t="inlineStr">
        <is>
          <t>Unauthorised absence runs the company's absconding timeline (starter template: day 3 salary hold + alert, day 7 and day 14 notices by email and registered post, day 21 deemed abandonment with LWD = last day present); every step is audited, HR can stop or resume it at any time, and a deemed abandonment gives a recovery-only F&amp;F (net payable held, not forfeited) and a rehire-ineligible flag.</t>
        </is>
      </c>
      <c r="F42" t="inlineStr">
        <is>
          <t>Verify (step done, not linked)</t>
        </is>
      </c>
      <c r="H42">
        <f>IF(G42&lt;&gt;"",G42,F42)</f>
        <v/>
      </c>
      <c r="I42" t="n">
        <v>0</v>
      </c>
      <c r="J42" t="n">
        <v>0</v>
      </c>
      <c r="K42" t="n">
        <v>2</v>
      </c>
      <c r="L42" s="5" t="inlineStr"/>
      <c r="M42" s="5" t="n"/>
    </row>
    <row r="43">
      <c r="A43" t="inlineStr">
        <is>
          <t>YX-LC-18</t>
        </is>
      </c>
      <c r="B43" t="inlineStr">
        <is>
          <t>M01</t>
        </is>
      </c>
      <c r="C43" t="inlineStr">
        <is>
          <t>YX-LC</t>
        </is>
      </c>
      <c r="D43" t="inlineStr">
        <is>
          <t>2</t>
        </is>
      </c>
      <c r="E43" s="5" t="inlineStr">
        <is>
          <t>A rehire applies the company's rehire policy (code, UAN / PF, same-FY tax per PAN × TAN × FY, service, gratuity service, leave, probation skip, prior-record visibility) as defaults that HR may override per rehire with a reason; the starter template is fresh start with the same record, code and UAN.</t>
        </is>
      </c>
      <c r="F43" t="inlineStr">
        <is>
          <t>Verify (step done, not linked)</t>
        </is>
      </c>
      <c r="H43">
        <f>IF(G43&lt;&gt;"",G43,F43)</f>
        <v/>
      </c>
      <c r="I43" t="n">
        <v>0</v>
      </c>
      <c r="J43" t="n">
        <v>0</v>
      </c>
      <c r="K43" t="n">
        <v>2</v>
      </c>
      <c r="L43" s="5" t="inlineStr"/>
      <c r="M43" s="5" t="n"/>
    </row>
    <row r="44">
      <c r="A44" t="inlineStr">
        <is>
          <t>YX-LC-19</t>
        </is>
      </c>
      <c r="B44" t="inlineStr">
        <is>
          <t>M01</t>
        </is>
      </c>
      <c r="C44" t="inlineStr">
        <is>
          <t>YX-LC</t>
        </is>
      </c>
      <c r="D44" t="inlineStr">
        <is>
          <t>2</t>
        </is>
      </c>
      <c r="E44" s="5" t="inlineStr">
        <is>
          <t>Fixed-term, intern and apprentice employments carry contract_end_on; the company's contract-end policy per employment type sends reminders and then auto-exits, alerts for extension or converts; extension and conversion are dated changes. Statutory treatment per category comes from P07, never from M01.</t>
        </is>
      </c>
      <c r="F44" t="inlineStr">
        <is>
          <t>Verify (step done, not linked)</t>
        </is>
      </c>
      <c r="H44">
        <f>IF(G44&lt;&gt;"",G44,F44)</f>
        <v/>
      </c>
      <c r="I44" t="n">
        <v>0</v>
      </c>
      <c r="J44" t="n">
        <v>0</v>
      </c>
      <c r="K44" t="n">
        <v>0</v>
      </c>
      <c r="L44" s="5" t="inlineStr"/>
      <c r="M44" s="5" t="n"/>
    </row>
    <row r="45">
      <c r="A45" t="inlineStr">
        <is>
          <t>YX-LC-20</t>
        </is>
      </c>
      <c r="B45" t="inlineStr">
        <is>
          <t>M01</t>
        </is>
      </c>
      <c r="C45" t="inlineStr">
        <is>
          <t>YX-LC</t>
        </is>
      </c>
      <c r="D45" t="inlineStr">
        <is>
          <t>2</t>
        </is>
      </c>
      <c r="E45" s="5" t="inlineStr">
        <is>
          <t>The retirement date is computed from DOB and the company's retirement age per employment type / grade, with alerts at the policy lead times; extension is a dated change; re-employment is a fixed-term "retired re-employed" employment without probation or EPS; the exit triggers gratuity payout and the PF final-settlement checklist.</t>
        </is>
      </c>
      <c r="F45" t="inlineStr">
        <is>
          <t>Verify (step done, not linked)</t>
        </is>
      </c>
      <c r="H45">
        <f>IF(G45&lt;&gt;"",G45,F45)</f>
        <v/>
      </c>
      <c r="I45" t="n">
        <v>0</v>
      </c>
      <c r="J45" t="n">
        <v>0</v>
      </c>
      <c r="K45" t="n">
        <v>0</v>
      </c>
      <c r="L45" s="5" t="inlineStr"/>
      <c r="M45" s="5" t="n"/>
    </row>
    <row r="46">
      <c r="A46" t="inlineStr">
        <is>
          <t>YX-LC-21</t>
        </is>
      </c>
      <c r="B46" t="inlineStr">
        <is>
          <t>M01</t>
        </is>
      </c>
      <c r="C46" t="inlineStr">
        <is>
          <t>YX-LC</t>
        </is>
      </c>
      <c r="D46" t="inlineStr">
        <is>
          <t>2</t>
        </is>
      </c>
      <c r="E46" s="5" t="inlineStr">
        <is>
          <t>Leave during notice follows the company's per-leave-type notice policy (M02); an "extends LWD" leave moves the approved LWD and an allowed adjustment reduces the notice-shortfall F&amp;F line, each shown on the exit case.</t>
        </is>
      </c>
      <c r="F46" t="inlineStr">
        <is>
          <t>Verify (step done, not linked)</t>
        </is>
      </c>
      <c r="H46">
        <f>IF(G46&lt;&gt;"",G46,F46)</f>
        <v/>
      </c>
      <c r="I46" t="n">
        <v>0</v>
      </c>
      <c r="J46" t="n">
        <v>0</v>
      </c>
      <c r="K46" t="n">
        <v>0</v>
      </c>
      <c r="L46" s="5" t="inlineStr"/>
      <c r="M46" s="5" t="n"/>
    </row>
    <row r="47">
      <c r="A47" t="inlineStr">
        <is>
          <t>YX-LC-22</t>
        </is>
      </c>
      <c r="B47" t="inlineStr">
        <is>
          <t>M01</t>
        </is>
      </c>
      <c r="C47" t="inlineStr">
        <is>
          <t>YX-LC</t>
        </is>
      </c>
      <c r="D47" t="inlineStr">
        <is>
          <t>2</t>
        </is>
      </c>
      <c r="E47" s="5" t="inlineStr">
        <is>
          <t>Default onboarding templates include UAN generation / link, ESIC IP registration, Form 11 and Form 2; default offboarding templates include EPFO date of exit, ESIC exit, gratuity Form L within 15 days of payability and PF transfer / withdrawal attestation.</t>
        </is>
      </c>
      <c r="F47" t="inlineStr">
        <is>
          <t>Verify (step done, not linked)</t>
        </is>
      </c>
      <c r="H47">
        <f>IF(G47&lt;&gt;"",G47,F47)</f>
        <v/>
      </c>
      <c r="I47" t="n">
        <v>0</v>
      </c>
      <c r="J47" t="n">
        <v>0</v>
      </c>
      <c r="K47" t="n">
        <v>0</v>
      </c>
      <c r="L47" s="5" t="inlineStr"/>
      <c r="M47" s="5" t="n"/>
    </row>
    <row r="48">
      <c r="A48" t="inlineStr">
        <is>
          <t>YX-LC-23</t>
        </is>
      </c>
      <c r="B48" t="inlineStr">
        <is>
          <t>M01</t>
        </is>
      </c>
      <c r="C48" t="inlineStr">
        <is>
          <t>YX-LC</t>
        </is>
      </c>
      <c r="D48" t="inlineStr">
        <is>
          <t>2</t>
        </is>
      </c>
      <c r="E48" s="5" t="inlineStr">
        <is>
          <t>Opening an exit case checks for open POSH / disciplinary cases (as respondent) and PIPs and flags them to HR; the company's open-case policy may hold relieving / experience letters and / or the F&amp;F pending the outcome, but never beyond a legal deadline; the case continues after exit.</t>
        </is>
      </c>
      <c r="F48" t="inlineStr">
        <is>
          <t>Verify (step done, not linked)</t>
        </is>
      </c>
      <c r="H48">
        <f>IF(G48&lt;&gt;"",G48,F48)</f>
        <v/>
      </c>
      <c r="I48" t="n">
        <v>0</v>
      </c>
      <c r="J48" t="n">
        <v>0</v>
      </c>
      <c r="K48" t="n">
        <v>0</v>
      </c>
      <c r="L48" s="5" t="inlineStr"/>
      <c r="M48" s="5" t="n"/>
    </row>
    <row r="49">
      <c r="A49" t="inlineStr">
        <is>
          <t>YX-LC-24</t>
        </is>
      </c>
      <c r="B49" t="inlineStr">
        <is>
          <t>M01</t>
        </is>
      </c>
      <c r="C49" t="inlineStr">
        <is>
          <t>YX-LC</t>
        </is>
      </c>
      <c r="D49" t="inlineStr">
        <is>
          <t>2</t>
        </is>
      </c>
      <c r="E49" s="5" t="inlineStr">
        <is>
          <t>Pre-boarding may last months: pre-boarders are not billed, can be grouped in a batch whose joining-date change re-anchors every member, receive scheduled engagement touchpoints, and may receive an LOI before the formal offer.</t>
        </is>
      </c>
      <c r="F49" t="inlineStr">
        <is>
          <t>Verify (step done, not linked)</t>
        </is>
      </c>
      <c r="H49">
        <f>IF(G49&lt;&gt;"",G49,F49)</f>
        <v/>
      </c>
      <c r="I49" t="n">
        <v>0</v>
      </c>
      <c r="J49" t="n">
        <v>0</v>
      </c>
      <c r="K49" t="n">
        <v>2</v>
      </c>
      <c r="L49" s="5" t="inlineStr"/>
      <c r="M49" s="5" t="n"/>
    </row>
    <row r="50">
      <c r="A50" t="inlineStr">
        <is>
          <t>YX-LC-25</t>
        </is>
      </c>
      <c r="B50" t="inlineStr">
        <is>
          <t>M01</t>
        </is>
      </c>
      <c r="C50" t="inlineStr">
        <is>
          <t>YX-LC</t>
        </is>
      </c>
      <c r="D50" t="inlineStr">
        <is>
          <t>2</t>
        </is>
      </c>
      <c r="E50" s="5" t="inlineStr">
        <is>
          <t>Lifecycle policies that vary between companies (death support, absconding, rehire, contract end, retirement, sabbatical, leave during notice, open-case hold) are company settings seeded from a clearly labelled starter template; only legal rules (P07) are enforced, and a company may be more generous where the law allows (D17).</t>
        </is>
      </c>
      <c r="F50" t="inlineStr">
        <is>
          <t>Verify (step done, not linked)</t>
        </is>
      </c>
      <c r="H50">
        <f>IF(G50&lt;&gt;"",G50,F50)</f>
        <v/>
      </c>
      <c r="I50" t="n">
        <v>0</v>
      </c>
      <c r="J50" t="n">
        <v>0</v>
      </c>
      <c r="K50" t="n">
        <v>0</v>
      </c>
      <c r="L50" s="5" t="inlineStr"/>
      <c r="M50" s="5" t="n"/>
    </row>
    <row r="51">
      <c r="A51" t="inlineStr">
        <is>
          <t>YX-LC-26</t>
        </is>
      </c>
      <c r="B51" t="inlineStr">
        <is>
          <t>M01</t>
        </is>
      </c>
      <c r="C51" t="inlineStr">
        <is>
          <t>YX-LC</t>
        </is>
      </c>
      <c r="D51" t="inlineStr">
        <is>
          <t>2</t>
        </is>
      </c>
      <c r="E51" s="5" t="inlineStr">
        <is>
          <t>Appointment letter (C1): every employee, of every employment type, gets an issued P05 appointment letter; each onboarding template carries a non-removable HR task due by the joining date (or the P07 IN.OSH deadline), and a missing letter after the due date raises a compliance alert and an M03 pre-flight warning.</t>
        </is>
      </c>
      <c r="F51" t="inlineStr">
        <is>
          <t>Verify (step done, not linked)</t>
        </is>
      </c>
      <c r="H51">
        <f>IF(G51&lt;&gt;"",G51,F51)</f>
        <v/>
      </c>
      <c r="I51" t="n">
        <v>0</v>
      </c>
      <c r="J51" t="n">
        <v>0</v>
      </c>
      <c r="K51" t="n">
        <v>2</v>
      </c>
      <c r="L51" s="5" t="inlineStr"/>
      <c r="M51" s="5" t="n"/>
    </row>
    <row r="52">
      <c r="A52" t="inlineStr">
        <is>
          <t>YX-LC-27</t>
        </is>
      </c>
      <c r="B52" t="inlineStr">
        <is>
          <t>M01</t>
        </is>
      </c>
      <c r="C52" t="inlineStr">
        <is>
          <t>YX-LC</t>
        </is>
      </c>
      <c r="D52" t="inlineStr">
        <is>
          <t>2</t>
        </is>
      </c>
      <c r="E52" s="5" t="inlineStr">
        <is>
          <t>Retrenchment, lay-off, closure (C1): a retrenchment exit case records the selection basis and continuous service, gives notice per P07 IN.IR or wages in lieu, pays compensation of 15 days' average pay per completed year of continuous service, raises a Worker Re-skilling Fund payable of 15 days' last-drawn wages, and, where the establishment's worker count is at or above the IN.IR threshold (currently 300), cannot be approved until a government permission request is granted or deemed granted; lay-off and closure use the same establishment-level permission request, and closure opens retrenchment</t>
        </is>
      </c>
      <c r="F52" t="inlineStr">
        <is>
          <t>Verify (step done, not linked)</t>
        </is>
      </c>
      <c r="H52">
        <f>IF(G52&lt;&gt;"",G52,F52)</f>
        <v/>
      </c>
      <c r="I52" t="n">
        <v>0</v>
      </c>
      <c r="J52" t="n">
        <v>0</v>
      </c>
      <c r="K52" t="n">
        <v>2</v>
      </c>
      <c r="L52" s="5" t="inlineStr"/>
      <c r="M52" s="5" t="n"/>
    </row>
    <row r="53">
      <c r="A53" t="inlineStr">
        <is>
          <t>YX-LC-28</t>
        </is>
      </c>
      <c r="B53" t="inlineStr">
        <is>
          <t>M01</t>
        </is>
      </c>
      <c r="C53" t="inlineStr">
        <is>
          <t>YX-LC</t>
        </is>
      </c>
      <c r="D53" t="inlineStr">
        <is>
          <t>2</t>
        </is>
      </c>
      <c r="E53" s="5" t="inlineStr">
        <is>
          <t>Fixed-term gratuity (C1): a fixed-term employee with at least 1 year of continuous service gets pro-rata gratuity on any exit per P07 IN.SS-CODE; the 5-year condition is not applied to fixed-term employment, and the F&amp;F line explains the pro-rata basis.</t>
        </is>
      </c>
      <c r="F53" t="inlineStr">
        <is>
          <t>Verify (step done, not linked)</t>
        </is>
      </c>
      <c r="H53">
        <f>IF(G53&lt;&gt;"",G53,F53)</f>
        <v/>
      </c>
      <c r="I53" t="n">
        <v>0</v>
      </c>
      <c r="J53" t="n">
        <v>0</v>
      </c>
      <c r="K53" t="n">
        <v>0</v>
      </c>
      <c r="L53" s="5" t="inlineStr"/>
      <c r="M53" s="5" t="n"/>
    </row>
    <row r="54">
      <c r="A54" t="inlineStr">
        <is>
          <t>YX-LC-29</t>
        </is>
      </c>
      <c r="B54" t="inlineStr">
        <is>
          <t>M01</t>
        </is>
      </c>
      <c r="C54" t="inlineStr">
        <is>
          <t>YX-LC</t>
        </is>
      </c>
      <c r="D54" t="inlineStr">
        <is>
          <t>2</t>
        </is>
      </c>
      <c r="E54" s="5" t="inlineStr">
        <is>
          <t>Rehire and alumni detected at application (J14, J15). When an application, referral or campus registration links to a person (P01 YX-ORG-27) who has a past employment or an alumnus role, the application shows "Ex-employee" from the first screen and through screening: recruiter and HR see exit date, exit type and the rehire-eligible flag (reasons and prior records only as the company's rehire policy's prior-record visibility allows, YX-LC-18); the hiring manager sees only "Ex-employee" and rehire-eligible yes / no. A rehire-ineligible flag alerts the recruiter before the application can move pa</t>
        </is>
      </c>
      <c r="F54" t="inlineStr">
        <is>
          <t>Verify (step done, not linked)</t>
        </is>
      </c>
      <c r="H54">
        <f>IF(G54&lt;&gt;"",G54,F54)</f>
        <v/>
      </c>
      <c r="I54" t="n">
        <v>0</v>
      </c>
      <c r="J54" t="n">
        <v>0</v>
      </c>
      <c r="K54" t="n">
        <v>0</v>
      </c>
      <c r="L54" s="5" t="inlineStr"/>
      <c r="M54" s="5" t="n"/>
    </row>
    <row r="55">
      <c r="A55" t="inlineStr">
        <is>
          <t>YX-LC-30</t>
        </is>
      </c>
      <c r="B55" t="inlineStr">
        <is>
          <t>M01</t>
        </is>
      </c>
      <c r="C55" t="inlineStr">
        <is>
          <t>YX-LC</t>
        </is>
      </c>
      <c r="D55" t="inlineStr">
        <is>
          <t>2</t>
        </is>
      </c>
      <c r="E55" s="5" t="inlineStr">
        <is>
          <t>Contract worker to employee keeps history (J8, J15). Converting a contract worker adds an employee role and a new employment to the same person from the conversion date and ends the contract-worker role; deployments, site attendance, CLRA / OSH register rows and wage lines stay unchanged and appear on the employee's timeline; the biometric / kiosk enrolment carries over (M13 YX-CLRA-14). Contract service is shown as history; whether it counts for probation or seniority is a company setting (starter: not counted), and statutory service counts follow P07.</t>
        </is>
      </c>
      <c r="F55" t="inlineStr">
        <is>
          <t>Verify (step done, not linked)</t>
        </is>
      </c>
      <c r="H55">
        <f>IF(G55&lt;&gt;"",G55,F55)</f>
        <v/>
      </c>
      <c r="I55" t="n">
        <v>0</v>
      </c>
      <c r="J55" t="n">
        <v>0</v>
      </c>
      <c r="K55" t="n">
        <v>0</v>
      </c>
      <c r="L55" s="5" t="inlineStr"/>
      <c r="M55" s="5" t="n"/>
    </row>
    <row r="56">
      <c r="A56" t="inlineStr">
        <is>
          <t>YX-LC-31</t>
        </is>
      </c>
      <c r="B56" t="inlineStr">
        <is>
          <t>M01</t>
        </is>
      </c>
      <c r="C56" t="inlineStr">
        <is>
          <t>YX-LC</t>
        </is>
      </c>
      <c r="D56" t="inlineStr">
        <is>
          <t>2</t>
        </is>
      </c>
      <c r="E56" s="5" t="inlineStr">
        <is>
          <t>Day-1 identity check closes the identity chain (Validation pass 3 Must follow-up, 28 Sep 2026). On the joining day, before system access is granted, the new joiner is matched against the person record's identity-chain capture (T04 YX-PROC-19; captured at application verification, test ID check or pre-boarding), with consent (G-08). A mismatch raises an HR review flag; it never auto-blocks joining (the person joins, access follows HR's review). Where face detection is off, consent is refused or no capture exists, HR attests identity against the original ID and the attestation is recorded. The c</t>
        </is>
      </c>
      <c r="F56" t="inlineStr">
        <is>
          <t>Verify (step done, not linked)</t>
        </is>
      </c>
      <c r="H56">
        <f>IF(G56&lt;&gt;"",G56,F56)</f>
        <v/>
      </c>
      <c r="I56" t="n">
        <v>0</v>
      </c>
      <c r="J56" t="n">
        <v>0</v>
      </c>
      <c r="K56" t="n">
        <v>0</v>
      </c>
      <c r="L56" s="5" t="inlineStr"/>
      <c r="M56" s="5" t="n"/>
    </row>
    <row r="57">
      <c r="A57" t="inlineStr">
        <is>
          <t>YX-LC-32</t>
        </is>
      </c>
      <c r="B57" t="inlineStr">
        <is>
          <t>M01</t>
        </is>
      </c>
      <c r="C57" t="inlineStr">
        <is>
          <t>YX-LC</t>
        </is>
      </c>
      <c r="D57" t="inlineStr">
        <is>
          <t>2</t>
        </is>
      </c>
      <c r="E57" s="5" t="inlineStr">
        <is>
          <t>VRS exit (J4). A VRS scheme (company policy, D17: eligibility and benefit as P19 rules, window, approval) opens exit cases of type *VRS*; the scheme benefit is an F&amp;F line with its basis, and statutory dues (gratuity, leave encashment, notice rules per P07) apply as for any exit; tax treatment per P07 IN.IT (verify).</t>
        </is>
      </c>
      <c r="F57" t="inlineStr">
        <is>
          <t>Verify (step done, not linked)</t>
        </is>
      </c>
      <c r="H57">
        <f>IF(G57&lt;&gt;"",G57,F57)</f>
        <v/>
      </c>
      <c r="I57" t="n">
        <v>0</v>
      </c>
      <c r="J57" t="n">
        <v>0</v>
      </c>
      <c r="K57" t="n">
        <v>0</v>
      </c>
      <c r="L57" s="5" t="inlineStr"/>
      <c r="M57" s="5" t="n"/>
    </row>
    <row r="58">
      <c r="A58" t="inlineStr">
        <is>
          <t>YX-LC-33</t>
        </is>
      </c>
      <c r="B58" t="inlineStr">
        <is>
          <t>M01</t>
        </is>
      </c>
      <c r="C58" t="inlineStr">
        <is>
          <t>YX-LC</t>
        </is>
      </c>
      <c r="D58" t="inlineStr">
        <is>
          <t>2</t>
        </is>
      </c>
      <c r="E58" s="5" t="inlineStr">
        <is>
          <t>Onboarding buddy (T19). A buddy (never the joiner's manager) can be assigned from pre-boarding; buddy tasks, check-in reminders and day-30 / 90 feedback from both sides are created from the onboarding template; the per-buddy cap is company policy (D17).</t>
        </is>
      </c>
      <c r="F58" t="inlineStr">
        <is>
          <t>Verify (step done, not linked)</t>
        </is>
      </c>
      <c r="H58">
        <f>IF(G58&lt;&gt;"",G58,F58)</f>
        <v/>
      </c>
      <c r="I58" t="n">
        <v>0</v>
      </c>
      <c r="J58" t="n">
        <v>0</v>
      </c>
      <c r="K58" t="n">
        <v>0</v>
      </c>
      <c r="L58" s="5" t="inlineStr"/>
      <c r="M58" s="5" t="n"/>
    </row>
    <row r="59">
      <c r="A59" t="inlineStr">
        <is>
          <t>YX-AT-01</t>
        </is>
      </c>
      <c r="B59" t="inlineStr">
        <is>
          <t>M02</t>
        </is>
      </c>
      <c r="C59" t="inlineStr">
        <is>
          <t>YX-AT</t>
        </is>
      </c>
      <c r="D59" t="inlineStr">
        <is>
          <t>4</t>
        </is>
      </c>
      <c r="E59" s="5" t="inlineStr">
        <is>
          <t>Punches are deduplicated; each stores source, location verdict and device (kiosk punches: kiosk id + location, M04 Q4); geofence / IP rules follow the employee's location settings (Q6).</t>
        </is>
      </c>
      <c r="F59" t="inlineStr">
        <is>
          <t>Not started</t>
        </is>
      </c>
      <c r="H59">
        <f>IF(G59&lt;&gt;"",G59,F59)</f>
        <v/>
      </c>
      <c r="I59" t="n">
        <v>0</v>
      </c>
      <c r="J59" t="n">
        <v>0</v>
      </c>
      <c r="K59" t="n">
        <v>0</v>
      </c>
      <c r="L59" s="5" t="inlineStr"/>
      <c r="M59" s="5" t="n"/>
    </row>
    <row r="60">
      <c r="A60" t="inlineStr">
        <is>
          <t>YX-AT-02</t>
        </is>
      </c>
      <c r="B60" t="inlineStr">
        <is>
          <t>M02</t>
        </is>
      </c>
      <c r="C60" t="inlineStr">
        <is>
          <t>YX-AT</t>
        </is>
      </c>
      <c r="D60" t="inlineStr">
        <is>
          <t>4</t>
        </is>
      </c>
      <c r="E60" s="5" t="inlineStr">
        <is>
          <t>Weekly offs are resolved per date by the precedence rule (Q1); they are never stored as holiday rows.</t>
        </is>
      </c>
      <c r="F60" t="inlineStr">
        <is>
          <t>Not started</t>
        </is>
      </c>
      <c r="H60">
        <f>IF(G60&lt;&gt;"",G60,F60)</f>
        <v/>
      </c>
      <c r="I60" t="n">
        <v>0</v>
      </c>
      <c r="J60" t="n">
        <v>0</v>
      </c>
      <c r="K60" t="n">
        <v>0</v>
      </c>
      <c r="L60" s="5" t="inlineStr"/>
      <c r="M60" s="5" t="n"/>
    </row>
    <row r="61">
      <c r="A61" t="inlineStr">
        <is>
          <t>YX-AT-03</t>
        </is>
      </c>
      <c r="B61" t="inlineStr">
        <is>
          <t>M02</t>
        </is>
      </c>
      <c r="C61" t="inlineStr">
        <is>
          <t>YX-AT</t>
        </is>
      </c>
      <c r="D61" t="inlineStr">
        <is>
          <t>4</t>
        </is>
      </c>
      <c r="E61" s="5" t="inlineStr">
        <is>
          <t>Day status is derived by the day engine; a missing punch yields "missing check-in/out", never a threshold-based status.</t>
        </is>
      </c>
      <c r="F61" t="inlineStr">
        <is>
          <t>Not started</t>
        </is>
      </c>
      <c r="H61">
        <f>IF(G61&lt;&gt;"",G61,F61)</f>
        <v/>
      </c>
      <c r="I61" t="n">
        <v>0</v>
      </c>
      <c r="J61" t="n">
        <v>0</v>
      </c>
      <c r="K61" t="n">
        <v>0</v>
      </c>
      <c r="L61" s="5" t="inlineStr"/>
      <c r="M61" s="5" t="n"/>
    </row>
    <row r="62">
      <c r="A62" t="inlineStr">
        <is>
          <t>YX-AT-04</t>
        </is>
      </c>
      <c r="B62" t="inlineStr">
        <is>
          <t>M02</t>
        </is>
      </c>
      <c r="C62" t="inlineStr">
        <is>
          <t>YX-AT</t>
        </is>
      </c>
      <c r="D62" t="inlineStr">
        <is>
          <t>4</t>
        </is>
      </c>
      <c r="E62" s="5" t="inlineStr">
        <is>
          <t>Overtime counts only beyond the policy minimum, rounded down to the policy unit, capped per P07 statutory limits, and reaches payroll only when approved (Q7).</t>
        </is>
      </c>
      <c r="F62" t="inlineStr">
        <is>
          <t>Tested, code not linked</t>
        </is>
      </c>
      <c r="H62">
        <f>IF(G62&lt;&gt;"",G62,F62)</f>
        <v/>
      </c>
      <c r="I62" t="n">
        <v>0</v>
      </c>
      <c r="J62" t="n">
        <v>2</v>
      </c>
      <c r="K62" t="n">
        <v>2</v>
      </c>
      <c r="L62" s="5" t="inlineStr">
        <is>
          <t>exam-app-org:packages/yx-ui/src/screens/time/time.test.tsx
exam-app-ws:packages/yx-ui/src/screens/time/time.test.tsx</t>
        </is>
      </c>
      <c r="M62" s="5" t="n"/>
    </row>
    <row r="63">
      <c r="A63" t="inlineStr">
        <is>
          <t>YX-AT-05</t>
        </is>
      </c>
      <c r="B63" t="inlineStr">
        <is>
          <t>M02</t>
        </is>
      </c>
      <c r="C63" t="inlineStr">
        <is>
          <t>YX-AT</t>
        </is>
      </c>
      <c r="D63" t="inlineStr">
        <is>
          <t>4</t>
        </is>
      </c>
      <c r="E63" s="5" t="inlineStr">
        <is>
          <t>Late penalties follow the tenant's policy (Q4) and appear on the day card and muster before they affect pay.</t>
        </is>
      </c>
      <c r="F63" t="inlineStr">
        <is>
          <t>Not started</t>
        </is>
      </c>
      <c r="H63">
        <f>IF(G63&lt;&gt;"",G63,F63)</f>
        <v/>
      </c>
      <c r="I63" t="n">
        <v>0</v>
      </c>
      <c r="J63" t="n">
        <v>0</v>
      </c>
      <c r="K63" t="n">
        <v>0</v>
      </c>
      <c r="L63" s="5" t="inlineStr"/>
      <c r="M63" s="5" t="n"/>
    </row>
    <row r="64">
      <c r="A64" t="inlineStr">
        <is>
          <t>YX-AT-06</t>
        </is>
      </c>
      <c r="B64" t="inlineStr">
        <is>
          <t>M02</t>
        </is>
      </c>
      <c r="C64" t="inlineStr">
        <is>
          <t>YX-AT</t>
        </is>
      </c>
      <c r="D64" t="inlineStr">
        <is>
          <t>4</t>
        </is>
      </c>
      <c r="E64" s="5" t="inlineStr">
        <is>
          <t>Regularisation and WFH/on-duty limits per month are enforced; beyond the limit, requests route to HR (Q5).</t>
        </is>
      </c>
      <c r="F64" t="inlineStr">
        <is>
          <t>Not started</t>
        </is>
      </c>
      <c r="H64">
        <f>IF(G64&lt;&gt;"",G64,F64)</f>
        <v/>
      </c>
      <c r="I64" t="n">
        <v>0</v>
      </c>
      <c r="J64" t="n">
        <v>0</v>
      </c>
      <c r="K64" t="n">
        <v>0</v>
      </c>
      <c r="L64" s="5" t="inlineStr"/>
      <c r="M64" s="5" t="n"/>
    </row>
    <row r="65">
      <c r="A65" t="inlineStr">
        <is>
          <t>YX-AT-07</t>
        </is>
      </c>
      <c r="B65" t="inlineStr">
        <is>
          <t>M02</t>
        </is>
      </c>
      <c r="C65" t="inlineStr">
        <is>
          <t>YX-AT</t>
        </is>
      </c>
      <c r="D65" t="inlineStr">
        <is>
          <t>4</t>
        </is>
      </c>
      <c r="E65" s="5" t="inlineStr">
        <is>
          <t>Rosters flag overlaps and minimum-rest violations; publishing notifies affected employees.</t>
        </is>
      </c>
      <c r="F65" t="inlineStr">
        <is>
          <t>Not started</t>
        </is>
      </c>
      <c r="H65">
        <f>IF(G65&lt;&gt;"",G65,F65)</f>
        <v/>
      </c>
      <c r="I65" t="n">
        <v>0</v>
      </c>
      <c r="J65" t="n">
        <v>0</v>
      </c>
      <c r="K65" t="n">
        <v>0</v>
      </c>
      <c r="L65" s="5" t="inlineStr"/>
      <c r="M65" s="5" t="n"/>
    </row>
    <row r="66">
      <c r="A66" t="inlineStr">
        <is>
          <t>YX-AT-08</t>
        </is>
      </c>
      <c r="B66" t="inlineStr">
        <is>
          <t>M02</t>
        </is>
      </c>
      <c r="C66" t="inlineStr">
        <is>
          <t>YX-AT</t>
        </is>
      </c>
      <c r="D66" t="inlineStr">
        <is>
          <t>4</t>
        </is>
      </c>
      <c r="E66" s="5" t="inlineStr">
        <is>
          <t>Attendance exceptions must be resolved before payroll approval (P08 YX-LOCK-07/08) — for Punch-mode groups with the block switch on (YX-AT-09).</t>
        </is>
      </c>
      <c r="F66" t="inlineStr">
        <is>
          <t>Not started</t>
        </is>
      </c>
      <c r="H66">
        <f>IF(G66&lt;&gt;"",G66,F66)</f>
        <v/>
      </c>
      <c r="I66" t="n">
        <v>0</v>
      </c>
      <c r="J66" t="n">
        <v>0</v>
      </c>
      <c r="K66" t="n">
        <v>0</v>
      </c>
      <c r="L66" s="5" t="inlineStr"/>
      <c r="M66" s="5" t="n"/>
    </row>
    <row r="67">
      <c r="A67" t="inlineStr">
        <is>
          <t>YX-AT-09</t>
        </is>
      </c>
      <c r="B67" t="inlineStr">
        <is>
          <t>M02</t>
        </is>
      </c>
      <c r="C67" t="inlineStr">
        <is>
          <t>YX-AT</t>
        </is>
      </c>
      <c r="D67" t="inlineStr">
        <is>
          <t>4</t>
        </is>
      </c>
      <c r="E67" s="5" t="inlineStr">
        <is>
          <t>Every employee resolves to one attendance mode — Punch, Assumed present or Timesheet — from the scoped P01 setting (entity / location / department / employment type). Missing-punch exceptions exist only in Punch mode, where the company chooses block (default) or warn for payroll approval; Assumed-present groups never block payroll (LOP entered by HR, M03); Timesheet groups raise "no approved timesheet" instead (D1).</t>
        </is>
      </c>
      <c r="F67" t="inlineStr">
        <is>
          <t>Not started</t>
        </is>
      </c>
      <c r="H67">
        <f>IF(G67&lt;&gt;"",G67,F67)</f>
        <v/>
      </c>
      <c r="I67" t="n">
        <v>0</v>
      </c>
      <c r="J67" t="n">
        <v>0</v>
      </c>
      <c r="K67" t="n">
        <v>0</v>
      </c>
      <c r="L67" s="5" t="inlineStr"/>
      <c r="M67" s="5" t="n"/>
    </row>
    <row r="68">
      <c r="A68" t="inlineStr">
        <is>
          <t>YX-AT-10</t>
        </is>
      </c>
      <c r="B68" t="inlineStr">
        <is>
          <t>M02</t>
        </is>
      </c>
      <c r="C68" t="inlineStr">
        <is>
          <t>YX-AT</t>
        </is>
      </c>
      <c r="D68" t="inlineStr">
        <is>
          <t>4</t>
        </is>
      </c>
      <c r="E68" s="5" t="inlineStr">
        <is>
          <t>The expected status of a day follows employment status first: suspended, long leave (maternity / sabbatical / LWP), absconding in process, pre-boarding and exited days raise no exceptions, late penalties or nudges (D10).</t>
        </is>
      </c>
      <c r="F68" t="inlineStr">
        <is>
          <t>UI prototype only</t>
        </is>
      </c>
      <c r="H68">
        <f>IF(G68&lt;&gt;"",G68,F68)</f>
        <v/>
      </c>
      <c r="I68" t="n">
        <v>0</v>
      </c>
      <c r="J68" t="n">
        <v>0</v>
      </c>
      <c r="K68" t="n">
        <v>2</v>
      </c>
      <c r="L68" s="5" t="inlineStr"/>
      <c r="M68" s="5" t="n"/>
    </row>
    <row r="69">
      <c r="A69" t="inlineStr">
        <is>
          <t>YX-AT-11</t>
        </is>
      </c>
      <c r="B69" t="inlineStr">
        <is>
          <t>M02</t>
        </is>
      </c>
      <c r="C69" t="inlineStr">
        <is>
          <t>YX-AT</t>
        </is>
      </c>
      <c r="D69" t="inlineStr">
        <is>
          <t>4</t>
        </is>
      </c>
      <c r="E69" s="5" t="inlineStr">
        <is>
          <t>A public holiday falling on a weekly off is handled per the calendar's company setting — substitute day / comp-off / none (starter: none) (D17).</t>
        </is>
      </c>
      <c r="F69" t="inlineStr">
        <is>
          <t>Not started</t>
        </is>
      </c>
      <c r="H69">
        <f>IF(G69&lt;&gt;"",G69,F69)</f>
        <v/>
      </c>
      <c r="I69" t="n">
        <v>0</v>
      </c>
      <c r="J69" t="n">
        <v>0</v>
      </c>
      <c r="K69" t="n">
        <v>0</v>
      </c>
      <c r="L69" s="5" t="inlineStr"/>
      <c r="M69" s="5" t="n"/>
    </row>
    <row r="70">
      <c r="A70" t="inlineStr">
        <is>
          <t>YX-AT-12</t>
        </is>
      </c>
      <c r="B70" t="inlineStr">
        <is>
          <t>M02</t>
        </is>
      </c>
      <c r="C70" t="inlineStr">
        <is>
          <t>YX-AT</t>
        </is>
      </c>
      <c r="D70" t="inlineStr">
        <is>
          <t>4</t>
        </is>
      </c>
      <c r="E70" s="5" t="inlineStr">
        <is>
          <t>On a half-day leave date, grace applies from the start of the working half, the leave half carries no late penalty, and OT is measured against the half-day's expected hours.</t>
        </is>
      </c>
      <c r="F70" t="inlineStr">
        <is>
          <t>Not started</t>
        </is>
      </c>
      <c r="H70">
        <f>IF(G70&lt;&gt;"",G70,F70)</f>
        <v/>
      </c>
      <c r="I70" t="n">
        <v>0</v>
      </c>
      <c r="J70" t="n">
        <v>0</v>
      </c>
      <c r="K70" t="n">
        <v>0</v>
      </c>
      <c r="L70" s="5" t="inlineStr"/>
      <c r="M70" s="5" t="n"/>
    </row>
    <row r="71">
      <c r="A71" t="inlineStr">
        <is>
          <t>YX-AT-13</t>
        </is>
      </c>
      <c r="B71" t="inlineStr">
        <is>
          <t>M02</t>
        </is>
      </c>
      <c r="C71" t="inlineStr">
        <is>
          <t>YX-AT</t>
        </is>
      </c>
      <c r="D71" t="inlineStr">
        <is>
          <t>4</t>
        </is>
      </c>
      <c r="E71" s="5" t="inlineStr">
        <is>
          <t>A punch for a shift that started before the lock attaches to that shift without a late request; a biometric batch arriving after the freeze is applied only through an audited HR bulk "device backfill" correction (P08); an employee can have two shifts in one day, each evaluated separately.</t>
        </is>
      </c>
      <c r="F71" t="inlineStr">
        <is>
          <t>Not started</t>
        </is>
      </c>
      <c r="H71">
        <f>IF(G71&lt;&gt;"",G71,F71)</f>
        <v/>
      </c>
      <c r="I71" t="n">
        <v>0</v>
      </c>
      <c r="J71" t="n">
        <v>0</v>
      </c>
      <c r="K71" t="n">
        <v>0</v>
      </c>
      <c r="L71" s="5" t="inlineStr"/>
      <c r="M71" s="5" t="n"/>
    </row>
    <row r="72">
      <c r="A72" t="inlineStr">
        <is>
          <t>YX-AT-14</t>
        </is>
      </c>
      <c r="B72" t="inlineStr">
        <is>
          <t>M02</t>
        </is>
      </c>
      <c r="C72" t="inlineStr">
        <is>
          <t>YX-AT</t>
        </is>
      </c>
      <c r="D72" t="inlineStr">
        <is>
          <t>4</t>
        </is>
      </c>
      <c r="E72" s="5" t="inlineStr">
        <is>
          <t>The Today board, muster, team calendar and attendance calendar open in the viewer's widest P02 scope (manager: team; HR: entity), never self-only; the personal view is the employee's mobile Time tab (fixes U16).</t>
        </is>
      </c>
      <c r="F72" t="inlineStr">
        <is>
          <t>Not started</t>
        </is>
      </c>
      <c r="H72">
        <f>IF(G72&lt;&gt;"",G72,F72)</f>
        <v/>
      </c>
      <c r="I72" t="n">
        <v>0</v>
      </c>
      <c r="J72" t="n">
        <v>0</v>
      </c>
      <c r="K72" t="n">
        <v>0</v>
      </c>
      <c r="L72" s="5" t="inlineStr"/>
      <c r="M72" s="5" t="n"/>
    </row>
    <row r="73">
      <c r="A73" t="inlineStr">
        <is>
          <t>YX-AT-15</t>
        </is>
      </c>
      <c r="B73" t="inlineStr">
        <is>
          <t>M02</t>
        </is>
      </c>
      <c r="C73" t="inlineStr">
        <is>
          <t>YX-AT</t>
        </is>
      </c>
      <c r="D73" t="inlineStr">
        <is>
          <t>4</t>
        </is>
      </c>
      <c r="E73" s="5" t="inlineStr">
        <is>
          <t>The day card shows each punch's source, map pin, distance to the nearest allowed location and verdict (inside / outside / field-recorded) to viewers in scope (fixes U17).</t>
        </is>
      </c>
      <c r="F73" t="inlineStr">
        <is>
          <t>UI prototype only</t>
        </is>
      </c>
      <c r="H73">
        <f>IF(G73&lt;&gt;"",G73,F73)</f>
        <v/>
      </c>
      <c r="I73" t="n">
        <v>0</v>
      </c>
      <c r="J73" t="n">
        <v>0</v>
      </c>
      <c r="K73" t="n">
        <v>2</v>
      </c>
      <c r="L73" s="5" t="inlineStr"/>
      <c r="M73" s="5" t="n"/>
    </row>
    <row r="74">
      <c r="A74" t="inlineStr">
        <is>
          <t>YX-AT-16</t>
        </is>
      </c>
      <c r="B74" t="inlineStr">
        <is>
          <t>M02</t>
        </is>
      </c>
      <c r="C74" t="inlineStr">
        <is>
          <t>YX-AT</t>
        </is>
      </c>
      <c r="D74" t="inlineStr">
        <is>
          <t>4</t>
        </is>
      </c>
      <c r="E74" s="5" t="inlineStr">
        <is>
          <t>Field-force location trail (B2): location points are collected only when the employee's group has field-force tracking on and the employee's consent is on record, and only between duty check-in and check-out within the shift window + grace; never on leave, weekly offs, holidays or after check-out unless an approved on-duty request covers the day. The app shows "Tracking on" while collecting; withdrawing consent stops collection at once. Trails are Confidential (own + manager / HR in scope, duty time only) and deleted after the company's retention period (starter 90 days), keeping only daily di</t>
        </is>
      </c>
      <c r="F74" t="inlineStr">
        <is>
          <t>Not started</t>
        </is>
      </c>
      <c r="H74">
        <f>IF(G74&lt;&gt;"",G74,F74)</f>
        <v/>
      </c>
      <c r="I74" t="n">
        <v>0</v>
      </c>
      <c r="J74" t="n">
        <v>0</v>
      </c>
      <c r="K74" t="n">
        <v>0</v>
      </c>
      <c r="L74" s="5" t="inlineStr"/>
      <c r="M74" s="5" t="n"/>
    </row>
    <row r="75">
      <c r="A75" t="inlineStr">
        <is>
          <t>YX-AT-17</t>
        </is>
      </c>
      <c r="B75" t="inlineStr">
        <is>
          <t>M02</t>
        </is>
      </c>
      <c r="C75" t="inlineStr">
        <is>
          <t>YX-AT</t>
        </is>
      </c>
      <c r="D75" t="inlineStr">
        <is>
          <t>4</t>
        </is>
      </c>
      <c r="E75" s="5" t="inlineStr">
        <is>
          <t>Visits &amp; client-site attendance (B2): a visit check-in records the geofence verdict against the site's pin, a camera-only time- and location-stamped photo and notes; planned vs done is shown per beat plan; a day with a site check-in is present (field) with worked time per the group's rule; mock-location, impossible speed and gaps are flagged, never auto-penalised.</t>
        </is>
      </c>
      <c r="F75" t="inlineStr">
        <is>
          <t>Not started</t>
        </is>
      </c>
      <c r="H75">
        <f>IF(G75&lt;&gt;"",G75,F75)</f>
        <v/>
      </c>
      <c r="I75" t="n">
        <v>0</v>
      </c>
      <c r="J75" t="n">
        <v>0</v>
      </c>
      <c r="K75" t="n">
        <v>0</v>
      </c>
      <c r="L75" s="5" t="inlineStr"/>
      <c r="M75" s="5" t="n"/>
    </row>
    <row r="76">
      <c r="A76" t="inlineStr">
        <is>
          <t>YX-AT-18</t>
        </is>
      </c>
      <c r="B76" t="inlineStr">
        <is>
          <t>M02</t>
        </is>
      </c>
      <c r="C76" t="inlineStr">
        <is>
          <t>YX-AT</t>
        </is>
      </c>
      <c r="D76" t="inlineStr">
        <is>
          <t>4</t>
        </is>
      </c>
      <c r="E76" s="5" t="inlineStr">
        <is>
          <t>Distance-based conveyance (B2): each duty day's distance (straight-line × company factor, or road distance where the company enabled the maps add-on) becomes a draft M05 mileage line the employee must confirm; M05 rates, limits and approvals apply; nothing is reimbursed automatically.</t>
        </is>
      </c>
      <c r="F76" t="inlineStr">
        <is>
          <t>Not started</t>
        </is>
      </c>
      <c r="H76">
        <f>IF(G76&lt;&gt;"",G76,F76)</f>
        <v/>
      </c>
      <c r="I76" t="n">
        <v>0</v>
      </c>
      <c r="J76" t="n">
        <v>0</v>
      </c>
      <c r="K76" t="n">
        <v>0</v>
      </c>
      <c r="L76" s="5" t="inlineStr"/>
      <c r="M76" s="5" t="n"/>
    </row>
    <row r="77">
      <c r="A77" t="inlineStr">
        <is>
          <t>YX-AT-19</t>
        </is>
      </c>
      <c r="B77" t="inlineStr">
        <is>
          <t>M02</t>
        </is>
      </c>
      <c r="C77" t="inlineStr">
        <is>
          <t>YX-AT</t>
        </is>
      </c>
      <c r="D77" t="inlineStr">
        <is>
          <t>4</t>
        </is>
      </c>
      <c r="E77" s="5" t="inlineStr">
        <is>
          <t>Auto-roster (B3): the generator never breaks a hard constraint — valid skill / certification, availability marked hard, approved leave, holidays and weekly offs, minimum rest (never below P07), P07 statutory and company hour / OT caps, one shift at a time, the women's night-shift guard (YX-AT-25, added by Correction C1), employment status (D10); it optimises the company's weighted soft goals (fairness over a rolling window, preferences, continuity, cost); every unfilled or over-staffed slot carries a reason; a run stores inputs, rule version and score; nothing is published until a manager appr</t>
        </is>
      </c>
      <c r="F77" t="inlineStr">
        <is>
          <t>Not started</t>
        </is>
      </c>
      <c r="H77">
        <f>IF(G77&lt;&gt;"",G77,F77)</f>
        <v/>
      </c>
      <c r="I77" t="n">
        <v>0</v>
      </c>
      <c r="J77" t="n">
        <v>0</v>
      </c>
      <c r="K77" t="n">
        <v>0</v>
      </c>
      <c r="L77" s="5" t="inlineStr"/>
      <c r="M77" s="5" t="n"/>
    </row>
    <row r="78">
      <c r="A78" t="inlineStr">
        <is>
          <t>YX-AT-20</t>
        </is>
      </c>
      <c r="B78" t="inlineStr">
        <is>
          <t>M02</t>
        </is>
      </c>
      <c r="C78" t="inlineStr">
        <is>
          <t>YX-AT</t>
        </is>
      </c>
      <c r="D78" t="inlineStr">
        <is>
          <t>4</t>
        </is>
      </c>
      <c r="E78" s="5" t="inlineStr">
        <is>
          <t>Open shifts &amp; bidding (B3): an open shift is offered only to employees who meet its skill, location / pool, conflict, rest and hour-cap checks, re-checked at award; the award follows the company rule (first-come auto-assign or manager picks; starter manager picks); bids are ranked preferences within a bid window, awarded by the company's tie-break rule (starter fairness score, then seniority) and approved with the roster.</t>
        </is>
      </c>
      <c r="F78" t="inlineStr">
        <is>
          <t>Not started</t>
        </is>
      </c>
      <c r="H78">
        <f>IF(G78&lt;&gt;"",G78,F78)</f>
        <v/>
      </c>
      <c r="I78" t="n">
        <v>0</v>
      </c>
      <c r="J78" t="n">
        <v>0</v>
      </c>
      <c r="K78" t="n">
        <v>0</v>
      </c>
      <c r="L78" s="5" t="inlineStr"/>
      <c r="M78" s="5" t="n"/>
    </row>
    <row r="79">
      <c r="A79" t="inlineStr">
        <is>
          <t>YX-AT-21</t>
        </is>
      </c>
      <c r="B79" t="inlineStr">
        <is>
          <t>M02</t>
        </is>
      </c>
      <c r="C79" t="inlineStr">
        <is>
          <t>YX-AT</t>
        </is>
      </c>
      <c r="D79" t="inlineStr">
        <is>
          <t>4</t>
        </is>
      </c>
      <c r="E79" s="5" t="inlineStr">
        <is>
          <t>Desktop / Teams presence (C1): used only where the company switched it on for the group and the employee consented; only presence / active-idle states and times are collected — never keystroke content or counts, screenshots, screen / webcam / audio recording, application names, window titles, URLs or files; it yields first-active / last-active punches (source "teams" / "desktop") or evidence only, per group; managers see the day status and total active hours, never a minute-by-minute timeline; a missing signal goes through the normal exception flow.</t>
        </is>
      </c>
      <c r="F79" t="inlineStr">
        <is>
          <t>Not started</t>
        </is>
      </c>
      <c r="H79">
        <f>IF(G79&lt;&gt;"",G79,F79)</f>
        <v/>
      </c>
      <c r="I79" t="n">
        <v>0</v>
      </c>
      <c r="J79" t="n">
        <v>0</v>
      </c>
      <c r="K79" t="n">
        <v>0</v>
      </c>
      <c r="L79" s="5" t="inlineStr"/>
      <c r="M79" s="5" t="n"/>
    </row>
    <row r="80">
      <c r="A80" t="inlineStr">
        <is>
          <t>YX-AT-22</t>
        </is>
      </c>
      <c r="B80" t="inlineStr">
        <is>
          <t>M02</t>
        </is>
      </c>
      <c r="C80" t="inlineStr">
        <is>
          <t>YX-AT</t>
        </is>
      </c>
      <c r="D80" t="inlineStr">
        <is>
          <t>4</t>
        </is>
      </c>
      <c r="E80" s="5" t="inlineStr">
        <is>
          <t>Visitor management (C1): every visitor enters a location through a pre-registration or a host-approved walk-in; check-in and check-out are logged per location with badge / QR, required acknowledgements (NDA / safety) are captured before entry per the location's rules, blocked visitors are stopped at reception, an "on site now" list is available for emergencies, and visitor data (Confidential) is deleted after the company's retention period (starter 90 days; ID images 30 days).</t>
        </is>
      </c>
      <c r="F80" t="inlineStr">
        <is>
          <t>UI prototype only</t>
        </is>
      </c>
      <c r="H80">
        <f>IF(G80&lt;&gt;"",G80,F80)</f>
        <v/>
      </c>
      <c r="I80" t="n">
        <v>0</v>
      </c>
      <c r="J80" t="n">
        <v>0</v>
      </c>
      <c r="K80" t="n">
        <v>2</v>
      </c>
      <c r="L80" s="5" t="inlineStr"/>
      <c r="M80" s="5" t="n"/>
    </row>
    <row r="81">
      <c r="A81" t="inlineStr">
        <is>
          <t>YX-AT-23</t>
        </is>
      </c>
      <c r="B81" t="inlineStr">
        <is>
          <t>M02</t>
        </is>
      </c>
      <c r="C81" t="inlineStr">
        <is>
          <t>YX-AT</t>
        </is>
      </c>
      <c r="D81" t="inlineStr">
        <is>
          <t>4</t>
        </is>
      </c>
      <c r="E81" s="5" t="inlineStr">
        <is>
          <t xml:space="preserve">Geofence transparency and failed attempts (G7): before a mobile check-in is submitted the employee sees their GPS pin, the accuracy radius and the allowed geofence(s), can retry location, and is told in plain words why a punch would be refused ("Outside Chennai HQ, 850 m away", "Location accuracy 300 m, move outdoors"); every refused or abandoned attempt is logged (time, location, accuracy, distance, reason, device) as an attendance exception the employee and HR can see, so HR can regularise the day from the attempt (P03 request or one-click approval) without the employee being marked late or </t>
        </is>
      </c>
      <c r="F81" t="inlineStr">
        <is>
          <t>Tested, code not linked</t>
        </is>
      </c>
      <c r="H81">
        <f>IF(G81&lt;&gt;"",G81,F81)</f>
        <v/>
      </c>
      <c r="I81" t="n">
        <v>0</v>
      </c>
      <c r="J81" t="n">
        <v>2</v>
      </c>
      <c r="K81" t="n">
        <v>6</v>
      </c>
      <c r="L81" s="5" t="inlineStr">
        <is>
          <t>exam-app-org:packages/yx-ui/src/screens/time/time.test.tsx
exam-app-ws:packages/yx-ui/src/screens/time/time.test.tsx</t>
        </is>
      </c>
      <c r="M81" s="5" t="n"/>
    </row>
    <row r="82">
      <c r="A82" t="inlineStr">
        <is>
          <t>YX-AT-24</t>
        </is>
      </c>
      <c r="B82" t="inlineStr">
        <is>
          <t>M02</t>
        </is>
      </c>
      <c r="C82" t="inlineStr">
        <is>
          <t>YX-AT</t>
        </is>
      </c>
      <c r="D82" t="inlineStr">
        <is>
          <t>4</t>
        </is>
      </c>
      <c r="E82" s="5" t="inlineStr">
        <is>
          <t>Offline check-in (G8, wave 2): when the phone has no connectivity the punch is queued on the device with device time, GPS fix and accuracy, shown in the card's offline queue with a "pending sync" chip, and synced automatically when online; the synced punch is stored with both device time and server receipt time, flagged offline, evaluated by the day engine (§B3) on device time, and listed for HR with the offline flag; the server rejects a queued punch older than the company's limit (starter 48 h) or with a device clock drift beyond tolerance, raising an exception instead of a silent drop. Self</t>
        </is>
      </c>
      <c r="F82" t="inlineStr">
        <is>
          <t>Not started</t>
        </is>
      </c>
      <c r="H82">
        <f>IF(G82&lt;&gt;"",G82,F82)</f>
        <v/>
      </c>
      <c r="I82" t="n">
        <v>0</v>
      </c>
      <c r="J82" t="n">
        <v>0</v>
      </c>
      <c r="K82" t="n">
        <v>0</v>
      </c>
      <c r="L82" s="5" t="inlineStr"/>
      <c r="M82" s="5" t="n"/>
    </row>
    <row r="83">
      <c r="A83" t="inlineStr">
        <is>
          <t>YX-AT-25</t>
        </is>
      </c>
      <c r="B83" t="inlineStr">
        <is>
          <t>M02</t>
        </is>
      </c>
      <c r="C83" t="inlineStr">
        <is>
          <t>YX-AT</t>
        </is>
      </c>
      <c r="D83" t="inlineStr">
        <is>
          <t>4</t>
        </is>
      </c>
      <c r="E83" s="5" t="inlineStr">
        <is>
          <t>Women's night-shift guard (C1, law): no roster path (manual edit, pattern, swap, open-shift claim, bid award, auto-roster) places a woman on a shift overlapping the legal night window of P07 IN.OSH for the location's state (transitional Factories Act s.66 / state S&amp;E values where OSH rules are not notified) unless, for that date, her written consent is on record and not withdrawn and the establishment's safeguards checklist is valid; the company's night definition (D17) may be wider but never narrower than the legal window; the guard has no company switch or override; refusing or withdrawing c</t>
        </is>
      </c>
      <c r="F83" t="inlineStr">
        <is>
          <t>Not started</t>
        </is>
      </c>
      <c r="H83">
        <f>IF(G83&lt;&gt;"",G83,F83)</f>
        <v/>
      </c>
      <c r="I83" t="n">
        <v>0</v>
      </c>
      <c r="J83" t="n">
        <v>0</v>
      </c>
      <c r="K83" t="n">
        <v>0</v>
      </c>
      <c r="L83" s="5" t="inlineStr"/>
      <c r="M83" s="5" t="n"/>
    </row>
    <row r="84">
      <c r="A84" t="inlineStr">
        <is>
          <t>YX-AT-26</t>
        </is>
      </c>
      <c r="B84" t="inlineStr">
        <is>
          <t>M02</t>
        </is>
      </c>
      <c r="C84" t="inlineStr">
        <is>
          <t>YX-AT</t>
        </is>
      </c>
      <c r="D84" t="inlineStr">
        <is>
          <t>4</t>
        </is>
      </c>
      <c r="E84" s="5" t="inlineStr">
        <is>
          <t>Night-work records (C1): consents (P05 documents), safeguard attestations with evidence and review dates, and a register of women night-shift workers per establishment and period (generated from roster and punches in the dated P07 format, frozen with the period lock) are kept; a lapsed safeguard item alerts the location admin and HR before its review date.</t>
        </is>
      </c>
      <c r="F84" t="inlineStr">
        <is>
          <t>Not started</t>
        </is>
      </c>
      <c r="H84">
        <f>IF(G84&lt;&gt;"",G84,F84)</f>
        <v/>
      </c>
      <c r="I84" t="n">
        <v>0</v>
      </c>
      <c r="J84" t="n">
        <v>0</v>
      </c>
      <c r="K84" t="n">
        <v>0</v>
      </c>
      <c r="L84" s="5" t="inlineStr"/>
      <c r="M84" s="5" t="n"/>
    </row>
    <row r="85">
      <c r="A85" t="inlineStr">
        <is>
          <t>YX-AT-27</t>
        </is>
      </c>
      <c r="B85" t="inlineStr">
        <is>
          <t>M02</t>
        </is>
      </c>
      <c r="C85" t="inlineStr">
        <is>
          <t>YX-AT</t>
        </is>
      </c>
      <c r="D85" t="inlineStr">
        <is>
          <t>4</t>
        </is>
      </c>
      <c r="E85" s="5" t="inlineStr">
        <is>
          <t>Industrial-action statuses (J4). Days in a recorded strike, lockout or lay-off event get that status (not Absent / LOP); M03 pays lay-off compensation per P07 IN.IR (verify) and strike / lockout days per legality and company policy (D17), never below the legal floor; the event and its legality are audited and changing legality recomputes the affected days before the period lock.</t>
        </is>
      </c>
      <c r="F85" t="inlineStr">
        <is>
          <t>Not started</t>
        </is>
      </c>
      <c r="H85">
        <f>IF(G85&lt;&gt;"",G85,F85)</f>
        <v/>
      </c>
      <c r="I85" t="n">
        <v>0</v>
      </c>
      <c r="J85" t="n">
        <v>0</v>
      </c>
      <c r="K85" t="n">
        <v>0</v>
      </c>
      <c r="L85" s="5" t="inlineStr"/>
      <c r="M85" s="5" t="n"/>
    </row>
    <row r="86">
      <c r="A86" t="inlineStr">
        <is>
          <t>YX-AT-28</t>
        </is>
      </c>
      <c r="B86" t="inlineStr">
        <is>
          <t>M02</t>
        </is>
      </c>
      <c r="C86" t="inlineStr">
        <is>
          <t>YX-AT</t>
        </is>
      </c>
      <c r="D86" t="inlineStr">
        <is>
          <t>4</t>
        </is>
      </c>
      <c r="E86" s="5" t="inlineStr">
        <is>
          <t>Standby and call-out (V7). A standby slot is not a working shift; a call-out logged during it is paid at least the company's call-out minimum (D17) and counts for hours, OT and minimum-rest checks; standby allowance per slot feeds M03.</t>
        </is>
      </c>
      <c r="F86" t="inlineStr">
        <is>
          <t>Not started</t>
        </is>
      </c>
      <c r="H86">
        <f>IF(G86&lt;&gt;"",G86,F86)</f>
        <v/>
      </c>
      <c r="I86" t="n">
        <v>0</v>
      </c>
      <c r="J86" t="n">
        <v>0</v>
      </c>
      <c r="K86" t="n">
        <v>0</v>
      </c>
      <c r="L86" s="5" t="inlineStr"/>
      <c r="M86" s="5" t="n"/>
    </row>
    <row r="87">
      <c r="A87" t="inlineStr">
        <is>
          <t>YX-AT-29</t>
        </is>
      </c>
      <c r="B87" t="inlineStr">
        <is>
          <t>M02</t>
        </is>
      </c>
      <c r="C87" t="inlineStr">
        <is>
          <t>YX-AT</t>
        </is>
      </c>
      <c r="D87" t="inlineStr">
        <is>
          <t>4</t>
        </is>
      </c>
      <c r="E87" s="5" t="inlineStr">
        <is>
          <t>Licence gate (V13). No roster path, trip or assignment places a person on a date where a licence required by the role / skill / shift is missing or expired; legally required licences have no override, company-required ones allow an HR override with reason (audited).</t>
        </is>
      </c>
      <c r="F87" t="inlineStr">
        <is>
          <t>Not started</t>
        </is>
      </c>
      <c r="H87">
        <f>IF(G87&lt;&gt;"",G87,F87)</f>
        <v/>
      </c>
      <c r="I87" t="n">
        <v>0</v>
      </c>
      <c r="J87" t="n">
        <v>0</v>
      </c>
      <c r="K87" t="n">
        <v>0</v>
      </c>
      <c r="L87" s="5" t="inlineStr"/>
      <c r="M87" s="5" t="n"/>
    </row>
    <row r="88">
      <c r="A88" t="inlineStr">
        <is>
          <t>YX-AT-30</t>
        </is>
      </c>
      <c r="B88" t="inlineStr">
        <is>
          <t>M02</t>
        </is>
      </c>
      <c r="C88" t="inlineStr">
        <is>
          <t>YX-AT</t>
        </is>
      </c>
      <c r="D88" t="inlineStr">
        <is>
          <t>4</t>
        </is>
      </c>
      <c r="E88" s="5" t="inlineStr">
        <is>
          <t>Hybrid office days (T7). Office-day compliance per week is computed from office-geofence / kiosk / badge evidence against the group's policy, pro-rated for leave, holidays and approved travel; it is visible to the employee and manager, and never feeds pay, LOP or ratings unless the company sets a P19 rule to do so.</t>
        </is>
      </c>
      <c r="F88" t="inlineStr">
        <is>
          <t>Not started</t>
        </is>
      </c>
      <c r="H88">
        <f>IF(G88&lt;&gt;"",G88,F88)</f>
        <v/>
      </c>
      <c r="I88" t="n">
        <v>0</v>
      </c>
      <c r="J88" t="n">
        <v>0</v>
      </c>
      <c r="K88" t="n">
        <v>0</v>
      </c>
      <c r="L88" s="5" t="inlineStr"/>
      <c r="M88" s="5" t="n"/>
    </row>
    <row r="89">
      <c r="A89" t="inlineStr">
        <is>
          <t>YX-LV-01</t>
        </is>
      </c>
      <c r="B89" t="inlineStr">
        <is>
          <t>M02</t>
        </is>
      </c>
      <c r="C89" t="inlineStr">
        <is>
          <t>YX-LV</t>
        </is>
      </c>
      <c r="D89" t="inlineStr">
        <is>
          <t>4</t>
        </is>
      </c>
      <c r="E89" s="5" t="inlineStr">
        <is>
          <t>A leave balance is always the sum of its ledger entries; no screen or report computes it differently.</t>
        </is>
      </c>
      <c r="F89" t="inlineStr">
        <is>
          <t>Not started</t>
        </is>
      </c>
      <c r="H89">
        <f>IF(G89&lt;&gt;"",G89,F89)</f>
        <v/>
      </c>
      <c r="I89" t="n">
        <v>0</v>
      </c>
      <c r="J89" t="n">
        <v>0</v>
      </c>
      <c r="K89" t="n">
        <v>0</v>
      </c>
      <c r="L89" s="5" t="inlineStr"/>
      <c r="M89" s="5" t="n"/>
    </row>
    <row r="90">
      <c r="A90" t="inlineStr">
        <is>
          <t>YX-LV-02</t>
        </is>
      </c>
      <c r="B90" t="inlineStr">
        <is>
          <t>M02</t>
        </is>
      </c>
      <c r="C90" t="inlineStr">
        <is>
          <t>YX-LV</t>
        </is>
      </c>
      <c r="D90" t="inlineStr">
        <is>
          <t>4</t>
        </is>
      </c>
      <c r="E90" s="5" t="inlineStr">
        <is>
          <t>Accruals follow the type's frequency, basis (upfront / days worked / LOP-reduced) and rounding; the last accrual of the leave year trues up to the exact entitlement (L4).</t>
        </is>
      </c>
      <c r="F90" t="inlineStr">
        <is>
          <t>Not started</t>
        </is>
      </c>
      <c r="H90">
        <f>IF(G90&lt;&gt;"",G90,F90)</f>
        <v/>
      </c>
      <c r="I90" t="n">
        <v>0</v>
      </c>
      <c r="J90" t="n">
        <v>0</v>
      </c>
      <c r="K90" t="n">
        <v>0</v>
      </c>
      <c r="L90" s="5" t="inlineStr"/>
      <c r="M90" s="5" t="n"/>
    </row>
    <row r="91">
      <c r="A91" t="inlineStr">
        <is>
          <t>YX-LV-03</t>
        </is>
      </c>
      <c r="B91" t="inlineStr">
        <is>
          <t>M02</t>
        </is>
      </c>
      <c r="C91" t="inlineStr">
        <is>
          <t>YX-LV</t>
        </is>
      </c>
      <c r="D91" t="inlineStr">
        <is>
          <t>4</t>
        </is>
      </c>
      <c r="E91" s="5" t="inlineStr">
        <is>
          <t>Day counting applies the type's sandwich mode, holiday/weekly-off treatment and half-day rules (L3), using the employee's location calendar and weekly-off resolution.</t>
        </is>
      </c>
      <c r="F91" t="inlineStr">
        <is>
          <t>Tested, code not linked</t>
        </is>
      </c>
      <c r="H91">
        <f>IF(G91&lt;&gt;"",G91,F91)</f>
        <v/>
      </c>
      <c r="I91" t="n">
        <v>0</v>
      </c>
      <c r="J91" t="n">
        <v>2</v>
      </c>
      <c r="K91" t="n">
        <v>2</v>
      </c>
      <c r="L91" s="5" t="inlineStr">
        <is>
          <t>exam-app-org:packages/yx-ui/src/screens/time/time.test.tsx
exam-app-ws:packages/yx-ui/src/screens/time/time.test.tsx</t>
        </is>
      </c>
      <c r="M91" s="5" t="n"/>
    </row>
    <row r="92">
      <c r="A92" t="inlineStr">
        <is>
          <t>YX-LV-04</t>
        </is>
      </c>
      <c r="B92" t="inlineStr">
        <is>
          <t>M02</t>
        </is>
      </c>
      <c r="C92" t="inlineStr">
        <is>
          <t>YX-LV</t>
        </is>
      </c>
      <c r="D92" t="inlineStr">
        <is>
          <t>4</t>
        </is>
      </c>
      <c r="E92" s="5" t="inlineStr">
        <is>
          <t>Negative balances stay within the type's limit; future accruals repay first; on exit the remainder follows L6.</t>
        </is>
      </c>
      <c r="F92" t="inlineStr">
        <is>
          <t>Not started</t>
        </is>
      </c>
      <c r="H92">
        <f>IF(G92&lt;&gt;"",G92,F92)</f>
        <v/>
      </c>
      <c r="I92" t="n">
        <v>0</v>
      </c>
      <c r="J92" t="n">
        <v>0</v>
      </c>
      <c r="K92" t="n">
        <v>0</v>
      </c>
      <c r="L92" s="5" t="inlineStr"/>
      <c r="M92" s="5" t="n"/>
    </row>
    <row r="93">
      <c r="A93" t="inlineStr">
        <is>
          <t>YX-LV-05</t>
        </is>
      </c>
      <c r="B93" t="inlineStr">
        <is>
          <t>M02</t>
        </is>
      </c>
      <c r="C93" t="inlineStr">
        <is>
          <t>YX-LV</t>
        </is>
      </c>
      <c r="D93" t="inlineStr">
        <is>
          <t>4</t>
        </is>
      </c>
      <c r="E93" s="5" t="inlineStr">
        <is>
          <t>Eligibility, notice, maximum per request/month, block dates and mandatory-attachment rules are checked before submission and shown in the live summary.</t>
        </is>
      </c>
      <c r="F93" t="inlineStr">
        <is>
          <t>UI prototype only</t>
        </is>
      </c>
      <c r="H93">
        <f>IF(G93&lt;&gt;"",G93,F93)</f>
        <v/>
      </c>
      <c r="I93" t="n">
        <v>0</v>
      </c>
      <c r="J93" t="n">
        <v>0</v>
      </c>
      <c r="K93" t="n">
        <v>2</v>
      </c>
      <c r="L93" s="5" t="inlineStr"/>
      <c r="M93" s="5" t="n"/>
    </row>
    <row r="94">
      <c r="A94" t="inlineStr">
        <is>
          <t>YX-LV-06</t>
        </is>
      </c>
      <c r="B94" t="inlineStr">
        <is>
          <t>M02</t>
        </is>
      </c>
      <c r="C94" t="inlineStr">
        <is>
          <t>YX-LV</t>
        </is>
      </c>
      <c r="D94" t="inlineStr">
        <is>
          <t>4</t>
        </is>
      </c>
      <c r="E94" s="5" t="inlineStr">
        <is>
          <t>Comp-off credits expire after the type's window; expiry posts a ledger entry and notifies the employee in advance.</t>
        </is>
      </c>
      <c r="F94" t="inlineStr">
        <is>
          <t>Not started</t>
        </is>
      </c>
      <c r="H94">
        <f>IF(G94&lt;&gt;"",G94,F94)</f>
        <v/>
      </c>
      <c r="I94" t="n">
        <v>0</v>
      </c>
      <c r="J94" t="n">
        <v>0</v>
      </c>
      <c r="K94" t="n">
        <v>0</v>
      </c>
      <c r="L94" s="5" t="inlineStr"/>
      <c r="M94" s="5" t="n"/>
    </row>
    <row r="95">
      <c r="A95" t="inlineStr">
        <is>
          <t>YX-LV-07</t>
        </is>
      </c>
      <c r="B95" t="inlineStr">
        <is>
          <t>M02</t>
        </is>
      </c>
      <c r="C95" t="inlineStr">
        <is>
          <t>YX-LV</t>
        </is>
      </c>
      <c r="D95" t="inlineStr">
        <is>
          <t>4</t>
        </is>
      </c>
      <c r="E95" s="5" t="inlineStr">
        <is>
          <t>Year-end processing (carry forward, lapse, encash) runs only through the year-end wizard with preview and approval.</t>
        </is>
      </c>
      <c r="F95" t="inlineStr">
        <is>
          <t>UI prototype only</t>
        </is>
      </c>
      <c r="H95">
        <f>IF(G95&lt;&gt;"",G95,F95)</f>
        <v/>
      </c>
      <c r="I95" t="n">
        <v>0</v>
      </c>
      <c r="J95" t="n">
        <v>0</v>
      </c>
      <c r="K95" t="n">
        <v>2</v>
      </c>
      <c r="L95" s="5" t="inlineStr"/>
      <c r="M95" s="5" t="n"/>
    </row>
    <row r="96">
      <c r="A96" t="inlineStr">
        <is>
          <t>YX-LV-08</t>
        </is>
      </c>
      <c r="B96" t="inlineStr">
        <is>
          <t>M02</t>
        </is>
      </c>
      <c r="C96" t="inlineStr">
        <is>
          <t>YX-LV</t>
        </is>
      </c>
      <c r="D96" t="inlineStr">
        <is>
          <t>4</t>
        </is>
      </c>
      <c r="E96" s="5" t="inlineStr">
        <is>
          <t>Leave affecting a locked period can only be corrected via a late request / correction with effect in the next payroll (P08).</t>
        </is>
      </c>
      <c r="F96" t="inlineStr">
        <is>
          <t>Not started</t>
        </is>
      </c>
      <c r="H96">
        <f>IF(G96&lt;&gt;"",G96,F96)</f>
        <v/>
      </c>
      <c r="I96" t="n">
        <v>0</v>
      </c>
      <c r="J96" t="n">
        <v>0</v>
      </c>
      <c r="K96" t="n">
        <v>0</v>
      </c>
      <c r="L96" s="5" t="inlineStr"/>
      <c r="M96" s="5" t="n"/>
    </row>
    <row r="97">
      <c r="A97" t="inlineStr">
        <is>
          <t>YX-LV-09</t>
        </is>
      </c>
      <c r="B97" t="inlineStr">
        <is>
          <t>M02</t>
        </is>
      </c>
      <c r="C97" t="inlineStr">
        <is>
          <t>YX-LV</t>
        </is>
      </c>
      <c r="D97" t="inlineStr">
        <is>
          <t>4</t>
        </is>
      </c>
      <c r="E97" s="5" t="inlineStr">
        <is>
          <t>A mandatory attachment of a medical nature is stored as a P05 "Medical certificate" document (Special class) and verified by HR; approvers and managers see only "certificate attached · verified / pending", never the file (D9).</t>
        </is>
      </c>
      <c r="F97" t="inlineStr">
        <is>
          <t>Not started</t>
        </is>
      </c>
      <c r="H97">
        <f>IF(G97&lt;&gt;"",G97,F97)</f>
        <v/>
      </c>
      <c r="I97" t="n">
        <v>0</v>
      </c>
      <c r="J97" t="n">
        <v>0</v>
      </c>
      <c r="K97" t="n">
        <v>0</v>
      </c>
      <c r="L97" s="5" t="inlineStr"/>
      <c r="M97" s="5" t="n"/>
    </row>
    <row r="98">
      <c r="A98" t="inlineStr">
        <is>
          <t>YX-LV-10</t>
        </is>
      </c>
      <c r="B98" t="inlineStr">
        <is>
          <t>M02</t>
        </is>
      </c>
      <c r="C98" t="inlineStr">
        <is>
          <t>YX-LV</t>
        </is>
      </c>
      <c r="D98" t="inlineStr">
        <is>
          <t>4</t>
        </is>
      </c>
      <c r="E98" s="5" t="inlineStr">
        <is>
          <t>Maternity follows the P07 IN.LEAVE template: 80 days in the preceding 12 months for eligibility; 26 weeks (max 8 before delivery), 12 weeks for adopting / commissioning mothers or the 3rd child, 6 weeks for miscarriage / MTP, 2 weeks for tubectomy. For ESIC-covered employees the leave is recorded but pay is by ESIC (M03 YX-PAY-26). Dismissal during maternity leave is blocked (law); crèche and post-maternity WFH are company settings (D17).</t>
        </is>
      </c>
      <c r="F98" t="inlineStr">
        <is>
          <t>Not started</t>
        </is>
      </c>
      <c r="H98">
        <f>IF(G98&lt;&gt;"",G98,F98)</f>
        <v/>
      </c>
      <c r="I98" t="n">
        <v>0</v>
      </c>
      <c r="J98" t="n">
        <v>0</v>
      </c>
      <c r="K98" t="n">
        <v>0</v>
      </c>
      <c r="L98" s="5" t="inlineStr"/>
      <c r="M98" s="5" t="n"/>
    </row>
    <row r="99">
      <c r="A99" t="inlineStr">
        <is>
          <t>YX-LV-11</t>
        </is>
      </c>
      <c r="B99" t="inlineStr">
        <is>
          <t>M02</t>
        </is>
      </c>
      <c r="C99" t="inlineStr">
        <is>
          <t>YX-LV</t>
        </is>
      </c>
      <c r="D99" t="inlineStr">
        <is>
          <t>4</t>
        </is>
      </c>
      <c r="E99" s="5" t="inlineStr">
        <is>
          <t>During sabbatical, long LWP or maternity, accrual pauses or continues per leave type as the company sets (D17); statutory values are enforced where the law fixes them.</t>
        </is>
      </c>
      <c r="F99" t="inlineStr">
        <is>
          <t>Not started</t>
        </is>
      </c>
      <c r="H99">
        <f>IF(G99&lt;&gt;"",G99,F99)</f>
        <v/>
      </c>
      <c r="I99" t="n">
        <v>0</v>
      </c>
      <c r="J99" t="n">
        <v>0</v>
      </c>
      <c r="K99" t="n">
        <v>0</v>
      </c>
      <c r="L99" s="5" t="inlineStr"/>
      <c r="M99" s="5" t="n"/>
    </row>
    <row r="100">
      <c r="A100" t="inlineStr">
        <is>
          <t>YX-LV-12</t>
        </is>
      </c>
      <c r="B100" t="inlineStr">
        <is>
          <t>M02</t>
        </is>
      </c>
      <c r="C100" t="inlineStr">
        <is>
          <t>YX-LV</t>
        </is>
      </c>
      <c r="D100" t="inlineStr">
        <is>
          <t>4</t>
        </is>
      </c>
      <c r="E100" s="5" t="inlineStr">
        <is>
          <t>Leave during the notice period follows the type's company policy — allowed (starter) / LOP / extends LWD / blocked (D17); the apply sheet warns, and the LWD / notice-shortfall effect is sent to the M01 exit case.</t>
        </is>
      </c>
      <c r="F100" t="inlineStr">
        <is>
          <t>UI prototype only</t>
        </is>
      </c>
      <c r="H100">
        <f>IF(G100&lt;&gt;"",G100,F100)</f>
        <v/>
      </c>
      <c r="I100" t="n">
        <v>0</v>
      </c>
      <c r="J100" t="n">
        <v>0</v>
      </c>
      <c r="K100" t="n">
        <v>2</v>
      </c>
      <c r="L100" s="5" t="inlineStr"/>
      <c r="M100" s="5" t="n"/>
    </row>
    <row r="101">
      <c r="A101" t="inlineStr">
        <is>
          <t>YX-LV-13</t>
        </is>
      </c>
      <c r="B101" t="inlineStr">
        <is>
          <t>M02</t>
        </is>
      </c>
      <c r="C101" t="inlineStr">
        <is>
          <t>YX-LV</t>
        </is>
      </c>
      <c r="D101" t="inlineStr">
        <is>
          <t>4</t>
        </is>
      </c>
      <c r="E101" s="5" t="inlineStr">
        <is>
          <t>A leave-year change creates a short year with pro-rata entitlements and a carry-forward transition wizard; on transfer the holiday calendar switches on the transfer date and optional holidays are prorated or reset per company setting.</t>
        </is>
      </c>
      <c r="F101" t="inlineStr">
        <is>
          <t>Not started</t>
        </is>
      </c>
      <c r="H101">
        <f>IF(G101&lt;&gt;"",G101,F101)</f>
        <v/>
      </c>
      <c r="I101" t="n">
        <v>0</v>
      </c>
      <c r="J101" t="n">
        <v>0</v>
      </c>
      <c r="K101" t="n">
        <v>0</v>
      </c>
      <c r="L101" s="5" t="inlineStr"/>
      <c r="M101" s="5" t="n"/>
    </row>
    <row r="102">
      <c r="A102" t="inlineStr">
        <is>
          <t>YX-LV-14</t>
        </is>
      </c>
      <c r="B102" t="inlineStr">
        <is>
          <t>M02</t>
        </is>
      </c>
      <c r="C102" t="inlineStr">
        <is>
          <t>YX-LV</t>
        </is>
      </c>
      <c r="D102" t="inlineStr">
        <is>
          <t>4</t>
        </is>
      </c>
      <c r="E102" s="5" t="inlineStr">
        <is>
          <t>Unpaid (LWP) leave types carry no balance: the balance card, reports and mobile show "taken this year", never a negative closing balance; negative balances exist only for paid types within their L6 limit (fixes U7).</t>
        </is>
      </c>
      <c r="F102" t="inlineStr">
        <is>
          <t>UI prototype only</t>
        </is>
      </c>
      <c r="H102">
        <f>IF(G102&lt;&gt;"",G102,F102)</f>
        <v/>
      </c>
      <c r="I102" t="n">
        <v>0</v>
      </c>
      <c r="J102" t="n">
        <v>0</v>
      </c>
      <c r="K102" t="n">
        <v>4</v>
      </c>
      <c r="L102" s="5" t="inlineStr"/>
      <c r="M102" s="5" t="n"/>
    </row>
    <row r="103">
      <c r="A103" t="inlineStr">
        <is>
          <t>YX-LV-15</t>
        </is>
      </c>
      <c r="B103" t="inlineStr">
        <is>
          <t>M02</t>
        </is>
      </c>
      <c r="C103" t="inlineStr">
        <is>
          <t>YX-LV</t>
        </is>
      </c>
      <c r="D103" t="inlineStr">
        <is>
          <t>4</t>
        </is>
      </c>
      <c r="E103" s="5" t="inlineStr">
        <is>
          <t>Injury leave (J6): injury leave is posted only from an M08 workplace accident / injury case (YX-CASE-14) for the days the person cannot work; it has no balance or accrual, counts as service and never as LOP; pay follows the company policy (D17) but never below the statutory floor — ESIC benefit for ESI-covered persons, P07 IN.EC compensation otherwise (M03 YX-PAY-50); medical evidence is a Special document (YX-LV-09) and the manager sees only the dates.</t>
        </is>
      </c>
      <c r="F103" t="inlineStr">
        <is>
          <t>Not started</t>
        </is>
      </c>
      <c r="H103">
        <f>IF(G103&lt;&gt;"",G103,F103)</f>
        <v/>
      </c>
      <c r="I103" t="n">
        <v>0</v>
      </c>
      <c r="J103" t="n">
        <v>0</v>
      </c>
      <c r="K103" t="n">
        <v>0</v>
      </c>
      <c r="L103" s="5" t="inlineStr"/>
      <c r="M103" s="5" t="n"/>
    </row>
    <row r="104">
      <c r="A104" t="inlineStr">
        <is>
          <t>YX-LV-16</t>
        </is>
      </c>
      <c r="B104" t="inlineStr">
        <is>
          <t>M02</t>
        </is>
      </c>
      <c r="C104" t="inlineStr">
        <is>
          <t>YX-LV</t>
        </is>
      </c>
      <c r="D104" t="inlineStr">
        <is>
          <t>4</t>
        </is>
      </c>
      <c r="E104" s="5" t="inlineStr">
        <is>
          <t>Mandatory block leave (V12). With the BFSI pack on, each designated person must take one block of the company's required consecutive days per year (verify regulator guidance); the start triggers P12 access suspension until return, any access during it needs a logged compliance-officer exception, and people without a block planned by the company's cut-off are listed for the compliance officer.</t>
        </is>
      </c>
      <c r="F104" t="inlineStr">
        <is>
          <t>Not started</t>
        </is>
      </c>
      <c r="H104">
        <f>IF(G104&lt;&gt;"",G104,F104)</f>
        <v/>
      </c>
      <c r="I104" t="n">
        <v>0</v>
      </c>
      <c r="J104" t="n">
        <v>0</v>
      </c>
      <c r="K104" t="n">
        <v>0</v>
      </c>
      <c r="L104" s="5" t="inlineStr"/>
      <c r="M104" s="5" t="n"/>
    </row>
    <row r="105">
      <c r="A105" t="inlineStr">
        <is>
          <t>YX-PAY-01</t>
        </is>
      </c>
      <c r="B105" t="inlineStr">
        <is>
          <t>M03</t>
        </is>
      </c>
      <c r="C105" t="inlineStr">
        <is>
          <t>YX-PAY</t>
        </is>
      </c>
      <c r="D105" t="inlineStr">
        <is>
          <t>5</t>
        </is>
      </c>
      <c r="E105" s="5" t="inlineStr">
        <is>
          <t>Formulas run in a sandboxed expression language with no code execution. A template is validated on save: dependency order, no cycles, and a test run on a sample employee. Editing a template creates a new version and never changes past payslips (fixes A-D2, A-D3).</t>
        </is>
      </c>
      <c r="F105" t="inlineStr">
        <is>
          <t>Not started</t>
        </is>
      </c>
      <c r="H105">
        <f>IF(G105&lt;&gt;"",G105,F105)</f>
        <v/>
      </c>
      <c r="I105" t="n">
        <v>0</v>
      </c>
      <c r="J105" t="n">
        <v>0</v>
      </c>
      <c r="K105" t="n">
        <v>0</v>
      </c>
      <c r="L105" s="5" t="inlineStr"/>
      <c r="M105" s="5" t="n"/>
    </row>
    <row r="106">
      <c r="A106" t="inlineStr">
        <is>
          <t>YX-PAY-02</t>
        </is>
      </c>
      <c r="B106" t="inlineStr">
        <is>
          <t>M03</t>
        </is>
      </c>
      <c r="C106" t="inlineStr">
        <is>
          <t>YX-PAY</t>
        </is>
      </c>
      <c r="D106" t="inlineStr">
        <is>
          <t>5</t>
        </is>
      </c>
      <c r="E106" s="5" t="inlineStr">
        <is>
          <t>Proration uses the component's formula when one is defined. Otherwise it uses amount × payable days ÷ period days, with the day basis set per company (calendar days, 30 or 26). Never prorate twice (fixes B-D3).</t>
        </is>
      </c>
      <c r="F106" t="inlineStr">
        <is>
          <t>UI prototype only</t>
        </is>
      </c>
      <c r="H106">
        <f>IF(G106&lt;&gt;"",G106,F106)</f>
        <v/>
      </c>
      <c r="I106" t="n">
        <v>0</v>
      </c>
      <c r="J106" t="n">
        <v>0</v>
      </c>
      <c r="K106" t="n">
        <v>2</v>
      </c>
      <c r="L106" s="5" t="inlineStr"/>
      <c r="M106" s="5" t="n"/>
    </row>
    <row r="107">
      <c r="A107" t="inlineStr">
        <is>
          <t>YX-PAY-03</t>
        </is>
      </c>
      <c r="B107" t="inlineStr">
        <is>
          <t>M03</t>
        </is>
      </c>
      <c r="C107" t="inlineStr">
        <is>
          <t>YX-PAY</t>
        </is>
      </c>
      <c r="D107" t="inlineStr">
        <is>
          <t>5</t>
        </is>
      </c>
      <c r="E107" s="5" t="inlineStr">
        <is>
          <t>A payslip is split into P06 segments whenever compensation, template or statutory status changes inside the period. Each line shows its segment (fixes B-D1).</t>
        </is>
      </c>
      <c r="F107" t="inlineStr">
        <is>
          <t>Not started</t>
        </is>
      </c>
      <c r="H107">
        <f>IF(G107&lt;&gt;"",G107,F107)</f>
        <v/>
      </c>
      <c r="I107" t="n">
        <v>0</v>
      </c>
      <c r="J107" t="n">
        <v>0</v>
      </c>
      <c r="K107" t="n">
        <v>0</v>
      </c>
      <c r="L107" s="5" t="inlineStr"/>
      <c r="M107" s="5" t="n"/>
    </row>
    <row r="108">
      <c r="A108" t="inlineStr">
        <is>
          <t>YX-PAY-04</t>
        </is>
      </c>
      <c r="B108" t="inlineStr">
        <is>
          <t>M03</t>
        </is>
      </c>
      <c r="C108" t="inlineStr">
        <is>
          <t>YX-PAY</t>
        </is>
      </c>
      <c r="D108" t="inlineStr">
        <is>
          <t>5</t>
        </is>
      </c>
      <c r="E108" s="5" t="inlineStr">
        <is>
          <t>An employee can have only one regular payslip per period and pay group; overlapping runs are rejected (fixes B-D4, C-D6).</t>
        </is>
      </c>
      <c r="F108" t="inlineStr">
        <is>
          <t>Not started</t>
        </is>
      </c>
      <c r="H108">
        <f>IF(G108&lt;&gt;"",G108,F108)</f>
        <v/>
      </c>
      <c r="I108" t="n">
        <v>0</v>
      </c>
      <c r="J108" t="n">
        <v>0</v>
      </c>
      <c r="K108" t="n">
        <v>0</v>
      </c>
      <c r="L108" s="5" t="inlineStr"/>
      <c r="M108" s="5" t="n"/>
    </row>
    <row r="109">
      <c r="A109" t="inlineStr">
        <is>
          <t>YX-PAY-05</t>
        </is>
      </c>
      <c r="B109" t="inlineStr">
        <is>
          <t>M03</t>
        </is>
      </c>
      <c r="C109" t="inlineStr">
        <is>
          <t>YX-PAY</t>
        </is>
      </c>
      <c r="D109" t="inlineStr">
        <is>
          <t>5</t>
        </is>
      </c>
      <c r="E109" s="5" t="inlineStr">
        <is>
          <t>The pre-run validation runs before calculation. It checks for: missing or unverified bank details, missing / unverified / inoperative PAN (a warning, not a block — TDS then follows s.206AA, YX-TAX-10), missing UAN or ESI IP number for PF / ESI-eligible employees (E11), no compensation, attendance exceptions, negative net pay, pay below minimum wage or the national floor wage (P07, YX-PAY-22), the Code wage-definition add-back (YX-PAY-47), joiners and leavers, pending one-time pay, and impossible-value checks (G9, 26 Sep 2026): LOP days greater than the period's calendar days, pay or LOP for da</t>
        </is>
      </c>
      <c r="F109" t="inlineStr">
        <is>
          <t>Not started</t>
        </is>
      </c>
      <c r="H109">
        <f>IF(G109&lt;&gt;"",G109,F109)</f>
        <v/>
      </c>
      <c r="I109" t="n">
        <v>0</v>
      </c>
      <c r="J109" t="n">
        <v>0</v>
      </c>
      <c r="K109" t="n">
        <v>0</v>
      </c>
      <c r="L109" s="5" t="inlineStr"/>
      <c r="M109" s="5" t="n"/>
    </row>
    <row r="110">
      <c r="A110" t="inlineStr">
        <is>
          <t>YX-PAY-06</t>
        </is>
      </c>
      <c r="B110" t="inlineStr">
        <is>
          <t>M03</t>
        </is>
      </c>
      <c r="C110" t="inlineStr">
        <is>
          <t>YX-PAY</t>
        </is>
      </c>
      <c r="D110" t="inlineStr">
        <is>
          <t>5</t>
        </is>
      </c>
      <c r="E110" s="5" t="inlineStr">
        <is>
          <t>Variance review: every payslip is compared with the previous period. Changes above a threshold (default ±10 % net, or any new or removed component) must be acknowledged before approval.</t>
        </is>
      </c>
      <c r="F110" t="inlineStr">
        <is>
          <t>UI prototype only</t>
        </is>
      </c>
      <c r="H110">
        <f>IF(G110&lt;&gt;"",G110,F110)</f>
        <v/>
      </c>
      <c r="I110" t="n">
        <v>0</v>
      </c>
      <c r="J110" t="n">
        <v>0</v>
      </c>
      <c r="K110" t="n">
        <v>2</v>
      </c>
      <c r="L110" s="5" t="inlineStr"/>
      <c r="M110" s="5" t="n"/>
    </row>
    <row r="111">
      <c r="A111" t="inlineStr">
        <is>
          <t>YX-PAY-07</t>
        </is>
      </c>
      <c r="B111" t="inlineStr">
        <is>
          <t>M03</t>
        </is>
      </c>
      <c r="C111" t="inlineStr">
        <is>
          <t>YX-PAY</t>
        </is>
      </c>
      <c r="D111" t="inlineStr">
        <is>
          <t>5</t>
        </is>
      </c>
      <c r="E111" s="5" t="inlineStr">
        <is>
          <t>Approval follows the run's approval chain (Q2), with maker ≠ checker (P02 Q6). Inputs are frozen at the P08 cut-off / when processing starts; approval moves the period to locked (P08 YX-LOCK-04). Bank files, payslip publication and journals are only available after approval.</t>
        </is>
      </c>
      <c r="F111" t="inlineStr">
        <is>
          <t>UI prototype only</t>
        </is>
      </c>
      <c r="H111">
        <f>IF(G111&lt;&gt;"",G111,F111)</f>
        <v/>
      </c>
      <c r="I111" t="n">
        <v>0</v>
      </c>
      <c r="J111" t="n">
        <v>0</v>
      </c>
      <c r="K111" t="n">
        <v>2</v>
      </c>
      <c r="L111" s="5" t="inlineStr"/>
      <c r="M111" s="5" t="n"/>
    </row>
    <row r="112">
      <c r="A112" t="inlineStr">
        <is>
          <t>YX-PAY-08</t>
        </is>
      </c>
      <c r="B112" t="inlineStr">
        <is>
          <t>M03</t>
        </is>
      </c>
      <c r="C112" t="inlineStr">
        <is>
          <t>YX-PAY</t>
        </is>
      </c>
      <c r="D112" t="inlineStr">
        <is>
          <t>5</t>
        </is>
      </c>
      <c r="E112" s="5" t="inlineStr">
        <is>
          <t>A run is never deleted once it has been calculated. Cancelling marks it void, keeps its payslips as void, and is audited (fixes C-D5).</t>
        </is>
      </c>
      <c r="F112" t="inlineStr">
        <is>
          <t>Not started</t>
        </is>
      </c>
      <c r="H112">
        <f>IF(G112&lt;&gt;"",G112,F112)</f>
        <v/>
      </c>
      <c r="I112" t="n">
        <v>0</v>
      </c>
      <c r="J112" t="n">
        <v>0</v>
      </c>
      <c r="K112" t="n">
        <v>0</v>
      </c>
      <c r="L112" s="5" t="inlineStr"/>
      <c r="M112" s="5" t="n"/>
    </row>
    <row r="113">
      <c r="A113" t="inlineStr">
        <is>
          <t>YX-PAY-09</t>
        </is>
      </c>
      <c r="B113" t="inlineStr">
        <is>
          <t>M03</t>
        </is>
      </c>
      <c r="C113" t="inlineStr">
        <is>
          <t>YX-PAY</t>
        </is>
      </c>
      <c r="D113" t="inlineStr">
        <is>
          <t>5</t>
        </is>
      </c>
      <c r="E113" s="5" t="inlineStr">
        <is>
          <t>A withheld payslip is released per employee per run. Releasing it affects only that run (fixes C-D2), and the action is idempotent (fixes C-D3).</t>
        </is>
      </c>
      <c r="F113" t="inlineStr">
        <is>
          <t>Not started</t>
        </is>
      </c>
      <c r="H113">
        <f>IF(G113&lt;&gt;"",G113,F113)</f>
        <v/>
      </c>
      <c r="I113" t="n">
        <v>0</v>
      </c>
      <c r="J113" t="n">
        <v>0</v>
      </c>
      <c r="K113" t="n">
        <v>0</v>
      </c>
      <c r="L113" s="5" t="inlineStr"/>
      <c r="M113" s="5" t="n"/>
    </row>
    <row r="114">
      <c r="A114" t="inlineStr">
        <is>
          <t>YX-PAY-10</t>
        </is>
      </c>
      <c r="B114" t="inlineStr">
        <is>
          <t>M03</t>
        </is>
      </c>
      <c r="C114" t="inlineStr">
        <is>
          <t>YX-PAY</t>
        </is>
      </c>
      <c r="D114" t="inlineStr">
        <is>
          <t>5</t>
        </is>
      </c>
      <c r="E114" s="5" t="inlineStr">
        <is>
          <t>Year-to-date figures only count payslips of the same employment in that FY whose period ends on or before the current one (fixes B-D5, B-D6). Tax YTD, TDS and Form 130 are combined across employments per PAN × TAN × FY (YX-TAX-13).</t>
        </is>
      </c>
      <c r="F114" t="inlineStr">
        <is>
          <t>Not started</t>
        </is>
      </c>
      <c r="H114">
        <f>IF(G114&lt;&gt;"",G114,F114)</f>
        <v/>
      </c>
      <c r="I114" t="n">
        <v>0</v>
      </c>
      <c r="J114" t="n">
        <v>0</v>
      </c>
      <c r="K114" t="n">
        <v>0</v>
      </c>
      <c r="L114" s="5" t="inlineStr"/>
      <c r="M114" s="5" t="n"/>
    </row>
    <row r="115">
      <c r="A115" t="inlineStr">
        <is>
          <t>YX-PAY-11</t>
        </is>
      </c>
      <c r="B115" t="inlineStr">
        <is>
          <t>M03</t>
        </is>
      </c>
      <c r="C115" t="inlineStr">
        <is>
          <t>YX-PAY</t>
        </is>
      </c>
      <c r="D115" t="inlineStr">
        <is>
          <t>5</t>
        </is>
      </c>
      <c r="E115" s="5" t="inlineStr">
        <is>
          <t>Payroll recoveries (loan EMIs, expense-advance instalments from M05, other recoveries) are deducted in the order set by their schedules. If net pay would fall below the protected minimum (company setting), the recovery is deferred rather than creating negative pay. Outstanding balances go to F&amp;F.</t>
        </is>
      </c>
      <c r="F115" t="inlineStr">
        <is>
          <t>UI prototype only</t>
        </is>
      </c>
      <c r="H115">
        <f>IF(G115&lt;&gt;"",G115,F115)</f>
        <v/>
      </c>
      <c r="I115" t="n">
        <v>0</v>
      </c>
      <c r="J115" t="n">
        <v>0</v>
      </c>
      <c r="K115" t="n">
        <v>2</v>
      </c>
      <c r="L115" s="5" t="inlineStr"/>
      <c r="M115" s="5" t="n"/>
    </row>
    <row r="116">
      <c r="A116" t="inlineStr">
        <is>
          <t>YX-PAY-12</t>
        </is>
      </c>
      <c r="B116" t="inlineStr">
        <is>
          <t>M03</t>
        </is>
      </c>
      <c r="C116" t="inlineStr">
        <is>
          <t>YX-PAY</t>
        </is>
      </c>
      <c r="D116" t="inlineStr">
        <is>
          <t>5</t>
        </is>
      </c>
      <c r="E116" s="5" t="inlineStr">
        <is>
          <t>Every payslip line stores its explanation (formula, inputs, rule version). The payslip PDF and the "why this number" drawer are rendered from it.</t>
        </is>
      </c>
      <c r="F116" t="inlineStr">
        <is>
          <t>UI prototype only</t>
        </is>
      </c>
      <c r="H116">
        <f>IF(G116&lt;&gt;"",G116,F116)</f>
        <v/>
      </c>
      <c r="I116" t="n">
        <v>0</v>
      </c>
      <c r="J116" t="n">
        <v>0</v>
      </c>
      <c r="K116" t="n">
        <v>2</v>
      </c>
      <c r="L116" s="5" t="inlineStr"/>
      <c r="M116" s="5" t="n"/>
    </row>
    <row r="117">
      <c r="A117" t="inlineStr">
        <is>
          <t>YX-PAY-13</t>
        </is>
      </c>
      <c r="B117" t="inlineStr">
        <is>
          <t>M03</t>
        </is>
      </c>
      <c r="C117" t="inlineStr">
        <is>
          <t>YX-PAY</t>
        </is>
      </c>
      <c r="D117" t="inlineStr">
        <is>
          <t>5</t>
        </is>
      </c>
      <c r="E117" s="5" t="inlineStr">
        <is>
          <t>Bank files keep account numbers and IFSC codes as text (leading zeros preserved), include only approved, unwithheld, verified-account payslips, and are generated at most once per run unless regenerated with a reason (fixes D-D10, C-D4).</t>
        </is>
      </c>
      <c r="F117" t="inlineStr">
        <is>
          <t>Not started</t>
        </is>
      </c>
      <c r="H117">
        <f>IF(G117&lt;&gt;"",G117,F117)</f>
        <v/>
      </c>
      <c r="I117" t="n">
        <v>0</v>
      </c>
      <c r="J117" t="n">
        <v>0</v>
      </c>
      <c r="K117" t="n">
        <v>0</v>
      </c>
      <c r="L117" s="5" t="inlineStr"/>
      <c r="M117" s="5" t="n"/>
    </row>
    <row r="118">
      <c r="A118" t="inlineStr">
        <is>
          <t>YX-PAY-14</t>
        </is>
      </c>
      <c r="B118" t="inlineStr">
        <is>
          <t>M03</t>
        </is>
      </c>
      <c r="C118" t="inlineStr">
        <is>
          <t>YX-PAY</t>
        </is>
      </c>
      <c r="D118" t="inlineStr">
        <is>
          <t>5</t>
        </is>
      </c>
      <c r="E118" s="5" t="inlineStr">
        <is>
          <t>Payment status (paid / failed / returned) is recorded per payslip. Failed payments re-enter the next bank file or an off-cycle payment. On a return the employee is notified in the app (+ SMS, no amounts) to correct the bank details; the corrected account may skip the P02 §4.5 cooling period only after checker approval and a successful penny-drop; meanwhile payroll may pay to the employee's verified reimbursement account (D11).</t>
        </is>
      </c>
      <c r="F118" t="inlineStr">
        <is>
          <t>Not started</t>
        </is>
      </c>
      <c r="H118">
        <f>IF(G118&lt;&gt;"",G118,F118)</f>
        <v/>
      </c>
      <c r="I118" t="n">
        <v>0</v>
      </c>
      <c r="J118" t="n">
        <v>0</v>
      </c>
      <c r="K118" t="n">
        <v>0</v>
      </c>
      <c r="L118" s="5" t="inlineStr"/>
      <c r="M118" s="5" t="n"/>
    </row>
    <row r="119">
      <c r="A119" t="inlineStr">
        <is>
          <t>YX-PAY-15</t>
        </is>
      </c>
      <c r="B119" t="inlineStr">
        <is>
          <t>M03</t>
        </is>
      </c>
      <c r="C119" t="inlineStr">
        <is>
          <t>YX-PAY</t>
        </is>
      </c>
      <c r="D119" t="inlineStr">
        <is>
          <t>5</t>
        </is>
      </c>
      <c r="E119" s="5" t="inlineStr">
        <is>
          <t>Gratuity is provisioned monthly (last drawn gratuity wage × 15/26 × service years, capped at the statutory ceiling). Payment follows the law: 5 years of eligibility (fixed-term employees: pro-rata after 1 year of continuous service, Code on Social Security, in force 21 Nov 2025, P07 IN.SS-CODE), a final year of 6 months or more rounds up, cap from P07 (fixes D-D5); from 21 Nov 2025 the gratuity wage is the Code wage with the 50 % add-back (YX-PAY-47).</t>
        </is>
      </c>
      <c r="F119" t="inlineStr">
        <is>
          <t>UI prototype only</t>
        </is>
      </c>
      <c r="H119">
        <f>IF(G119&lt;&gt;"",G119,F119)</f>
        <v/>
      </c>
      <c r="I119" t="n">
        <v>0</v>
      </c>
      <c r="J119" t="n">
        <v>0</v>
      </c>
      <c r="K119" t="n">
        <v>2</v>
      </c>
      <c r="L119" s="5" t="inlineStr"/>
      <c r="M119" s="5" t="n"/>
    </row>
    <row r="120">
      <c r="A120" t="inlineStr">
        <is>
          <t>YX-PAY-16</t>
        </is>
      </c>
      <c r="B120" t="inlineStr">
        <is>
          <t>M03</t>
        </is>
      </c>
      <c r="C120" t="inlineStr">
        <is>
          <t>YX-PAY</t>
        </is>
      </c>
      <c r="D120" t="inlineStr">
        <is>
          <t>5</t>
        </is>
      </c>
      <c r="E120" s="5" t="inlineStr">
        <is>
          <t>Statutory bonus is computed per the Payment of Bonus Act rules in P07 (eligibility wage, calculation ceiling, 8.33–20 %). The payment method follows Q8.</t>
        </is>
      </c>
      <c r="F120" t="inlineStr">
        <is>
          <t>UI prototype only</t>
        </is>
      </c>
      <c r="H120">
        <f>IF(G120&lt;&gt;"",G120,F120)</f>
        <v/>
      </c>
      <c r="I120" t="n">
        <v>0</v>
      </c>
      <c r="J120" t="n">
        <v>0</v>
      </c>
      <c r="K120" t="n">
        <v>2</v>
      </c>
      <c r="L120" s="5" t="inlineStr"/>
      <c r="M120" s="5" t="n"/>
    </row>
    <row r="121">
      <c r="A121" t="inlineStr">
        <is>
          <t>YX-PAY-17</t>
        </is>
      </c>
      <c r="B121" t="inlineStr">
        <is>
          <t>M03</t>
        </is>
      </c>
      <c r="C121" t="inlineStr">
        <is>
          <t>YX-PAY</t>
        </is>
      </c>
      <c r="D121" t="inlineStr">
        <is>
          <t>5</t>
        </is>
      </c>
      <c r="E121" s="5" t="inlineStr">
        <is>
          <t>The PF wage comes from component flags, not names (fixes IN-D7). Employer EPF, EPS and EDLI, plus admin charges, are computed on every payslip and included in CTC (fixes IN-D1, IN-D2). This covers the pre-2014 EPS rule, the age-58 EPS stop, and international workers.</t>
        </is>
      </c>
      <c r="F121" t="inlineStr">
        <is>
          <t>UI prototype only</t>
        </is>
      </c>
      <c r="H121">
        <f>IF(G121&lt;&gt;"",G121,F121)</f>
        <v/>
      </c>
      <c r="I121" t="n">
        <v>0</v>
      </c>
      <c r="J121" t="n">
        <v>0</v>
      </c>
      <c r="K121" t="n">
        <v>2</v>
      </c>
      <c r="L121" s="5" t="inlineStr"/>
      <c r="M121" s="5" t="n"/>
    </row>
    <row r="122">
      <c r="A122" t="inlineStr">
        <is>
          <t>YX-PAY-18</t>
        </is>
      </c>
      <c r="B122" t="inlineStr">
        <is>
          <t>M03</t>
        </is>
      </c>
      <c r="C122" t="inlineStr">
        <is>
          <t>YX-PAY</t>
        </is>
      </c>
      <c r="D122" t="inlineStr">
        <is>
          <t>5</t>
        </is>
      </c>
      <c r="E122" s="5" t="inlineStr">
        <is>
          <t>ESI coverage is tested on the contribution-period wage and continues until the period ends. Amounts are rounded up to the next rupee, and the daily-wage exemption applies (fixes IN-D4, IN-D5).</t>
        </is>
      </c>
      <c r="F122" t="inlineStr">
        <is>
          <t>UI prototype only</t>
        </is>
      </c>
      <c r="H122">
        <f>IF(G122&lt;&gt;"",G122,F122)</f>
        <v/>
      </c>
      <c r="I122" t="n">
        <v>0</v>
      </c>
      <c r="J122" t="n">
        <v>0</v>
      </c>
      <c r="K122" t="n">
        <v>2</v>
      </c>
      <c r="L122" s="5" t="inlineStr"/>
      <c r="M122" s="5" t="n"/>
    </row>
    <row r="123">
      <c r="A123" t="inlineStr">
        <is>
          <t>YX-PAY-19</t>
        </is>
      </c>
      <c r="B123" t="inlineStr">
        <is>
          <t>M03</t>
        </is>
      </c>
      <c r="C123" t="inlineStr">
        <is>
          <t>YX-PAY</t>
        </is>
      </c>
      <c r="D123" t="inlineStr">
        <is>
          <t>5</t>
        </is>
      </c>
      <c r="E123" s="5" t="inlineStr">
        <is>
          <t>PT and LWF follow the employee's work-location state on the deduction date. State slabs, frequency, annual caps (e.g. ₹2,500 PT) and the deduction month come from P07. One deduction per period per employment (fixes IN-D6, IN-D10).</t>
        </is>
      </c>
      <c r="F123" t="inlineStr">
        <is>
          <t>Not started</t>
        </is>
      </c>
      <c r="H123">
        <f>IF(G123&lt;&gt;"",G123,F123)</f>
        <v/>
      </c>
      <c r="I123" t="n">
        <v>0</v>
      </c>
      <c r="J123" t="n">
        <v>0</v>
      </c>
      <c r="K123" t="n">
        <v>0</v>
      </c>
      <c r="L123" s="5" t="inlineStr"/>
      <c r="M123" s="5" t="n"/>
    </row>
    <row r="124">
      <c r="A124" t="inlineStr">
        <is>
          <t>YX-PAY-20</t>
        </is>
      </c>
      <c r="B124" t="inlineStr">
        <is>
          <t>M03</t>
        </is>
      </c>
      <c r="C124" t="inlineStr">
        <is>
          <t>YX-PAY</t>
        </is>
      </c>
      <c r="D124" t="inlineStr">
        <is>
          <t>5</t>
        </is>
      </c>
      <c r="E124" s="5" t="inlineStr">
        <is>
          <t>Registers (formats from P07 IN.REGISTERS, YX-PAY-39; APX-C RPT-STAT-13) and returns read the statutory values stored on the payslip at calculation time, never the employee's current settings (fixes IN-D3).</t>
        </is>
      </c>
      <c r="F124" t="inlineStr">
        <is>
          <t>Not started</t>
        </is>
      </c>
      <c r="H124">
        <f>IF(G124&lt;&gt;"",G124,F124)</f>
        <v/>
      </c>
      <c r="I124" t="n">
        <v>0</v>
      </c>
      <c r="J124" t="n">
        <v>0</v>
      </c>
      <c r="K124" t="n">
        <v>0</v>
      </c>
      <c r="L124" s="5" t="inlineStr"/>
      <c r="M124" s="5" t="n"/>
    </row>
    <row r="125">
      <c r="A125" t="inlineStr">
        <is>
          <t>YX-PAY-21</t>
        </is>
      </c>
      <c r="B125" t="inlineStr">
        <is>
          <t>M03</t>
        </is>
      </c>
      <c r="C125" t="inlineStr">
        <is>
          <t>YX-PAY</t>
        </is>
      </c>
      <c r="D125" t="inlineStr">
        <is>
          <t>5</t>
        </is>
      </c>
      <c r="E125" s="5" t="inlineStr">
        <is>
          <t xml:space="preserve">Statutory files (ECR, ESI, PT, LWF, Form 138 / Form 140) are generated per entity, statute and period. They can only be downloaded by the payroll scope, and each download is audited (fixes IN-D8). A period can only be generated once; before it is filed it can be regenerated with a reason (fixes IN-D9); after filing the filed file is never regenerated or re-uploaded — a correction produces a linked supplementary filing (YX-PAY-51; J20). The filing path is set per entity: PF / ESI / PT / LWF by HR upload or by the compliance partner (Q7(c): transmitted to the partner, statuses synced back); TDS </t>
        </is>
      </c>
      <c r="F125" t="inlineStr">
        <is>
          <t>Not started</t>
        </is>
      </c>
      <c r="H125">
        <f>IF(G125&lt;&gt;"",G125,F125)</f>
        <v/>
      </c>
      <c r="I125" t="n">
        <v>0</v>
      </c>
      <c r="J125" t="n">
        <v>0</v>
      </c>
      <c r="K125" t="n">
        <v>0</v>
      </c>
      <c r="L125" s="5" t="inlineStr"/>
      <c r="M125" s="5" t="n"/>
    </row>
    <row r="126">
      <c r="A126" t="inlineStr">
        <is>
          <t>YX-PAY-22</t>
        </is>
      </c>
      <c r="B126" t="inlineStr">
        <is>
          <t>M03</t>
        </is>
      </c>
      <c r="C126" t="inlineStr">
        <is>
          <t>YX-PAY</t>
        </is>
      </c>
      <c r="D126" t="inlineStr">
        <is>
          <t>5</t>
        </is>
      </c>
      <c r="E126" s="5" t="inlineStr">
        <is>
          <t>The minimum-wage check (P07) runs in pre-run validation and on compensation changes. It warns when the wage is below the applicable minimum = max(state rate for the location's zone and the assignment's skill category, national floor wage) (P07 YX-STAT-22; C1).</t>
        </is>
      </c>
      <c r="F126" t="inlineStr">
        <is>
          <t>UI prototype only</t>
        </is>
      </c>
      <c r="H126">
        <f>IF(G126&lt;&gt;"",G126,F126)</f>
        <v/>
      </c>
      <c r="I126" t="n">
        <v>0</v>
      </c>
      <c r="J126" t="n">
        <v>0</v>
      </c>
      <c r="K126" t="n">
        <v>2</v>
      </c>
      <c r="L126" s="5" t="inlineStr"/>
      <c r="M126" s="5" t="n"/>
    </row>
    <row r="127">
      <c r="A127" t="inlineStr">
        <is>
          <t>YX-PAY-23</t>
        </is>
      </c>
      <c r="B127" t="inlineStr">
        <is>
          <t>M03</t>
        </is>
      </c>
      <c r="C127" t="inlineStr">
        <is>
          <t>YX-PAY</t>
        </is>
      </c>
      <c r="D127" t="inlineStr">
        <is>
          <t>5</t>
        </is>
      </c>
      <c r="E127" s="5" t="inlineStr">
        <is>
          <t>While an employee is suspended pending inquiry (M08 Q5), the run pays a subsistence-allowance component at the P07 rate (state standing orders) instead of normal pay, until the suspension ends.</t>
        </is>
      </c>
      <c r="F127" t="inlineStr">
        <is>
          <t>Not started</t>
        </is>
      </c>
      <c r="H127">
        <f>IF(G127&lt;&gt;"",G127,F127)</f>
        <v/>
      </c>
      <c r="I127" t="n">
        <v>0</v>
      </c>
      <c r="J127" t="n">
        <v>0</v>
      </c>
      <c r="K127" t="n">
        <v>0</v>
      </c>
      <c r="L127" s="5" t="inlineStr"/>
      <c r="M127" s="5" t="n"/>
    </row>
    <row r="128">
      <c r="A128" t="inlineStr">
        <is>
          <t>YX-PAY-24</t>
        </is>
      </c>
      <c r="B128" t="inlineStr">
        <is>
          <t>M03</t>
        </is>
      </c>
      <c r="C128" t="inlineStr">
        <is>
          <t>YX-PAY</t>
        </is>
      </c>
      <c r="D128" t="inlineStr">
        <is>
          <t>5</t>
        </is>
      </c>
      <c r="E128" s="5" t="inlineStr">
        <is>
          <t>A compensation's pay basis is monthly CTC, fixed amounts, or an hourly / daily rate with OT and holiday multipliers (from the M10 rate card for placements). Rate-based pay = approved hours (or days) from the M02 timesheet hours feed × rate × the category multiplier; unapproved hours are never paid. Each rate-based payslip line carries its placement_id for margin reporting (D4).</t>
        </is>
      </c>
      <c r="F128" t="inlineStr">
        <is>
          <t>Not started</t>
        </is>
      </c>
      <c r="H128">
        <f>IF(G128&lt;&gt;"",G128,F128)</f>
        <v/>
      </c>
      <c r="I128" t="n">
        <v>0</v>
      </c>
      <c r="J128" t="n">
        <v>0</v>
      </c>
      <c r="K128" t="n">
        <v>0</v>
      </c>
      <c r="L128" s="5" t="inlineStr"/>
      <c r="M128" s="5" t="n"/>
    </row>
    <row r="129">
      <c r="A129" t="inlineStr">
        <is>
          <t>YX-PAY-25</t>
        </is>
      </c>
      <c r="B129" t="inlineStr">
        <is>
          <t>M03</t>
        </is>
      </c>
      <c r="C129" t="inlineStr">
        <is>
          <t>YX-PAY</t>
        </is>
      </c>
      <c r="D129" t="inlineStr">
        <is>
          <t>5</t>
        </is>
      </c>
      <c r="E129" s="5" t="inlineStr">
        <is>
          <t>An employee can raise a query on a payslip in the app; it lands in the Payroll Admin query queue, the reply stays in the app (P04 Q6), and each query is audited. From wave 5 the queue migrates into the M08 helpdesk payroll queue (D13).</t>
        </is>
      </c>
      <c r="F129" t="inlineStr">
        <is>
          <t>Not started</t>
        </is>
      </c>
      <c r="H129">
        <f>IF(G129&lt;&gt;"",G129,F129)</f>
        <v/>
      </c>
      <c r="I129" t="n">
        <v>0</v>
      </c>
      <c r="J129" t="n">
        <v>0</v>
      </c>
      <c r="K129" t="n">
        <v>0</v>
      </c>
      <c r="L129" s="5" t="inlineStr"/>
      <c r="M129" s="5" t="n"/>
    </row>
    <row r="130">
      <c r="A130" t="inlineStr">
        <is>
          <t>YX-PAY-26</t>
        </is>
      </c>
      <c r="B130" t="inlineStr">
        <is>
          <t>M03</t>
        </is>
      </c>
      <c r="C130" t="inlineStr">
        <is>
          <t>YX-PAY</t>
        </is>
      </c>
      <c r="D130" t="inlineStr">
        <is>
          <t>5</t>
        </is>
      </c>
      <c r="E130" s="5" t="inlineStr">
        <is>
          <t>Maternity benefit = average daily wage of the preceding 3 calendar months × maternity days (P07 formula), plus the ₹3,500 medical bonus when no pre / post-natal care is provided. ESIC-covered employees get no employer maternity payment (ESIC pays; the leave is still recorded in M02 YX-LV-10). A company top-up to full salary is optional (starter template: off, D17); the company may pay more, never less.</t>
        </is>
      </c>
      <c r="F130" t="inlineStr">
        <is>
          <t>Not started</t>
        </is>
      </c>
      <c r="H130">
        <f>IF(G130&lt;&gt;"",G130,F130)</f>
        <v/>
      </c>
      <c r="I130" t="n">
        <v>0</v>
      </c>
      <c r="J130" t="n">
        <v>0</v>
      </c>
      <c r="K130" t="n">
        <v>0</v>
      </c>
      <c r="L130" s="5" t="inlineStr"/>
      <c r="M130" s="5" t="n"/>
    </row>
    <row r="131">
      <c r="A131" t="inlineStr">
        <is>
          <t>YX-PAY-27</t>
        </is>
      </c>
      <c r="B131" t="inlineStr">
        <is>
          <t>M03</t>
        </is>
      </c>
      <c r="C131" t="inlineStr">
        <is>
          <t>YX-PAY</t>
        </is>
      </c>
      <c r="D131" t="inlineStr">
        <is>
          <t>5</t>
        </is>
      </c>
      <c r="E131" s="5" t="inlineStr">
        <is>
          <t>F&amp;F on death in service is paid to the nominees by their share %, each to a verified bank account; with no valid nomination, to the legal heir(s) on documents verified by HR. TDS on heir payments and the gratuity 5-year waiver follow P07 (YX-TAX-12). Company ex-gratia or salary continuation from the M01 support policy is a one-time pay line in the same off-cycle run.</t>
        </is>
      </c>
      <c r="F131" t="inlineStr">
        <is>
          <t>Not started</t>
        </is>
      </c>
      <c r="H131">
        <f>IF(G131&lt;&gt;"",G131,F131)</f>
        <v/>
      </c>
      <c r="I131" t="n">
        <v>0</v>
      </c>
      <c r="J131" t="n">
        <v>0</v>
      </c>
      <c r="K131" t="n">
        <v>0</v>
      </c>
      <c r="L131" s="5" t="inlineStr"/>
      <c r="M131" s="5" t="n"/>
    </row>
    <row r="132">
      <c r="A132" t="inlineStr">
        <is>
          <t>YX-PAY-28</t>
        </is>
      </c>
      <c r="B132" t="inlineStr">
        <is>
          <t>M03</t>
        </is>
      </c>
      <c r="C132" t="inlineStr">
        <is>
          <t>YX-PAY</t>
        </is>
      </c>
      <c r="D132" t="inlineStr">
        <is>
          <t>5</t>
        </is>
      </c>
      <c r="E132" s="5" t="inlineStr">
        <is>
          <t>A salary hold carries a reason code (absconding, pending documents, disciplinary, bank failure, exit clearance, other). Holds are raised automatically by triggers — the M01 absconding timeline, a failed / returned payment (YX-PAY-14), exit clearance pending — or manually with a reason. While held, PF / ESI / TDS are still computed and deposited on the accrued pay; only the net is held. Release goes into the next bank file or an off-cycle payment (YX-PAY-09). A hold-ageing report lists holds by age and reason.</t>
        </is>
      </c>
      <c r="F132" t="inlineStr">
        <is>
          <t>Not started</t>
        </is>
      </c>
      <c r="H132">
        <f>IF(G132&lt;&gt;"",G132,F132)</f>
        <v/>
      </c>
      <c r="I132" t="n">
        <v>0</v>
      </c>
      <c r="J132" t="n">
        <v>0</v>
      </c>
      <c r="K132" t="n">
        <v>0</v>
      </c>
      <c r="L132" s="5" t="inlineStr"/>
      <c r="M132" s="5" t="n"/>
    </row>
    <row r="133">
      <c r="A133" t="inlineStr">
        <is>
          <t>YX-PAY-29</t>
        </is>
      </c>
      <c r="B133" t="inlineStr">
        <is>
          <t>M03</t>
        </is>
      </c>
      <c r="C133" t="inlineStr">
        <is>
          <t>YX-PAY</t>
        </is>
      </c>
      <c r="D133" t="inlineStr">
        <is>
          <t>5</t>
        </is>
      </c>
      <c r="E133" s="5" t="inlineStr">
        <is>
          <t>Pay never goes out negative: a negative net is set to zero and the shortfall becomes a carry-forward balance, recovered automatically in the next runs (within YX-PAY-11 protected net and YX-PAY-32 cap) and finally in F&amp;F.</t>
        </is>
      </c>
      <c r="F133" t="inlineStr">
        <is>
          <t>UI prototype only</t>
        </is>
      </c>
      <c r="H133">
        <f>IF(G133&lt;&gt;"",G133,F133)</f>
        <v/>
      </c>
      <c r="I133" t="n">
        <v>0</v>
      </c>
      <c r="J133" t="n">
        <v>0</v>
      </c>
      <c r="K133" t="n">
        <v>2</v>
      </c>
      <c r="L133" s="5" t="inlineStr"/>
      <c r="M133" s="5" t="n"/>
    </row>
    <row r="134">
      <c r="A134" t="inlineStr">
        <is>
          <t>YX-PAY-30</t>
        </is>
      </c>
      <c r="B134" t="inlineStr">
        <is>
          <t>M03</t>
        </is>
      </c>
      <c r="C134" t="inlineStr">
        <is>
          <t>YX-PAY</t>
        </is>
      </c>
      <c r="D134" t="inlineStr">
        <is>
          <t>5</t>
        </is>
      </c>
      <c r="E134" s="5" t="inlineStr">
        <is>
          <t>An overpayment is recovered by an instalment plan recorded with the employee's consent (P05 acknowledgement); a recovery crossing the FY is reported in the correct year (arrears / relief u/s 89(1), Form 10E data); a write-off needs approval with a reason and is audited.</t>
        </is>
      </c>
      <c r="F134" t="inlineStr">
        <is>
          <t>Not started</t>
        </is>
      </c>
      <c r="H134">
        <f>IF(G134&lt;&gt;"",G134,F134)</f>
        <v/>
      </c>
      <c r="I134" t="n">
        <v>0</v>
      </c>
      <c r="J134" t="n">
        <v>0</v>
      </c>
      <c r="K134" t="n">
        <v>0</v>
      </c>
      <c r="L134" s="5" t="inlineStr"/>
      <c r="M134" s="5" t="n"/>
    </row>
    <row r="135">
      <c r="A135" t="inlineStr">
        <is>
          <t>YX-PAY-31</t>
        </is>
      </c>
      <c r="B135" t="inlineStr">
        <is>
          <t>M03</t>
        </is>
      </c>
      <c r="C135" t="inlineStr">
        <is>
          <t>YX-PAY</t>
        </is>
      </c>
      <c r="D135" t="inlineStr">
        <is>
          <t>5</t>
        </is>
      </c>
      <c r="E135" s="5" t="inlineStr">
        <is>
          <t>payment_mode is bank by default. Cash / cheque is available only where the company enables it (D17) and needs a reason, approval and audit per employee. Such payslips go to a disbursement register (not the bank file); paid status is captured with a signature / acknowledgement upload and reconciled against the run before the period is closed.</t>
        </is>
      </c>
      <c r="F135" t="inlineStr">
        <is>
          <t>Not started</t>
        </is>
      </c>
      <c r="H135">
        <f>IF(G135&lt;&gt;"",G135,F135)</f>
        <v/>
      </c>
      <c r="I135" t="n">
        <v>0</v>
      </c>
      <c r="J135" t="n">
        <v>0</v>
      </c>
      <c r="K135" t="n">
        <v>0</v>
      </c>
      <c r="L135" s="5" t="inlineStr"/>
      <c r="M135" s="5" t="n"/>
    </row>
    <row r="136">
      <c r="A136" t="inlineStr">
        <is>
          <t>YX-PAY-32</t>
        </is>
      </c>
      <c r="B136" t="inlineStr">
        <is>
          <t>M03</t>
        </is>
      </c>
      <c r="C136" t="inlineStr">
        <is>
          <t>YX-PAY</t>
        </is>
      </c>
      <c r="D136" t="inlineStr">
        <is>
          <t>5</t>
        </is>
      </c>
      <c r="E136" s="5" t="inlineStr">
        <is>
          <t>Court attachment / garnishment deductions apply after statutory deductions and before other recoveries (loans, advances, carry-forwards), in order-date priority among orders, until the order amount or end date; remittance to the court / payee is tracked. The total of all deductions is capped per the Payment of Wages Act / Code on Wages (P07 parameter, e.g. 50 %, 75 % where co-operative society dues are included); lower-priority deductions are deferred to stay within the cap (law, not company policy).</t>
        </is>
      </c>
      <c r="F136" t="inlineStr">
        <is>
          <t>Not started</t>
        </is>
      </c>
      <c r="H136">
        <f>IF(G136&lt;&gt;"",G136,F136)</f>
        <v/>
      </c>
      <c r="I136" t="n">
        <v>0</v>
      </c>
      <c r="J136" t="n">
        <v>0</v>
      </c>
      <c r="K136" t="n">
        <v>0</v>
      </c>
      <c r="L136" s="5" t="inlineStr"/>
      <c r="M136" s="5" t="n"/>
    </row>
    <row r="137">
      <c r="A137" t="inlineStr">
        <is>
          <t>YX-PAY-33</t>
        </is>
      </c>
      <c r="B137" t="inlineStr">
        <is>
          <t>M03</t>
        </is>
      </c>
      <c r="C137" t="inlineStr">
        <is>
          <t>YX-PAY</t>
        </is>
      </c>
      <c r="D137" t="inlineStr">
        <is>
          <t>5</t>
        </is>
      </c>
      <c r="E137" s="5" t="inlineStr">
        <is>
          <t>Arrears and special statutory cases (P07): PF / ESI / PT on arrears follow the P07 basis rules (PF and ESI attributed to the period the arrear relates to where the rule says so); an EPS higher-pension option flag on employee_statutory drives EPS on actual wage; international workers get the monthly IW-1 return.</t>
        </is>
      </c>
      <c r="F137" t="inlineStr">
        <is>
          <t>Not started</t>
        </is>
      </c>
      <c r="H137">
        <f>IF(G137&lt;&gt;"",G137,F137)</f>
        <v/>
      </c>
      <c r="I137" t="n">
        <v>0</v>
      </c>
      <c r="J137" t="n">
        <v>0</v>
      </c>
      <c r="K137" t="n">
        <v>0</v>
      </c>
      <c r="L137" s="5" t="inlineStr"/>
      <c r="M137" s="5" t="n"/>
    </row>
    <row r="138">
      <c r="A138" t="inlineStr">
        <is>
          <t>YX-PAY-34</t>
        </is>
      </c>
      <c r="B138" t="inlineStr">
        <is>
          <t>M03</t>
        </is>
      </c>
      <c r="C138" t="inlineStr">
        <is>
          <t>YX-PAY</t>
        </is>
      </c>
      <c r="D138" t="inlineStr">
        <is>
          <t>5</t>
        </is>
      </c>
      <c r="E138" s="5" t="inlineStr">
        <is>
          <t>Calculation, submission, publication and file generation show per-employee progress and result inline; a run changes status only when every payslip succeeded; a failure names the employee, record and field with a Fix link (YX-API-07), never a generic banner (fixes U27, U25).</t>
        </is>
      </c>
      <c r="F138" t="inlineStr">
        <is>
          <t>UI prototype only</t>
        </is>
      </c>
      <c r="H138">
        <f>IF(G138&lt;&gt;"",G138,F138)</f>
        <v/>
      </c>
      <c r="I138" t="n">
        <v>0</v>
      </c>
      <c r="J138" t="n">
        <v>0</v>
      </c>
      <c r="K138" t="n">
        <v>2</v>
      </c>
      <c r="L138" s="5" t="inlineStr"/>
      <c r="M138" s="5" t="n"/>
    </row>
    <row r="139">
      <c r="A139" t="inlineStr">
        <is>
          <t>YX-PAY-35</t>
        </is>
      </c>
      <c r="B139" t="inlineStr">
        <is>
          <t>M03</t>
        </is>
      </c>
      <c r="C139" t="inlineStr">
        <is>
          <t>YX-PAY</t>
        </is>
      </c>
      <c r="D139" t="inlineStr">
        <is>
          <t>5</t>
        </is>
      </c>
      <c r="E139" s="5" t="inlineStr">
        <is>
          <t>The payslip is rendered from a payslip layout template per legal entity (optionally per pay group), a P05 template of kind "payslip" in the single render pipeline (YX-DOC-15, APX-F #27): sections, component order and grouping, employer-contribution box, YTD, days strip, languages, logo, no empty columns, one totals block; P07 mandatory wage-slip fields are locked (YX-DOC-22). Edited on Settings › Payroll › Payslip layout with a sample-employee preview; a published payslip keeps its layout version (fixes U33).</t>
        </is>
      </c>
      <c r="F139" t="inlineStr">
        <is>
          <t>Not started</t>
        </is>
      </c>
      <c r="H139">
        <f>IF(G139&lt;&gt;"",G139,F139)</f>
        <v/>
      </c>
      <c r="I139" t="n">
        <v>0</v>
      </c>
      <c r="J139" t="n">
        <v>0</v>
      </c>
      <c r="K139" t="n">
        <v>0</v>
      </c>
      <c r="L139" s="5" t="inlineStr"/>
      <c r="M139" s="5" t="n"/>
    </row>
    <row r="140">
      <c r="A140" t="inlineStr">
        <is>
          <t>YX-PAY-36</t>
        </is>
      </c>
      <c r="B140" t="inlineStr">
        <is>
          <t>M03</t>
        </is>
      </c>
      <c r="C140" t="inlineStr">
        <is>
          <t>YX-PAY</t>
        </is>
      </c>
      <c r="D140" t="inlineStr">
        <is>
          <t>5</t>
        </is>
      </c>
      <c r="E140" s="5" t="inlineStr">
        <is>
          <t>Deductor and responsible-person details (TAN, address, responsible person) come from the entity's statutory set-up (statutory_registrations), never retyped per return; switching a statute on for an entity runs a completeness check of its required fields and blocks generation until complete. Each TDS return shows a deposit-vs-deduction reconciliation (APX-C RPT-STAT-01) and flags any difference, however small, before FVU validation (fixes U47, U40).</t>
        </is>
      </c>
      <c r="F140" t="inlineStr">
        <is>
          <t>Not started</t>
        </is>
      </c>
      <c r="H140">
        <f>IF(G140&lt;&gt;"",G140,F140)</f>
        <v/>
      </c>
      <c r="I140" t="n">
        <v>0</v>
      </c>
      <c r="J140" t="n">
        <v>0</v>
      </c>
      <c r="K140" t="n">
        <v>0</v>
      </c>
      <c r="L140" s="5" t="inlineStr"/>
      <c r="M140" s="5" t="n"/>
    </row>
    <row r="141">
      <c r="A141" t="inlineStr">
        <is>
          <t>YX-PAY-37</t>
        </is>
      </c>
      <c r="B141" t="inlineStr">
        <is>
          <t>M03</t>
        </is>
      </c>
      <c r="C141" t="inlineStr">
        <is>
          <t>YX-PAY</t>
        </is>
      </c>
      <c r="D141" t="inlineStr">
        <is>
          <t>5</t>
        </is>
      </c>
      <c r="E141" s="5" t="inlineStr">
        <is>
          <t>Consultant register (A8): a consultant is paid only when PAN (or its recorded absence, YX-TAX-16), a bank account verified per P10 (penny-drop; P02 §4.5 cooling on change) and a default TDS section are recorded; a GSTIN is validated when given. Consultants are never employees: no payslip, PF, ESI, PT, LWF, gratuity or bonus, and they never appear in employee registers or headcount.</t>
        </is>
      </c>
      <c r="F141" t="inlineStr">
        <is>
          <t>Not started</t>
        </is>
      </c>
      <c r="H141">
        <f>IF(G141&lt;&gt;"",G141,F141)</f>
        <v/>
      </c>
      <c r="I141" t="n">
        <v>0</v>
      </c>
      <c r="J141" t="n">
        <v>0</v>
      </c>
      <c r="K141" t="n">
        <v>0</v>
      </c>
      <c r="L141" s="5" t="inlineStr"/>
      <c r="M141" s="5" t="n"/>
    </row>
    <row r="142">
      <c r="A142" t="inlineStr">
        <is>
          <t>YX-PAY-38</t>
        </is>
      </c>
      <c r="B142" t="inlineStr">
        <is>
          <t>M03</t>
        </is>
      </c>
      <c r="C142" t="inlineStr">
        <is>
          <t>YX-PAY</t>
        </is>
      </c>
      <c r="D142" t="inlineStr">
        <is>
          <t>5</t>
        </is>
      </c>
      <c r="E142" s="5" t="inlineStr">
        <is>
          <t xml:space="preserve">Consultant invoices (A8): one or more invoices per consultant per month, uploaded by the consultant (Consultant login, P02 §4.7) or by HR; a duplicate invoice no. per consultant × FY is rejected. Each invoice is approved through P03 (maker ≠ checker, P02 Q6); approved invoices for the period are paid in the same bank file / payout as the month's run (or an off-cycle payment) with per-invoice payment status (YX-PAY-13/14 apply). GST (GSTIN, invoice no., taxable value, tax split) is captured for input credit and passed to the accounting journal (P10 Q7) with TDS payable by section. A consultant </t>
        </is>
      </c>
      <c r="F142" t="inlineStr">
        <is>
          <t>Not started</t>
        </is>
      </c>
      <c r="H142">
        <f>IF(G142&lt;&gt;"",G142,F142)</f>
        <v/>
      </c>
      <c r="I142" t="n">
        <v>0</v>
      </c>
      <c r="J142" t="n">
        <v>0</v>
      </c>
      <c r="K142" t="n">
        <v>0</v>
      </c>
      <c r="L142" s="5" t="inlineStr"/>
      <c r="M142" s="5" t="n"/>
    </row>
    <row r="143">
      <c r="A143" t="inlineStr">
        <is>
          <t>YX-PAY-39</t>
        </is>
      </c>
      <c r="B143" t="inlineStr">
        <is>
          <t>M03</t>
        </is>
      </c>
      <c r="C143" t="inlineStr">
        <is>
          <t>YX-PAY</t>
        </is>
      </c>
      <c r="D143" t="inlineStr">
        <is>
          <t>5</t>
        </is>
      </c>
      <c r="E143" s="5" t="inlineStr">
        <is>
          <t>Always-on digital registers (A9): every register that P07 IN.REGISTERS requires for the entity's locations (format valid on the period date, per state: labour-code unified registers — wages, attendance / muster, deductions, fines, advances, overtime, leave, bonus, maternity, accidents where applicable — plus legacy state S&amp;E / Factories Act formats where still required) is generated monthly from payslips (stored statutory values, YX-PAY-20) and attendance (the accidents register from closed M08 workplace accident cases, YX-CASE-14; J6), frozen when the period locks (P08 YX-LOCK-04), signed wit</t>
        </is>
      </c>
      <c r="F143" t="inlineStr">
        <is>
          <t>Not started</t>
        </is>
      </c>
      <c r="H143">
        <f>IF(G143&lt;&gt;"",G143,F143)</f>
        <v/>
      </c>
      <c r="I143" t="n">
        <v>0</v>
      </c>
      <c r="J143" t="n">
        <v>0</v>
      </c>
      <c r="K143" t="n">
        <v>0</v>
      </c>
      <c r="L143" s="5" t="inlineStr"/>
      <c r="M143" s="5" t="n"/>
    </row>
    <row r="144">
      <c r="A144" t="inlineStr">
        <is>
          <t>YX-PAY-40</t>
        </is>
      </c>
      <c r="B144" t="inlineStr">
        <is>
          <t>M03</t>
        </is>
      </c>
      <c r="C144" t="inlineStr">
        <is>
          <t>YX-PAY</t>
        </is>
      </c>
      <c r="D144" t="inlineStr">
        <is>
          <t>5</t>
        </is>
      </c>
      <c r="E144" s="5" t="inlineStr">
        <is>
          <t xml:space="preserve">EWA limits (B10): a draw is allowed only when the company's EWA policy is on for the employee's group, the employee meets its eligibility (starter: confirmed, not serving notice, no active salary hold) and the period is outside the blackout days; the available amount = policy % × earned-to-date (computed from M02 payable days so far, net of draws and deductions already due) within the per-draw min / max and draws-per-period limit; the fee (partner price, who pays it) and the recovery date are shown in rupees and accepted by the employee before the draw is sent. Earned-to-date is recomputed on </t>
        </is>
      </c>
      <c r="F144" t="inlineStr">
        <is>
          <t>UI prototype only</t>
        </is>
      </c>
      <c r="H144">
        <f>IF(G144&lt;&gt;"",G144,F144)</f>
        <v/>
      </c>
      <c r="I144" t="n">
        <v>0</v>
      </c>
      <c r="J144" t="n">
        <v>0</v>
      </c>
      <c r="K144" t="n">
        <v>2</v>
      </c>
      <c r="L144" s="5" t="inlineStr"/>
      <c r="M144" s="5" t="n"/>
    </row>
    <row r="145">
      <c r="A145" t="inlineStr">
        <is>
          <t>YX-PAY-41</t>
        </is>
      </c>
      <c r="B145" t="inlineStr">
        <is>
          <t>M03</t>
        </is>
      </c>
      <c r="C145" t="inlineStr">
        <is>
          <t>YX-PAY</t>
        </is>
      </c>
      <c r="D145" t="inlineStr">
        <is>
          <t>5</t>
        </is>
      </c>
      <c r="E145" s="5" t="inlineStr">
        <is>
          <t>EWA recovery (B10): every disbursed draw is recovered in full as a named deduction in the next regular payroll of the same employment (after statutory deductions, before other recoveries, inside the YX-PAY-32 total cap — a draw can never exceed what that cap leaves); partner-funded draws are remitted to the partner with the run's bank file / payout and reconciled per draw; if the employee exits, the balance goes to F&amp;F (M01 YX-LC-07). With partner funding, a shortfall the payroll cannot recover is the partner's risk per the partner agreement, never charged to the employer; employer-funded draw</t>
        </is>
      </c>
      <c r="F145" t="inlineStr">
        <is>
          <t>Not started</t>
        </is>
      </c>
      <c r="H145">
        <f>IF(G145&lt;&gt;"",G145,F145)</f>
        <v/>
      </c>
      <c r="I145" t="n">
        <v>0</v>
      </c>
      <c r="J145" t="n">
        <v>0</v>
      </c>
      <c r="K145" t="n">
        <v>0</v>
      </c>
      <c r="L145" s="5" t="inlineStr"/>
      <c r="M145" s="5" t="n"/>
    </row>
    <row r="146">
      <c r="A146" t="inlineStr">
        <is>
          <t>YX-PAY-42</t>
        </is>
      </c>
      <c r="B146" t="inlineStr">
        <is>
          <t>M03</t>
        </is>
      </c>
      <c r="C146" t="inlineStr">
        <is>
          <t>YX-PAY</t>
        </is>
      </c>
      <c r="D146" t="inlineStr">
        <is>
          <t>5</t>
        </is>
      </c>
      <c r="E146" s="5" t="inlineStr">
        <is>
          <t>Cost rates (B1): an employee's monthly cost rate = employer cost (gross + employer contributions) ÷ the company's standard hours, taken from the approved payslip once the month is paid (from compensation for an open month, marked provisional); it is Restricted (payroll / finance scope) and M12 shows project managers only project-level totals.</t>
        </is>
      </c>
      <c r="F146" t="inlineStr">
        <is>
          <t>Not started</t>
        </is>
      </c>
      <c r="H146">
        <f>IF(G146&lt;&gt;"",G146,F146)</f>
        <v/>
      </c>
      <c r="I146" t="n">
        <v>0</v>
      </c>
      <c r="J146" t="n">
        <v>0</v>
      </c>
      <c r="K146" t="n">
        <v>0</v>
      </c>
      <c r="L146" s="5" t="inlineStr"/>
      <c r="M146" s="5" t="n"/>
    </row>
    <row r="147">
      <c r="A147" t="inlineStr">
        <is>
          <t>YX-PAY-43</t>
        </is>
      </c>
      <c r="B147" t="inlineStr">
        <is>
          <t>M03</t>
        </is>
      </c>
      <c r="C147" t="inlineStr">
        <is>
          <t>YX-PAY</t>
        </is>
      </c>
      <c r="D147" t="inlineStr">
        <is>
          <t>5</t>
        </is>
      </c>
      <c r="E147" s="5" t="inlineStr">
        <is>
          <t>Country packs (C4): a legal entity has one country; its pay groups, components, tax, social security, end-of-service benefits, statutory files and payslip mandatory fields come only from that country's P07 pack valid on the period date, never from code branches; a run covers one pay group, so one country and one currency; a country pack can be switched on for an entity only after its setup completeness check passes (YX-PAY-36 pattern). Cross-country reports convert at the company's FX source for reporting only (M05 YX-EXP-14 sources).</t>
        </is>
      </c>
      <c r="F147" t="inlineStr">
        <is>
          <t>Not started</t>
        </is>
      </c>
      <c r="H147">
        <f>IF(G147&lt;&gt;"",G147,F147)</f>
        <v/>
      </c>
      <c r="I147" t="n">
        <v>0</v>
      </c>
      <c r="J147" t="n">
        <v>0</v>
      </c>
      <c r="K147" t="n">
        <v>0</v>
      </c>
      <c r="L147" s="5" t="inlineStr"/>
      <c r="M147" s="5" t="n"/>
    </row>
    <row r="148">
      <c r="A148" t="inlineStr">
        <is>
          <t>YX-PAY-44</t>
        </is>
      </c>
      <c r="B148" t="inlineStr">
        <is>
          <t>M03</t>
        </is>
      </c>
      <c r="C148" t="inlineStr">
        <is>
          <t>YX-PAY</t>
        </is>
      </c>
      <c r="D148" t="inlineStr">
        <is>
          <t>5</t>
        </is>
      </c>
      <c r="E148" s="5" t="inlineStr">
        <is>
          <t>UAE / GCC packs (C4): for WPS-covered entities, the run produces the WPS salary file in the pack's format (UAE SIF: employer and employee records with establishment id, routing code, IBAN, fixed / variable pay, leave days) through the entity's WPS agent / bank; end-of-service gratuity is provisioned monthly and paid on exit per the pack's rule (UAE: basic-salary-based days per year of service with the pack's caps and resignation / termination treatment) and appears as an F&amp;F line; GCC variants use their own pack rows (salary-file format, gratuity, social insurance). All values are dated P07 da</t>
        </is>
      </c>
      <c r="F148" t="inlineStr">
        <is>
          <t>Not started</t>
        </is>
      </c>
      <c r="H148">
        <f>IF(G148&lt;&gt;"",G148,F148)</f>
        <v/>
      </c>
      <c r="I148" t="n">
        <v>0</v>
      </c>
      <c r="J148" t="n">
        <v>0</v>
      </c>
      <c r="K148" t="n">
        <v>0</v>
      </c>
      <c r="L148" s="5" t="inlineStr"/>
      <c r="M148" s="5" t="n"/>
    </row>
    <row r="149">
      <c r="A149" t="inlineStr">
        <is>
          <t>YX-PAY-45</t>
        </is>
      </c>
      <c r="B149" t="inlineStr">
        <is>
          <t>M03</t>
        </is>
      </c>
      <c r="C149" t="inlineStr">
        <is>
          <t>YX-PAY</t>
        </is>
      </c>
      <c r="D149" t="inlineStr">
        <is>
          <t>5</t>
        </is>
      </c>
      <c r="E149" s="5" t="inlineStr">
        <is>
          <t>US 1099 reporting only (C4): US contractors paid through the consultant register (YX-PAY-37) carry a W-9 (TIN masked, Special); YukthiX totals payments per contractor per calendar year and produces 1099-NEC data (file and recipient PDF) for contractors at or above the pack's threshold; no US withholding, W-2 payroll or state filings are performed.</t>
        </is>
      </c>
      <c r="F149" t="inlineStr">
        <is>
          <t>Not started</t>
        </is>
      </c>
      <c r="H149">
        <f>IF(G149&lt;&gt;"",G149,F149)</f>
        <v/>
      </c>
      <c r="I149" t="n">
        <v>0</v>
      </c>
      <c r="J149" t="n">
        <v>0</v>
      </c>
      <c r="K149" t="n">
        <v>0</v>
      </c>
      <c r="L149" s="5" t="inlineStr"/>
      <c r="M149" s="5" t="n"/>
    </row>
    <row r="150">
      <c r="A150" t="inlineStr">
        <is>
          <t>YX-PAY-46</t>
        </is>
      </c>
      <c r="B150" t="inlineStr">
        <is>
          <t>M03</t>
        </is>
      </c>
      <c r="C150" t="inlineStr">
        <is>
          <t>YX-PAY</t>
        </is>
      </c>
      <c r="D150" t="inlineStr">
        <is>
          <t>5</t>
        </is>
      </c>
      <c r="E150" s="5" t="inlineStr">
        <is>
          <t>ESOP (C4): grants follow the plan's pool (a grant beyond the unallocated pool is blocked), vest only by their schedule (cliff, time, milestone confirmed by an approver), and are exercisable only for vested units within the plan's window; on exit, unvested units lapse and vested units follow the plan's leaver rule and post-exit window (starter 90 days); every grant, vest, exercise and sale is dated, audited and visible to the employee in the Pay tab; the cap-table export reconciles pool = granted + unallocated and granted = vested + unvested + lapsed.</t>
        </is>
      </c>
      <c r="F150" t="inlineStr">
        <is>
          <t>Not started</t>
        </is>
      </c>
      <c r="H150">
        <f>IF(G150&lt;&gt;"",G150,F150)</f>
        <v/>
      </c>
      <c r="I150" t="n">
        <v>0</v>
      </c>
      <c r="J150" t="n">
        <v>0</v>
      </c>
      <c r="K150" t="n">
        <v>0</v>
      </c>
      <c r="L150" s="5" t="inlineStr"/>
      <c r="M150" s="5" t="n"/>
    </row>
    <row r="151">
      <c r="A151" t="inlineStr">
        <is>
          <t>YX-PAY-47</t>
        </is>
      </c>
      <c r="B151" t="inlineStr">
        <is>
          <t>M03</t>
        </is>
      </c>
      <c r="C151" t="inlineStr">
        <is>
          <t>YX-PAY</t>
        </is>
      </c>
      <c r="D151" t="inlineStr">
        <is>
          <t>5</t>
        </is>
      </c>
      <c r="E151" s="5" t="inlineStr">
        <is>
          <t>Code wage definition (C1, P07 YX-STAT-21): for pay periods from 21 Nov 2025 every payslip computes Code "wages" from component flags (basic, DA, retaining allowance vs the Code's exclusions) and, where the exclusions exceed 50 % of total remuneration, adds the excess back; the add-back wage is the base for PF, ESI, gratuity, bonus and leave encashment (law, not a company option). Pre-run validation lists every employee with an add-back (amount and effect on PF / ESI) as a finding to acknowledge, and a salary template that produces an add-back for a sample employee is flagged on save (YX-PAY-01</t>
        </is>
      </c>
      <c r="F151" t="inlineStr">
        <is>
          <t>UI prototype only</t>
        </is>
      </c>
      <c r="H151">
        <f>IF(G151&lt;&gt;"",G151,F151)</f>
        <v/>
      </c>
      <c r="I151" t="n">
        <v>0</v>
      </c>
      <c r="J151" t="n">
        <v>0</v>
      </c>
      <c r="K151" t="n">
        <v>2</v>
      </c>
      <c r="L151" s="5" t="inlineStr"/>
      <c r="M151" s="5" t="n"/>
    </row>
    <row r="152">
      <c r="A152" t="inlineStr">
        <is>
          <t>YX-PAY-48</t>
        </is>
      </c>
      <c r="B152" t="inlineStr">
        <is>
          <t>M03</t>
        </is>
      </c>
      <c r="C152" t="inlineStr">
        <is>
          <t>YX-PAY</t>
        </is>
      </c>
      <c r="D152" t="inlineStr">
        <is>
          <t>5</t>
        </is>
      </c>
      <c r="E152" s="5" t="inlineStr">
        <is>
          <t>Wages on exit within 2 working days (C1, Code on Wages): for every exit type (resignation, removal, retrenchment, dismissal, closure) the F&amp;F target is payment within 2 working days of the last working day (working days per the entity's holiday calendar, M02). On the approved LWD the F&amp;F off-cycle run is created automatically (inputs pulled per M01 YX-LC-07) and SCH-28 raises fnf.due / fnf.overdue against this deadline as the SLA alert to Payroll and the HR head (APX-A). If something blocks full settlement (e.g. an unresolved recovery), the undisputed wages are still paid within the deadline a</t>
        </is>
      </c>
      <c r="F152" t="inlineStr">
        <is>
          <t>Not started</t>
        </is>
      </c>
      <c r="H152">
        <f>IF(G152&lt;&gt;"",G152,F152)</f>
        <v/>
      </c>
      <c r="I152" t="n">
        <v>0</v>
      </c>
      <c r="J152" t="n">
        <v>0</v>
      </c>
      <c r="K152" t="n">
        <v>0</v>
      </c>
      <c r="L152" s="5" t="inlineStr"/>
      <c r="M152" s="5" t="n"/>
    </row>
    <row r="153">
      <c r="A153" t="inlineStr">
        <is>
          <t>YX-PAY-49</t>
        </is>
      </c>
      <c r="B153" t="inlineStr">
        <is>
          <t>M03</t>
        </is>
      </c>
      <c r="C153" t="inlineStr">
        <is>
          <t>YX-PAY</t>
        </is>
      </c>
      <c r="D153" t="inlineStr">
        <is>
          <t>5</t>
        </is>
      </c>
      <c r="E153" s="5" t="inlineStr">
        <is>
          <t>Retrenchment F&amp;F lines (C1, P07 IN.IR): a retrenchment exit adds to the F&amp;F run retrenchment compensation = 15 days' average pay × completed years of continuous service (P07 part-year and day-basis rules), notice pay in lieu where notice was not given, and an employer Worker Re-skilling Fund line of 15 days' last-drawn wages, remitted to the fund (never part of the worker's net) with a compliance-calendar item and challan reference; where the establishment has 300+ workers, the F&amp;F run for a retrenchment, lay-off or closure cannot be approved without the recorded government-permission referenc</t>
        </is>
      </c>
      <c r="F153" t="inlineStr">
        <is>
          <t>UI prototype only</t>
        </is>
      </c>
      <c r="H153">
        <f>IF(G153&lt;&gt;"",G153,F153)</f>
        <v/>
      </c>
      <c r="I153" t="n">
        <v>0</v>
      </c>
      <c r="J153" t="n">
        <v>0</v>
      </c>
      <c r="K153" t="n">
        <v>2</v>
      </c>
      <c r="L153" s="5" t="inlineStr"/>
      <c r="M153" s="5" t="n"/>
    </row>
    <row r="154">
      <c r="A154" t="inlineStr">
        <is>
          <t>YX-PAY-50</t>
        </is>
      </c>
      <c r="B154" t="inlineStr">
        <is>
          <t>M03</t>
        </is>
      </c>
      <c r="C154" t="inlineStr">
        <is>
          <t>YX-PAY</t>
        </is>
      </c>
      <c r="D154" t="inlineStr">
        <is>
          <t>5</t>
        </is>
      </c>
      <c r="E154" s="5" t="inlineStr">
        <is>
          <t>Injury pay and EC compensation (J6, M08 YX-CASE-14/16, M02 YX-LV-15): injury leave days reach the run from M02 as their own category. ESI-covered: ESIC pays the disablement benefit, so the employer pays nothing for those days unless the company policy (D17) adds a top-up. Not ESI-covered: the employer pays at least the P07 IN.EC compensation (temporary-disablement half-monthly payments after the waiting period) as a named line; the company policy (D17; starter: full pay for the injury leave) may pay more, never less. Permanent-disablement or death compensation is a one-time line (or a commissi</t>
        </is>
      </c>
      <c r="F154" t="inlineStr">
        <is>
          <t>Not started</t>
        </is>
      </c>
      <c r="H154">
        <f>IF(G154&lt;&gt;"",G154,F154)</f>
        <v/>
      </c>
      <c r="I154" t="n">
        <v>0</v>
      </c>
      <c r="J154" t="n">
        <v>0</v>
      </c>
      <c r="K154" t="n">
        <v>0</v>
      </c>
      <c r="L154" s="5" t="inlineStr"/>
      <c r="M154" s="5" t="n"/>
    </row>
    <row r="155">
      <c r="A155" t="inlineStr">
        <is>
          <t>YX-PAY-51</t>
        </is>
      </c>
      <c r="B155" t="inlineStr">
        <is>
          <t>M03</t>
        </is>
      </c>
      <c r="C155" t="inlineStr">
        <is>
          <t>YX-PAY</t>
        </is>
      </c>
      <c r="D155" t="inlineStr">
        <is>
          <t>5</t>
        </is>
      </c>
      <c r="E155" s="5" t="inlineStr">
        <is>
          <t xml:space="preserve">PF / ESI corrections after filing (J20, P07 YX-STAT-26): once a month's ECR or ESI return is filed, any correction — arrears (incl. PF on arrears per YX-PAY-33), a missed employee, a wrong wage — produces a supplementary / arrear ECR or an ESI past-period contribution for that month, never a regenerated file for re-upload; each supplementary filing links to the original filing and to the payslip lines that caused it, follows the same generate → upload (or partner) → acknowledgement → filed-lock path, and shows as a child card under the original month in the statutory hub. Excess remittance is </t>
        </is>
      </c>
      <c r="F155" t="inlineStr">
        <is>
          <t>UI prototype only</t>
        </is>
      </c>
      <c r="H155">
        <f>IF(G155&lt;&gt;"",G155,F155)</f>
        <v/>
      </c>
      <c r="I155" t="n">
        <v>0</v>
      </c>
      <c r="J155" t="n">
        <v>0</v>
      </c>
      <c r="K155" t="n">
        <v>2</v>
      </c>
      <c r="L155" s="5" t="inlineStr"/>
      <c r="M155" s="5" t="n"/>
    </row>
    <row r="156">
      <c r="A156" t="inlineStr">
        <is>
          <t>YX-PAY-52</t>
        </is>
      </c>
      <c r="B156" t="inlineStr">
        <is>
          <t>M03</t>
        </is>
      </c>
      <c r="C156" t="inlineStr">
        <is>
          <t>YX-PAY</t>
        </is>
      </c>
      <c r="D156" t="inlineStr">
        <is>
          <t>5</t>
        </is>
      </c>
      <c r="E156" s="5" t="inlineStr">
        <is>
          <t>Arrears across the migration boundary (J3, P15 YX-MIG-15): a back-dated revision (e.g. a union settlement) with an effective date before go-live computes arrears month by month as corrected − as-paid, taking the as-paid amounts per component from the imported as-paid lines; the arrears worksheet and payslip explanation label those months "based on imported figures" with the import batch. If imported lines are missing for a month in the range, the worksheet does not assume a base: it asks HR to confirm the as-paid base for that month (entered with a reason, audited) before the arrears can be ap</t>
        </is>
      </c>
      <c r="F156" t="inlineStr">
        <is>
          <t>UI prototype only</t>
        </is>
      </c>
      <c r="H156">
        <f>IF(G156&lt;&gt;"",G156,F156)</f>
        <v/>
      </c>
      <c r="I156" t="n">
        <v>0</v>
      </c>
      <c r="J156" t="n">
        <v>0</v>
      </c>
      <c r="K156" t="n">
        <v>2</v>
      </c>
      <c r="L156" s="5" t="inlineStr"/>
      <c r="M156" s="5" t="n"/>
    </row>
    <row r="157">
      <c r="A157" t="inlineStr">
        <is>
          <t>YX-PAY-53</t>
        </is>
      </c>
      <c r="B157" t="inlineStr">
        <is>
          <t>M03</t>
        </is>
      </c>
      <c r="C157" t="inlineStr">
        <is>
          <t>YX-PAY</t>
        </is>
      </c>
      <c r="D157" t="inlineStr">
        <is>
          <t>5</t>
        </is>
      </c>
      <c r="E157" s="5" t="inlineStr">
        <is>
          <t>Coverage-driven statutory switch-on (J1, P07 YX-STAT-27): when an entity crosses a coverage threshold, pre-run validation blocks the next run approval until the statute is switched on with its registration, or an admin records "applied, number awaited" with a date; the readiness screen lists every approaching threshold.</t>
        </is>
      </c>
      <c r="F157" t="inlineStr">
        <is>
          <t>Not started</t>
        </is>
      </c>
      <c r="H157">
        <f>IF(G157&lt;&gt;"",G157,F157)</f>
        <v/>
      </c>
      <c r="I157" t="n">
        <v>0</v>
      </c>
      <c r="J157" t="n">
        <v>0</v>
      </c>
      <c r="K157" t="n">
        <v>0</v>
      </c>
      <c r="L157" s="5" t="inlineStr"/>
      <c r="M157" s="5" t="n"/>
    </row>
    <row r="158">
      <c r="A158" t="inlineStr">
        <is>
          <t>YX-PAY-54</t>
        </is>
      </c>
      <c r="B158" t="inlineStr">
        <is>
          <t>M03</t>
        </is>
      </c>
      <c r="C158" t="inlineStr">
        <is>
          <t>YX-PAY</t>
        </is>
      </c>
      <c r="D158" t="inlineStr">
        <is>
          <t>5</t>
        </is>
      </c>
      <c r="E158" s="5" t="inlineStr">
        <is>
          <t>PT / LWF on a state change (J25, P07 YX-STAT-28): the payslip reads the work-state history from M01 and deducts PT / LWF for the one liable state per slot that P07 returns; the payslip and the PT / LWF returns show the state used; an employee is never deducted by two states, or by none, for the same slot.</t>
        </is>
      </c>
      <c r="F158" t="inlineStr">
        <is>
          <t>Not started</t>
        </is>
      </c>
      <c r="H158">
        <f>IF(G158&lt;&gt;"",G158,F158)</f>
        <v/>
      </c>
      <c r="I158" t="n">
        <v>0</v>
      </c>
      <c r="J158" t="n">
        <v>0</v>
      </c>
      <c r="K158" t="n">
        <v>0</v>
      </c>
      <c r="L158" s="5" t="inlineStr"/>
      <c r="M158" s="5" t="n"/>
    </row>
    <row r="159">
      <c r="A159" t="inlineStr">
        <is>
          <t>YX-PAY-55</t>
        </is>
      </c>
      <c r="B159" t="inlineStr">
        <is>
          <t>M03</t>
        </is>
      </c>
      <c r="C159" t="inlineStr">
        <is>
          <t>YX-PAY</t>
        </is>
      </c>
      <c r="D159" t="inlineStr">
        <is>
          <t>5</t>
        </is>
      </c>
      <c r="E159" s="5" t="inlineStr">
        <is>
          <t>ELI scheme (R5, P07 YX-STAT-29): eligibility is evaluated on joining and stored; UAN activation (face authentication via UMANG) and Aadhaar-bank seeding are onboarding tasks (M01 checklist); the ECR carries the scheme fields; the employer incentive expected vs received is tracked per ECR month; an eligibility report lists eligible, pending-prerequisite and ineligible employees with reasons.</t>
        </is>
      </c>
      <c r="F159" t="inlineStr">
        <is>
          <t>Not started</t>
        </is>
      </c>
      <c r="H159">
        <f>IF(G159&lt;&gt;"",G159,F159)</f>
        <v/>
      </c>
      <c r="I159" t="n">
        <v>0</v>
      </c>
      <c r="J159" t="n">
        <v>0</v>
      </c>
      <c r="K159" t="n">
        <v>0</v>
      </c>
      <c r="L159" s="5" t="inlineStr"/>
      <c r="M159" s="5" t="n"/>
    </row>
    <row r="160">
      <c r="A160" t="inlineStr">
        <is>
          <t>YX-PAY-56</t>
        </is>
      </c>
      <c r="B160" t="inlineStr">
        <is>
          <t>M03</t>
        </is>
      </c>
      <c r="C160" t="inlineStr">
        <is>
          <t>YX-PAY</t>
        </is>
      </c>
      <c r="D160" t="inlineStr">
        <is>
          <t>5</t>
        </is>
      </c>
      <c r="E160" s="5" t="inlineStr">
        <is>
          <t>ESI PwD ceiling (R8, P07 YX-STAT-30): ESI eligibility uses the ceiling P07 returns for the employee's consented disability status (field owned by M01); a status change takes effect from the next contribution period (verify against ESI rules).</t>
        </is>
      </c>
      <c r="F160" t="inlineStr">
        <is>
          <t>Not started</t>
        </is>
      </c>
      <c r="H160">
        <f>IF(G160&lt;&gt;"",G160,F160)</f>
        <v/>
      </c>
      <c r="I160" t="n">
        <v>0</v>
      </c>
      <c r="J160" t="n">
        <v>0</v>
      </c>
      <c r="K160" t="n">
        <v>0</v>
      </c>
      <c r="L160" s="5" t="inlineStr"/>
      <c r="M160" s="5" t="n"/>
    </row>
    <row r="161">
      <c r="A161" t="inlineStr">
        <is>
          <t>YX-PAY-57</t>
        </is>
      </c>
      <c r="B161" t="inlineStr">
        <is>
          <t>M03</t>
        </is>
      </c>
      <c r="C161" t="inlineStr">
        <is>
          <t>YX-PAY</t>
        </is>
      </c>
      <c r="D161" t="inlineStr">
        <is>
          <t>5</t>
        </is>
      </c>
      <c r="E161" s="5" t="inlineStr">
        <is>
          <t>Actuarial census and provision (J24): Payroll Admin generates a census per entity as at a valuation date (employee id, date of birth, gender, joining date, service, Code wage and last-drawn basic + DA, encashable leave balance by type, the year's exits with payouts) in a standard layout plus actuary-specific columns; the actuary's report and figures (opening / closing obligation, service cost, interest, actuarial gain / loss) are uploaded and booked as gratuity and leave provision journals in the accounting export; the census is Restricted (P02).</t>
        </is>
      </c>
      <c r="F161" t="inlineStr">
        <is>
          <t>Not started</t>
        </is>
      </c>
      <c r="H161">
        <f>IF(G161&lt;&gt;"",G161,F161)</f>
        <v/>
      </c>
      <c r="I161" t="n">
        <v>0</v>
      </c>
      <c r="J161" t="n">
        <v>0</v>
      </c>
      <c r="K161" t="n">
        <v>0</v>
      </c>
      <c r="L161" s="5" t="inlineStr"/>
      <c r="M161" s="5" t="n"/>
    </row>
    <row r="162">
      <c r="A162" t="inlineStr">
        <is>
          <t>YX-PAY-58</t>
        </is>
      </c>
      <c r="B162" t="inlineStr">
        <is>
          <t>M03</t>
        </is>
      </c>
      <c r="C162" t="inlineStr">
        <is>
          <t>YX-PAY</t>
        </is>
      </c>
      <c r="D162" t="inlineStr">
        <is>
          <t>5</t>
        </is>
      </c>
      <c r="E162" s="5" t="inlineStr">
        <is>
          <t>Weekly and fortnightly pay (V5, wave 3): pay groups with a weekly or fortnightly calendar get their own run, readiness, payslip and bank-file screens; PF / ESI are computed per run and aggregated into the monthly return; PT / LWF use the part-period logic from P07; TDS is projected on annualised run pay.</t>
        </is>
      </c>
      <c r="F162" t="inlineStr">
        <is>
          <t>Not started</t>
        </is>
      </c>
      <c r="H162">
        <f>IF(G162&lt;&gt;"",G162,F162)</f>
        <v/>
      </c>
      <c r="I162" t="n">
        <v>0</v>
      </c>
      <c r="J162" t="n">
        <v>0</v>
      </c>
      <c r="K162" t="n">
        <v>0</v>
      </c>
      <c r="L162" s="5" t="inlineStr"/>
      <c r="M162" s="5" t="n"/>
    </row>
    <row r="163">
      <c r="A163" t="inlineStr">
        <is>
          <t>YX-PAY-59</t>
        </is>
      </c>
      <c r="B163" t="inlineStr">
        <is>
          <t>M03</t>
        </is>
      </c>
      <c r="C163" t="inlineStr">
        <is>
          <t>YX-PAY</t>
        </is>
      </c>
      <c r="D163" t="inlineStr">
        <is>
          <t>5</t>
        </is>
      </c>
      <c r="E163" s="5" t="inlineStr">
        <is>
          <t>Piece-rate pay (V1, P07 YX-STAT-31): earnings = Σ(output × rate-card rate valid on the output date); where the period's earnings are below the time-rate minimum wage for days worked, a named minimum-wage top-up line is added; OT for piece-rated workers uses the P07 basis; output is keyed or imported (CSV / API) and locks with the period (P08).</t>
        </is>
      </c>
      <c r="F163" t="inlineStr">
        <is>
          <t>UI prototype only</t>
        </is>
      </c>
      <c r="H163">
        <f>IF(G163&lt;&gt;"",G163,F163)</f>
        <v/>
      </c>
      <c r="I163" t="n">
        <v>0</v>
      </c>
      <c r="J163" t="n">
        <v>0</v>
      </c>
      <c r="K163" t="n">
        <v>2</v>
      </c>
      <c r="L163" s="5" t="inlineStr"/>
      <c r="M163" s="5" t="n"/>
    </row>
    <row r="164">
      <c r="A164" t="inlineStr">
        <is>
          <t>YX-PAY-60</t>
        </is>
      </c>
      <c r="B164" t="inlineStr">
        <is>
          <t>M03</t>
        </is>
      </c>
      <c r="C164" t="inlineStr">
        <is>
          <t>YX-PAY</t>
        </is>
      </c>
      <c r="D164" t="inlineStr">
        <is>
          <t>5</t>
        </is>
      </c>
      <c r="E164" s="5" t="inlineStr">
        <is>
          <t>Incentive and commission plans (V2): plans from starter templates (production, attendance, sales commission) define metric source (import / M12 / API), quota, tiers, accelerators, cap, payout frequency and clawback window; results are approved via P03 and enter the run as one-time pay; clawbacks recover through later payslips within the deduction cap (E14) or F&amp;F; each employee sees a statement per period (metric, tier, amount, clawback). Commission is salary for TDS.</t>
        </is>
      </c>
      <c r="F164" t="inlineStr">
        <is>
          <t>UI prototype only</t>
        </is>
      </c>
      <c r="H164">
        <f>IF(G164&lt;&gt;"",G164,F164)</f>
        <v/>
      </c>
      <c r="I164" t="n">
        <v>0</v>
      </c>
      <c r="J164" t="n">
        <v>0</v>
      </c>
      <c r="K164" t="n">
        <v>2</v>
      </c>
      <c r="L164" s="5" t="inlineStr"/>
      <c r="M164" s="5" t="n"/>
    </row>
    <row r="165">
      <c r="A165" t="inlineStr">
        <is>
          <t>YX-PAY-61</t>
        </is>
      </c>
      <c r="B165" t="inlineStr">
        <is>
          <t>M03</t>
        </is>
      </c>
      <c r="C165" t="inlineStr">
        <is>
          <t>YX-PAY</t>
        </is>
      </c>
      <c r="D165" t="inlineStr">
        <is>
          <t>5</t>
        </is>
      </c>
      <c r="E165" s="5" t="inlineStr">
        <is>
          <t>Tips and service-charge pooling (V6, P07 YX-STAT-31): a pool per outlet per period is distributed by points, per shift or by hours from M02 attendance; amounts paid through payroll are a named line with PF / ESI / TDS treatment from P07; amounts paid directly by customers are recorded for statements only.</t>
        </is>
      </c>
      <c r="F165" t="inlineStr">
        <is>
          <t>UI prototype only</t>
        </is>
      </c>
      <c r="H165">
        <f>IF(G165&lt;&gt;"",G165,F165)</f>
        <v/>
      </c>
      <c r="I165" t="n">
        <v>0</v>
      </c>
      <c r="J165" t="n">
        <v>0</v>
      </c>
      <c r="K165" t="n">
        <v>2</v>
      </c>
      <c r="L165" s="5" t="inlineStr"/>
      <c r="M165" s="5" t="n"/>
    </row>
    <row r="166">
      <c r="A166" t="inlineStr">
        <is>
          <t>YX-PAY-62</t>
        </is>
      </c>
      <c r="B166" t="inlineStr">
        <is>
          <t>M03</t>
        </is>
      </c>
      <c r="C166" t="inlineStr">
        <is>
          <t>YX-PAY</t>
        </is>
      </c>
      <c r="D166" t="inlineStr">
        <is>
          <t>5</t>
        </is>
      </c>
      <c r="E166" s="5" t="inlineStr">
        <is>
          <t>On-call, standby and call-out pay (V7): from M02 on-call slots the run pays a standby allowance per slot and, for a call-out, max(actual hours, call-out minimum) × rate × multiplier; rates from a starter template (D17), minimum-wage and OT floors from P07.</t>
        </is>
      </c>
      <c r="F166" t="inlineStr">
        <is>
          <t>UI prototype only</t>
        </is>
      </c>
      <c r="H166">
        <f>IF(G166&lt;&gt;"",G166,F166)</f>
        <v/>
      </c>
      <c r="I166" t="n">
        <v>0</v>
      </c>
      <c r="J166" t="n">
        <v>0</v>
      </c>
      <c r="K166" t="n">
        <v>2</v>
      </c>
      <c r="L166" s="5" t="inlineStr"/>
      <c r="M166" s="5" t="n"/>
    </row>
    <row r="167">
      <c r="A167" t="inlineStr">
        <is>
          <t>YX-PAY-63</t>
        </is>
      </c>
      <c r="B167" t="inlineStr">
        <is>
          <t>M03</t>
        </is>
      </c>
      <c r="C167" t="inlineStr">
        <is>
          <t>YX-PAY</t>
        </is>
      </c>
      <c r="D167" t="inlineStr">
        <is>
          <t>5</t>
        </is>
      </c>
      <c r="E167" s="5" t="inlineStr">
        <is>
          <t>Industrial-relations pay (J4, P07 YX-STAT-32): check-off dues are deducted only with a recorded authorisation, within the deduction cap, and remitted per union per period with a remittance statement; a wage / long-term settlement sets increases by worker category and effective date and the arrears engine (YX-PAY-33 / 52) computes arrears by category; M02 lay-off days pay lay-off compensation per P07; a VRS payout is a one-time F&amp;F line.</t>
        </is>
      </c>
      <c r="F167" t="inlineStr">
        <is>
          <t>Not started</t>
        </is>
      </c>
      <c r="H167">
        <f>IF(G167&lt;&gt;"",G167,F167)</f>
        <v/>
      </c>
      <c r="I167" t="n">
        <v>0</v>
      </c>
      <c r="J167" t="n">
        <v>0</v>
      </c>
      <c r="K167" t="n">
        <v>0</v>
      </c>
      <c r="L167" s="5" t="inlineStr"/>
      <c r="M167" s="5" t="n"/>
    </row>
    <row r="168">
      <c r="A168" t="inlineStr">
        <is>
          <t>YX-TAX-01</t>
        </is>
      </c>
      <c r="B168" t="inlineStr">
        <is>
          <t>M03</t>
        </is>
      </c>
      <c r="C168" t="inlineStr">
        <is>
          <t>YX-TAX</t>
        </is>
      </c>
      <c r="D168" t="inlineStr">
        <is>
          <t>5</t>
        </is>
      </c>
      <c r="E168" s="5" t="inlineStr">
        <is>
          <t>The new regime is the default. The employee chooses a regime in their tax workspace until the company's cut-off; after that only HR can change it, with a reason. The regime must match the slab set used (fixes T-D4).</t>
        </is>
      </c>
      <c r="F168" t="inlineStr">
        <is>
          <t>Not started</t>
        </is>
      </c>
      <c r="H168">
        <f>IF(G168&lt;&gt;"",G168,F168)</f>
        <v/>
      </c>
      <c r="I168" t="n">
        <v>0</v>
      </c>
      <c r="J168" t="n">
        <v>0</v>
      </c>
      <c r="K168" t="n">
        <v>0</v>
      </c>
      <c r="L168" s="5" t="inlineStr"/>
      <c r="M168" s="5" t="n"/>
    </row>
    <row r="169">
      <c r="A169" t="inlineStr">
        <is>
          <t>YX-TAX-02</t>
        </is>
      </c>
      <c r="B169" t="inlineStr">
        <is>
          <t>M03</t>
        </is>
      </c>
      <c r="C169" t="inlineStr">
        <is>
          <t>YX-TAX</t>
        </is>
      </c>
      <c r="D169" t="inlineStr">
        <is>
          <t>5</t>
        </is>
      </c>
      <c r="E169" s="5" t="inlineStr">
        <is>
          <t>Monthly TDS = (projected annual tax − tax already deducted) ÷ remaining pay periods. The projection includes past actuals, the current payslip, future months at current pay, one-time pay already approved, Form 12B income and other income. Only one tax component per employee is allowed (fixes B-D8).</t>
        </is>
      </c>
      <c r="F169" t="inlineStr">
        <is>
          <t>UI prototype only</t>
        </is>
      </c>
      <c r="H169">
        <f>IF(G169&lt;&gt;"",G169,F169)</f>
        <v/>
      </c>
      <c r="I169" t="n">
        <v>0</v>
      </c>
      <c r="J169" t="n">
        <v>0</v>
      </c>
      <c r="K169" t="n">
        <v>2</v>
      </c>
      <c r="L169" s="5" t="inlineStr"/>
      <c r="M169" s="5" t="n"/>
    </row>
    <row r="170">
      <c r="A170" t="inlineStr">
        <is>
          <t>YX-TAX-03</t>
        </is>
      </c>
      <c r="B170" t="inlineStr">
        <is>
          <t>M03</t>
        </is>
      </c>
      <c r="C170" t="inlineStr">
        <is>
          <t>YX-TAX</t>
        </is>
      </c>
      <c r="D170" t="inlineStr">
        <is>
          <t>5</t>
        </is>
      </c>
      <c r="E170" s="5" t="inlineStr">
        <is>
          <t>Before proofs are verified, declarations are used for the projection. After the proof cut-off, only verified proof amounts count, and any extra tax is spread over the remaining periods (fixes D-D3; Q5).</t>
        </is>
      </c>
      <c r="F170" t="inlineStr">
        <is>
          <t>Not started</t>
        </is>
      </c>
      <c r="H170">
        <f>IF(G170&lt;&gt;"",G170,F170)</f>
        <v/>
      </c>
      <c r="I170" t="n">
        <v>0</v>
      </c>
      <c r="J170" t="n">
        <v>0</v>
      </c>
      <c r="K170" t="n">
        <v>0</v>
      </c>
      <c r="L170" s="5" t="inlineStr"/>
      <c r="M170" s="5" t="n"/>
    </row>
    <row r="171">
      <c r="A171" t="inlineStr">
        <is>
          <t>YX-TAX-04</t>
        </is>
      </c>
      <c r="B171" t="inlineStr">
        <is>
          <t>M03</t>
        </is>
      </c>
      <c r="C171" t="inlineStr">
        <is>
          <t>YX-TAX</t>
        </is>
      </c>
      <c r="D171" t="inlineStr">
        <is>
          <t>5</t>
        </is>
      </c>
      <c r="E171" s="5" t="inlineStr">
        <is>
          <t>HRA exemption is computed month by month over the months of actual employment and rent (fixes D-D2). A landlord PAN is required above the threshold in the P07 rule.</t>
        </is>
      </c>
      <c r="F171" t="inlineStr">
        <is>
          <t>UI prototype only</t>
        </is>
      </c>
      <c r="H171">
        <f>IF(G171&lt;&gt;"",G171,F171)</f>
        <v/>
      </c>
      <c r="I171" t="n">
        <v>0</v>
      </c>
      <c r="J171" t="n">
        <v>0</v>
      </c>
      <c r="K171" t="n">
        <v>2</v>
      </c>
      <c r="L171" s="5" t="inlineStr"/>
      <c r="M171" s="5" t="n"/>
    </row>
    <row r="172">
      <c r="A172" t="inlineStr">
        <is>
          <t>YX-TAX-05</t>
        </is>
      </c>
      <c r="B172" t="inlineStr">
        <is>
          <t>M03</t>
        </is>
      </c>
      <c r="C172" t="inlineStr">
        <is>
          <t>YX-TAX</t>
        </is>
      </c>
      <c r="D172" t="inlineStr">
        <is>
          <t>5</t>
        </is>
      </c>
      <c r="E172" s="5" t="inlineStr">
        <is>
          <t>Every line of every declaration and proof is verified by payroll or HR (approve, reject or partly approve, with a comment). Employees can't approve their own proofs (fixes D-D12).</t>
        </is>
      </c>
      <c r="F172" t="inlineStr">
        <is>
          <t>Not started</t>
        </is>
      </c>
      <c r="H172">
        <f>IF(G172&lt;&gt;"",G172,F172)</f>
        <v/>
      </c>
      <c r="I172" t="n">
        <v>0</v>
      </c>
      <c r="J172" t="n">
        <v>0</v>
      </c>
      <c r="K172" t="n">
        <v>0</v>
      </c>
      <c r="L172" s="5" t="inlineStr"/>
      <c r="M172" s="5" t="n"/>
    </row>
    <row r="173">
      <c r="A173" t="inlineStr">
        <is>
          <t>YX-TAX-06</t>
        </is>
      </c>
      <c r="B173" t="inlineStr">
        <is>
          <t>M03</t>
        </is>
      </c>
      <c r="C173" t="inlineStr">
        <is>
          <t>YX-TAX</t>
        </is>
      </c>
      <c r="D173" t="inlineStr">
        <is>
          <t>5</t>
        </is>
      </c>
      <c r="E173" s="5" t="inlineStr">
        <is>
          <t>The tax breakup shown to the employee equals the tax deducted, calculated by one function (fixes B-D11, D-D8).</t>
        </is>
      </c>
      <c r="F173" t="inlineStr">
        <is>
          <t>UI prototype only</t>
        </is>
      </c>
      <c r="H173">
        <f>IF(G173&lt;&gt;"",G173,F173)</f>
        <v/>
      </c>
      <c r="I173" t="n">
        <v>0</v>
      </c>
      <c r="J173" t="n">
        <v>0</v>
      </c>
      <c r="K173" t="n">
        <v>2</v>
      </c>
      <c r="L173" s="5" t="inlineStr"/>
      <c r="M173" s="5" t="n"/>
    </row>
    <row r="174">
      <c r="A174" t="inlineStr">
        <is>
          <t>YX-TAX-07</t>
        </is>
      </c>
      <c r="B174" t="inlineStr">
        <is>
          <t>M03</t>
        </is>
      </c>
      <c r="C174" t="inlineStr">
        <is>
          <t>YX-TAX</t>
        </is>
      </c>
      <c r="D174" t="inlineStr">
        <is>
          <t>5</t>
        </is>
      </c>
      <c r="E174" s="5" t="inlineStr">
        <is>
          <t>Form 138 and Form 130 (24Q and Form 16 for periods up to 31 Mar 2026, YX-TAX-19) use tax actually deducted and include leavers (fixes T-D7). The challan window is based on deposit date (fixes T-D1, T-D6, T-D10).</t>
        </is>
      </c>
      <c r="F174" t="inlineStr">
        <is>
          <t>Not started</t>
        </is>
      </c>
      <c r="H174">
        <f>IF(G174&lt;&gt;"",G174,F174)</f>
        <v/>
      </c>
      <c r="I174" t="n">
        <v>0</v>
      </c>
      <c r="J174" t="n">
        <v>0</v>
      </c>
      <c r="K174" t="n">
        <v>0</v>
      </c>
      <c r="L174" s="5" t="inlineStr"/>
      <c r="M174" s="5" t="n"/>
    </row>
    <row r="175">
      <c r="A175" t="inlineStr">
        <is>
          <t>YX-TAX-08</t>
        </is>
      </c>
      <c r="B175" t="inlineStr">
        <is>
          <t>M03</t>
        </is>
      </c>
      <c r="C175" t="inlineStr">
        <is>
          <t>YX-TAX</t>
        </is>
      </c>
      <c r="D175" t="inlineStr">
        <is>
          <t>5</t>
        </is>
      </c>
      <c r="E175" s="5" t="inlineStr">
        <is>
          <t>A filed return is locked (P08 "filed"). Corrections create a correction return linked to the original (fixes T-D2, T-D3).</t>
        </is>
      </c>
      <c r="F175" t="inlineStr">
        <is>
          <t>Not started</t>
        </is>
      </c>
      <c r="H175">
        <f>IF(G175&lt;&gt;"",G175,F175)</f>
        <v/>
      </c>
      <c r="I175" t="n">
        <v>0</v>
      </c>
      <c r="J175" t="n">
        <v>0</v>
      </c>
      <c r="K175" t="n">
        <v>0</v>
      </c>
      <c r="L175" s="5" t="inlineStr"/>
      <c r="M175" s="5" t="n"/>
    </row>
    <row r="176">
      <c r="A176" t="inlineStr">
        <is>
          <t>YX-TAX-09</t>
        </is>
      </c>
      <c r="B176" t="inlineStr">
        <is>
          <t>M03</t>
        </is>
      </c>
      <c r="C176" t="inlineStr">
        <is>
          <t>YX-TAX</t>
        </is>
      </c>
      <c r="D176" t="inlineStr">
        <is>
          <t>5</t>
        </is>
      </c>
      <c r="E176" s="5" t="inlineStr">
        <is>
          <t>Leave encashment, s.10(10AA) (P07): on retirement / exit the exemption = the least of the four P07 limbs, subject to the ₹25 L lifetime cap reduced by exemptions already used (prior-employer usage captured in the tax workspace); encashment while in service is fully taxable.</t>
        </is>
      </c>
      <c r="F176" t="inlineStr">
        <is>
          <t>Not started</t>
        </is>
      </c>
      <c r="H176">
        <f>IF(G176&lt;&gt;"",G176,F176)</f>
        <v/>
      </c>
      <c r="I176" t="n">
        <v>0</v>
      </c>
      <c r="J176" t="n">
        <v>0</v>
      </c>
      <c r="K176" t="n">
        <v>0</v>
      </c>
      <c r="L176" s="5" t="inlineStr"/>
      <c r="M176" s="5" t="n"/>
    </row>
    <row r="177">
      <c r="A177" t="inlineStr">
        <is>
          <t>YX-TAX-10</t>
        </is>
      </c>
      <c r="B177" t="inlineStr">
        <is>
          <t>M03</t>
        </is>
      </c>
      <c r="C177" t="inlineStr">
        <is>
          <t>YX-TAX</t>
        </is>
      </c>
      <c r="D177" t="inlineStr">
        <is>
          <t>5</t>
        </is>
      </c>
      <c r="E177" s="5" t="inlineStr">
        <is>
          <t>PAN missing or inoperative (s.206AA): payroll is not blocked; TDS = the higher of 20 % or the slab rate, and the salary-return deductee row carries the no-PAN flag (PANNOTAVBL on a 24Q; the Form 138 code from P07). PAN operative status is checked via P10 before each run and before filing.</t>
        </is>
      </c>
      <c r="F177" t="inlineStr">
        <is>
          <t>UI prototype only</t>
        </is>
      </c>
      <c r="H177">
        <f>IF(G177&lt;&gt;"",G177,F177)</f>
        <v/>
      </c>
      <c r="I177" t="n">
        <v>0</v>
      </c>
      <c r="J177" t="n">
        <v>0</v>
      </c>
      <c r="K177" t="n">
        <v>4</v>
      </c>
      <c r="L177" s="5" t="inlineStr"/>
      <c r="M177" s="5" t="n"/>
    </row>
    <row r="178">
      <c r="A178" t="inlineStr">
        <is>
          <t>YX-TAX-11</t>
        </is>
      </c>
      <c r="B178" t="inlineStr">
        <is>
          <t>M03</t>
        </is>
      </c>
      <c r="C178" t="inlineStr">
        <is>
          <t>YX-TAX</t>
        </is>
      </c>
      <c r="D178" t="inlineStr">
        <is>
          <t>5</t>
        </is>
      </c>
      <c r="E178" s="5" t="inlineStr">
        <is>
          <t>Residential status: the tax workspace records the residential-status test per FY. For a non-resident: no s.87A rebate, DTAA / TRC and Form 10F captured, and the treaty rate applied only with a valid TRC.</t>
        </is>
      </c>
      <c r="F178" t="inlineStr">
        <is>
          <t>Not started</t>
        </is>
      </c>
      <c r="H178">
        <f>IF(G178&lt;&gt;"",G178,F178)</f>
        <v/>
      </c>
      <c r="I178" t="n">
        <v>0</v>
      </c>
      <c r="J178" t="n">
        <v>0</v>
      </c>
      <c r="K178" t="n">
        <v>0</v>
      </c>
      <c r="L178" s="5" t="inlineStr"/>
      <c r="M178" s="5" t="n"/>
    </row>
    <row r="179">
      <c r="A179" t="inlineStr">
        <is>
          <t>YX-TAX-12</t>
        </is>
      </c>
      <c r="B179" t="inlineStr">
        <is>
          <t>M03</t>
        </is>
      </c>
      <c r="C179" t="inlineStr">
        <is>
          <t>YX-TAX</t>
        </is>
      </c>
      <c r="D179" t="inlineStr">
        <is>
          <t>5</t>
        </is>
      </c>
      <c r="E179" s="5" t="inlineStr">
        <is>
          <t>Perquisites and special cases (P07): company car (Rule 3 by engine size / use) and rent-free / concessional accommodation are valued as perquisites and reported in Form 12BA; the gratuity 5-year condition is waived on death or disablement; TDS on payments to a legal heir follows the P07 rule for heirs.</t>
        </is>
      </c>
      <c r="F179" t="inlineStr">
        <is>
          <t>Not started</t>
        </is>
      </c>
      <c r="H179">
        <f>IF(G179&lt;&gt;"",G179,F179)</f>
        <v/>
      </c>
      <c r="I179" t="n">
        <v>0</v>
      </c>
      <c r="J179" t="n">
        <v>0</v>
      </c>
      <c r="K179" t="n">
        <v>0</v>
      </c>
      <c r="L179" s="5" t="inlineStr"/>
      <c r="M179" s="5" t="n"/>
    </row>
    <row r="180">
      <c r="A180" t="inlineStr">
        <is>
          <t>YX-TAX-13</t>
        </is>
      </c>
      <c r="B180" t="inlineStr">
        <is>
          <t>M03</t>
        </is>
      </c>
      <c r="C180" t="inlineStr">
        <is>
          <t>YX-TAX</t>
        </is>
      </c>
      <c r="D180" t="inlineStr">
        <is>
          <t>5</t>
        </is>
      </c>
      <c r="E180" s="5" t="inlineStr">
        <is>
          <t>Continuity across employments (E9 / E5): on an inter-entity transfer, Form 12B is auto-populated into the new entity's tax workspace and declarations / proofs are copied; the gratuity exemption is tracked across both payouts (one lifetime limit). On a rehire in the same FY, YTD, TDS and Form 130 are combined per PAN × TAN × FY.</t>
        </is>
      </c>
      <c r="F180" t="inlineStr">
        <is>
          <t>Not started</t>
        </is>
      </c>
      <c r="H180">
        <f>IF(G180&lt;&gt;"",G180,F180)</f>
        <v/>
      </c>
      <c r="I180" t="n">
        <v>0</v>
      </c>
      <c r="J180" t="n">
        <v>0</v>
      </c>
      <c r="K180" t="n">
        <v>0</v>
      </c>
      <c r="L180" s="5" t="inlineStr"/>
      <c r="M180" s="5" t="n"/>
    </row>
    <row r="181">
      <c r="A181" t="inlineStr">
        <is>
          <t>YX-TAX-14</t>
        </is>
      </c>
      <c r="B181" t="inlineStr">
        <is>
          <t>M03</t>
        </is>
      </c>
      <c r="C181" t="inlineStr">
        <is>
          <t>YX-TAX</t>
        </is>
      </c>
      <c r="D181" t="inlineStr">
        <is>
          <t>5</t>
        </is>
      </c>
      <c r="E181" s="5" t="inlineStr">
        <is>
          <t>A TDS challan is pre-filled from the approved runs for its deposit month (TDS per section, entity TAN); interest for late deduction / late deposit (s.201(1A)) and the late-filing fee (s.234E) are computed from P07 IN.TDS interest and fee parameters (YX-STAT-14); a manual edit needs a reason and is audited (fixes U45).</t>
        </is>
      </c>
      <c r="F181" t="inlineStr">
        <is>
          <t>UI prototype only</t>
        </is>
      </c>
      <c r="H181">
        <f>IF(G181&lt;&gt;"",G181,F181)</f>
        <v/>
      </c>
      <c r="I181" t="n">
        <v>0</v>
      </c>
      <c r="J181" t="n">
        <v>0</v>
      </c>
      <c r="K181" t="n">
        <v>2</v>
      </c>
      <c r="L181" s="5" t="inlineStr"/>
      <c r="M181" s="5" t="n"/>
    </row>
    <row r="182">
      <c r="A182" t="inlineStr">
        <is>
          <t>YX-TAX-15</t>
        </is>
      </c>
      <c r="B182" t="inlineStr">
        <is>
          <t>M03</t>
        </is>
      </c>
      <c r="C182" t="inlineStr">
        <is>
          <t>YX-TAX</t>
        </is>
      </c>
      <c r="D182" t="inlineStr">
        <is>
          <t>5</t>
        </is>
      </c>
      <c r="E182" s="5" t="inlineStr">
        <is>
          <t>A quarterly return for an entity that started or migrated mid-year includes prior-month deductee rows from the imported YTD (setup step 6, or a deductee-row import in the return wizard); missing months block validation with a Fix link, so Form 138 is complete (fixes U46).</t>
        </is>
      </c>
      <c r="F182" t="inlineStr">
        <is>
          <t>Not started</t>
        </is>
      </c>
      <c r="H182">
        <f>IF(G182&lt;&gt;"",G182,F182)</f>
        <v/>
      </c>
      <c r="I182" t="n">
        <v>0</v>
      </c>
      <c r="J182" t="n">
        <v>0</v>
      </c>
      <c r="K182" t="n">
        <v>0</v>
      </c>
      <c r="L182" s="5" t="inlineStr"/>
      <c r="M182" s="5" t="n"/>
    </row>
    <row r="183">
      <c r="A183" t="inlineStr">
        <is>
          <t>YX-TAX-16</t>
        </is>
      </c>
      <c r="B183" t="inlineStr">
        <is>
          <t>M03</t>
        </is>
      </c>
      <c r="C183" t="inlineStr">
        <is>
          <t>YX-TAX</t>
        </is>
      </c>
      <c r="D183" t="inlineStr">
        <is>
          <t>5</t>
        </is>
      </c>
      <c r="E183" s="5" t="inlineStr">
        <is>
          <t>TDS on consultant invoices (A8, P07 IN.TDS): section per invoice — 194C (contract work; individual / HUF vs other rate), 194J(a) technical services and 194J(b) professional fees (return codes from P07 by law version, e.g. 94J-A / 94J-B on a 26Q; different rates); P07 single-payment and aggregate-per-FY thresholds are tracked per consultant × entity × FY, and TDS applies from the invoice that crosses them as the P07 rule says; TDS is on the taxable value excluding GST when GST is shown separately; no PAN or inoperative PAN → 20 % (s.206AA, or the section rate if higher) with the return's no-PAN</t>
        </is>
      </c>
      <c r="F183" t="inlineStr">
        <is>
          <t>Not started</t>
        </is>
      </c>
      <c r="H183">
        <f>IF(G183&lt;&gt;"",G183,F183)</f>
        <v/>
      </c>
      <c r="I183" t="n">
        <v>0</v>
      </c>
      <c r="J183" t="n">
        <v>0</v>
      </c>
      <c r="K183" t="n">
        <v>0</v>
      </c>
      <c r="L183" s="5" t="inlineStr"/>
      <c r="M183" s="5" t="n"/>
    </row>
    <row r="184">
      <c r="A184" t="inlineStr">
        <is>
          <t>YX-TAX-17</t>
        </is>
      </c>
      <c r="B184" t="inlineStr">
        <is>
          <t>M03</t>
        </is>
      </c>
      <c r="C184" t="inlineStr">
        <is>
          <t>YX-TAX</t>
        </is>
      </c>
      <c r="D184" t="inlineStr">
        <is>
          <t>5</t>
        </is>
      </c>
      <c r="E184" s="5" t="inlineStr">
        <is>
          <t>Form 140 and Form 131 (A8): consultant TDS is deposited on the same challans by section as salary TDS (YX-TAX-14; one challan per section per deposit month); the quarterly Form 140 is drafted from paid invoices, reconciled deposit-vs-deduction (YX-PAY-36), validated and filed in the same filing modes as Form 138 (self-file with FVU, or filing partner; Q6), and locked on filing (YX-TAX-08; corrections as correction returns). Form 131 is issued per consultant per quarter after filing (from TRACES in either mode), DSC-signed (P05) and published in the consultant's login.</t>
        </is>
      </c>
      <c r="F184" t="inlineStr">
        <is>
          <t>Not started</t>
        </is>
      </c>
      <c r="H184">
        <f>IF(G184&lt;&gt;"",G184,F184)</f>
        <v/>
      </c>
      <c r="I184" t="n">
        <v>0</v>
      </c>
      <c r="J184" t="n">
        <v>0</v>
      </c>
      <c r="K184" t="n">
        <v>0</v>
      </c>
      <c r="L184" s="5" t="inlineStr"/>
      <c r="M184" s="5" t="n"/>
    </row>
    <row r="185">
      <c r="A185" t="inlineStr">
        <is>
          <t>YX-TAX-18</t>
        </is>
      </c>
      <c r="B185" t="inlineStr">
        <is>
          <t>M03</t>
        </is>
      </c>
      <c r="C185" t="inlineStr">
        <is>
          <t>YX-TAX</t>
        </is>
      </c>
      <c r="D185" t="inlineStr">
        <is>
          <t>5</t>
        </is>
      </c>
      <c r="E185" s="5" t="inlineStr">
        <is>
          <t>ESOP perquisite (C4, P07 IN.TDS): on exercise, the perquisite = (FMV on the exercise date − exercise price) × units, with FMV per P07 (listed: stock-exchange price rule; unlisted: category-I merchant-banker valuation not older than the P07 limit); it is salary income taxed through the payroll TDS projection (YX-TAX-02) in the exercise month and reported in Form 130 / 12BA; for an eligible start-up (P07 condition) the company may defer the TDS to the earliest of the P07 events (period from the end of the assessment year / tax year, sale of the shares, leaving the company), tracked per exercise;</t>
        </is>
      </c>
      <c r="F185" t="inlineStr">
        <is>
          <t>Not started</t>
        </is>
      </c>
      <c r="H185">
        <f>IF(G185&lt;&gt;"",G185,F185)</f>
        <v/>
      </c>
      <c r="I185" t="n">
        <v>0</v>
      </c>
      <c r="J185" t="n">
        <v>0</v>
      </c>
      <c r="K185" t="n">
        <v>0</v>
      </c>
      <c r="L185" s="5" t="inlineStr"/>
      <c r="M185" s="5" t="n"/>
    </row>
    <row r="186">
      <c r="A186" t="inlineStr">
        <is>
          <t>YX-TAX-19</t>
        </is>
      </c>
      <c r="B186" t="inlineStr">
        <is>
          <t>M03</t>
        </is>
      </c>
      <c r="C186" t="inlineStr">
        <is>
          <t>YX-TAX</t>
        </is>
      </c>
      <c r="D186" t="inlineStr">
        <is>
          <t>5</t>
        </is>
      </c>
      <c r="E186" s="5" t="inlineStr">
        <is>
          <t>Income-tax Act 2025 law version (C2, P07 YX-STAT-24): every TDS computation, challan, return and certificate records its law version; periods and returns up to the tax year ending 31 Mar 2026 use the 1961 Act forms (e.g. the Q4 FY 2025-26 24Q filed and the Form 16 / 16A issued in 2026, and any later correction of those quarters), and from 1 Apr 2026 the 2025 Act forms — Form 138 (salary return), Form 140 (non-salary return), Form 130 / Form 131 (certificates); the tax workspace says "tax year" from tax year 2026-27; section labels on screens and files come from the P07 cross-walk (no section n</t>
        </is>
      </c>
      <c r="F186" t="inlineStr">
        <is>
          <t>Not started</t>
        </is>
      </c>
      <c r="H186">
        <f>IF(G186&lt;&gt;"",G186,F186)</f>
        <v/>
      </c>
      <c r="I186" t="n">
        <v>0</v>
      </c>
      <c r="J186" t="n">
        <v>0</v>
      </c>
      <c r="K186" t="n">
        <v>0</v>
      </c>
      <c r="L186" s="5" t="inlineStr"/>
      <c r="M186" s="5" t="n"/>
    </row>
    <row r="187">
      <c r="A187" t="inlineStr">
        <is>
          <t>YX-TAX-20</t>
        </is>
      </c>
      <c r="B187" t="inlineStr">
        <is>
          <t>M03</t>
        </is>
      </c>
      <c r="C187" t="inlineStr">
        <is>
          <t>YX-TAX</t>
        </is>
      </c>
      <c r="D187" t="inlineStr">
        <is>
          <t>5</t>
        </is>
      </c>
      <c r="E187" s="5" t="inlineStr">
        <is>
          <t xml:space="preserve">Revised TDS certificates (J21): after a correction return (Form 138 / Form 140; 24Q / 26Q for quarters up to 31 Mar 2026, YX-TAX-19) is accepted and the corrected Part A is available (TRACES in self-file mode, the partner in partner mode), a revised Form 130 / Form 131 (Form 16 / 16A for old periods) is generated automatically for each affected employee or consultant, marked "Revised", DSC-signed and published; the earlier certificate is marked superseded and kept (never deleted; the verify page shows it as superseded). The employee (or alumnus) or consultant gets a notice in the app with the </t>
        </is>
      </c>
      <c r="F187" t="inlineStr">
        <is>
          <t>Not started</t>
        </is>
      </c>
      <c r="H187">
        <f>IF(G187&lt;&gt;"",G187,F187)</f>
        <v/>
      </c>
      <c r="I187" t="n">
        <v>0</v>
      </c>
      <c r="J187" t="n">
        <v>0</v>
      </c>
      <c r="K187" t="n">
        <v>0</v>
      </c>
      <c r="L187" s="5" t="inlineStr"/>
      <c r="M187" s="5" t="n"/>
    </row>
    <row r="188">
      <c r="A188" t="inlineStr">
        <is>
          <t>YX-TAX-21</t>
        </is>
      </c>
      <c r="B188" t="inlineStr">
        <is>
          <t>M03</t>
        </is>
      </c>
      <c r="C188" t="inlineStr">
        <is>
          <t>YX-TAX</t>
        </is>
      </c>
      <c r="D188" t="inlineStr">
        <is>
          <t>5</t>
        </is>
      </c>
      <c r="E188" s="5" t="inlineStr">
        <is>
          <t>VRS tax (J4, P07 YX-STAT-32): VRS compensation is exempt up to the P07 limit once per lifetime (prior claim captured; section per law version, verify); the rest is taxed as salary with relief per P07; the exemption shows in Form 130 / 12BA.</t>
        </is>
      </c>
      <c r="F188" t="inlineStr">
        <is>
          <t>Not started</t>
        </is>
      </c>
      <c r="H188">
        <f>IF(G188&lt;&gt;"",G188,F188)</f>
        <v/>
      </c>
      <c r="I188" t="n">
        <v>0</v>
      </c>
      <c r="J188" t="n">
        <v>0</v>
      </c>
      <c r="K188" t="n">
        <v>0</v>
      </c>
      <c r="L188" s="5" t="inlineStr"/>
      <c r="M188" s="5" t="n"/>
    </row>
    <row r="189">
      <c r="A189" t="inlineStr">
        <is>
          <t>YX-MOB-01</t>
        </is>
      </c>
      <c r="B189" t="inlineStr">
        <is>
          <t>M04</t>
        </is>
      </c>
      <c r="C189" t="inlineStr">
        <is>
          <t>YX-MOB</t>
        </is>
      </c>
      <c r="D189" t="inlineStr">
        <is>
          <t>6+</t>
        </is>
      </c>
      <c r="E189" s="5" t="inlineStr">
        <is>
          <t>Every employee-facing flow in a module ships on mobile in the same wave as the desk version (fixes U95).</t>
        </is>
      </c>
      <c r="F189" t="inlineStr">
        <is>
          <t>Not started</t>
        </is>
      </c>
      <c r="H189">
        <f>IF(G189&lt;&gt;"",G189,F189)</f>
        <v/>
      </c>
      <c r="I189" t="n">
        <v>0</v>
      </c>
      <c r="J189" t="n">
        <v>0</v>
      </c>
      <c r="K189" t="n">
        <v>0</v>
      </c>
      <c r="L189" s="5" t="inlineStr"/>
      <c r="M189" s="5" t="n"/>
    </row>
    <row r="190">
      <c r="A190" t="inlineStr">
        <is>
          <t>YX-MOB-02</t>
        </is>
      </c>
      <c r="B190" t="inlineStr">
        <is>
          <t>M04</t>
        </is>
      </c>
      <c r="C190" t="inlineStr">
        <is>
          <t>YX-MOB</t>
        </is>
      </c>
      <c r="D190" t="inlineStr">
        <is>
          <t>6+</t>
        </is>
      </c>
      <c r="E190" s="5" t="inlineStr">
        <is>
          <t>Approvals on mobile use the approval card: a summary, the impact (e.g. team availability or balance after), approve / reject / send back with a comment. The full form is never shown for editing (fixes U91).</t>
        </is>
      </c>
      <c r="F190" t="inlineStr">
        <is>
          <t>Not started</t>
        </is>
      </c>
      <c r="H190">
        <f>IF(G190&lt;&gt;"",G190,F190)</f>
        <v/>
      </c>
      <c r="I190" t="n">
        <v>0</v>
      </c>
      <c r="J190" t="n">
        <v>0</v>
      </c>
      <c r="K190" t="n">
        <v>0</v>
      </c>
      <c r="L190" s="5" t="inlineStr"/>
      <c r="M190" s="5" t="n"/>
    </row>
    <row r="191">
      <c r="A191" t="inlineStr">
        <is>
          <t>YX-MOB-03</t>
        </is>
      </c>
      <c r="B191" t="inlineStr">
        <is>
          <t>M04</t>
        </is>
      </c>
      <c r="C191" t="inlineStr">
        <is>
          <t>YX-MOB</t>
        </is>
      </c>
      <c r="D191" t="inlineStr">
        <is>
          <t>6+</t>
        </is>
      </c>
      <c r="E191" s="5" t="inlineStr">
        <is>
          <t>The approvals inbox shows only items awaiting the viewer's action, grouped by type, with bulk approve for low-risk types (fixes U92).</t>
        </is>
      </c>
      <c r="F191" t="inlineStr">
        <is>
          <t>UI prototype only</t>
        </is>
      </c>
      <c r="H191">
        <f>IF(G191&lt;&gt;"",G191,F191)</f>
        <v/>
      </c>
      <c r="I191" t="n">
        <v>0</v>
      </c>
      <c r="J191" t="n">
        <v>0</v>
      </c>
      <c r="K191" t="n">
        <v>2</v>
      </c>
      <c r="L191" s="5" t="inlineStr"/>
      <c r="M191" s="5" t="n"/>
    </row>
    <row r="192">
      <c r="A192" t="inlineStr">
        <is>
          <t>YX-MOB-04</t>
        </is>
      </c>
      <c r="B192" t="inlineStr">
        <is>
          <t>M04</t>
        </is>
      </c>
      <c r="C192" t="inlineStr">
        <is>
          <t>YX-MOB</t>
        </is>
      </c>
      <c r="D192" t="inlineStr">
        <is>
          <t>6+</t>
        </is>
      </c>
      <c r="E192" s="5" t="inlineStr">
        <is>
          <t>Notifications are grouped by subject, show names rather than IDs, and deep-link to the record with its action (fixes U93).</t>
        </is>
      </c>
      <c r="F192" t="inlineStr">
        <is>
          <t>Not started</t>
        </is>
      </c>
      <c r="H192">
        <f>IF(G192&lt;&gt;"",G192,F192)</f>
        <v/>
      </c>
      <c r="I192" t="n">
        <v>0</v>
      </c>
      <c r="J192" t="n">
        <v>0</v>
      </c>
      <c r="K192" t="n">
        <v>0</v>
      </c>
      <c r="L192" s="5" t="inlineStr"/>
      <c r="M192" s="5" t="n"/>
    </row>
    <row r="193">
      <c r="A193" t="inlineStr">
        <is>
          <t>YX-MOB-05</t>
        </is>
      </c>
      <c r="B193" t="inlineStr">
        <is>
          <t>M04</t>
        </is>
      </c>
      <c r="C193" t="inlineStr">
        <is>
          <t>YX-MOB</t>
        </is>
      </c>
      <c r="D193" t="inlineStr">
        <is>
          <t>6+</t>
        </is>
      </c>
      <c r="E193" s="5" t="inlineStr">
        <is>
          <t>The check-in sheet shows shift, time to start, location verdict (inside / outside geofence, distance) and the reason if check-in is blocked (fixes U94).</t>
        </is>
      </c>
      <c r="F193" t="inlineStr">
        <is>
          <t>UI prototype only</t>
        </is>
      </c>
      <c r="H193">
        <f>IF(G193&lt;&gt;"",G193,F193)</f>
        <v/>
      </c>
      <c r="I193" t="n">
        <v>0</v>
      </c>
      <c r="J193" t="n">
        <v>0</v>
      </c>
      <c r="K193" t="n">
        <v>4</v>
      </c>
      <c r="L193" s="5" t="inlineStr"/>
      <c r="M193" s="5" t="n"/>
    </row>
    <row r="194">
      <c r="A194" t="inlineStr">
        <is>
          <t>YX-MOB-06</t>
        </is>
      </c>
      <c r="B194" t="inlineStr">
        <is>
          <t>M04</t>
        </is>
      </c>
      <c r="C194" t="inlineStr">
        <is>
          <t>YX-MOB</t>
        </is>
      </c>
      <c r="D194" t="inlineStr">
        <is>
          <t>6+</t>
        </is>
      </c>
      <c r="E194" s="5" t="inlineStr">
        <is>
          <t>The app loads to an interactive state in 3 s or less on a mid-range Android phone over 3G for Home and Time. The JavaScript for these tabs is kept to 200 KB gzipped or less.</t>
        </is>
      </c>
      <c r="F194" t="inlineStr">
        <is>
          <t>Not started</t>
        </is>
      </c>
      <c r="H194">
        <f>IF(G194&lt;&gt;"",G194,F194)</f>
        <v/>
      </c>
      <c r="I194" t="n">
        <v>0</v>
      </c>
      <c r="J194" t="n">
        <v>0</v>
      </c>
      <c r="K194" t="n">
        <v>0</v>
      </c>
      <c r="L194" s="5" t="inlineStr"/>
      <c r="M194" s="5" t="n"/>
    </row>
    <row r="195">
      <c r="A195" t="inlineStr">
        <is>
          <t>YX-MOB-07</t>
        </is>
      </c>
      <c r="B195" t="inlineStr">
        <is>
          <t>M04</t>
        </is>
      </c>
      <c r="C195" t="inlineStr">
        <is>
          <t>YX-MOB</t>
        </is>
      </c>
      <c r="D195" t="inlineStr">
        <is>
          <t>6+</t>
        </is>
      </c>
      <c r="E195" s="5" t="inlineStr">
        <is>
          <t>Sensitive screens (Pay, documents, bank and ID fields) follow the re-authentication rule in Q8. Screenshots are not blocked (a PWA can't), but the payslip PDF carries a watermark with the employee's name and download time.</t>
        </is>
      </c>
      <c r="F195" t="inlineStr">
        <is>
          <t>Not started</t>
        </is>
      </c>
      <c r="H195">
        <f>IF(G195&lt;&gt;"",G195,F195)</f>
        <v/>
      </c>
      <c r="I195" t="n">
        <v>0</v>
      </c>
      <c r="J195" t="n">
        <v>0</v>
      </c>
      <c r="K195" t="n">
        <v>0</v>
      </c>
      <c r="L195" s="5" t="inlineStr"/>
      <c r="M195" s="5" t="n"/>
    </row>
    <row r="196">
      <c r="A196" t="inlineStr">
        <is>
          <t>YX-MOB-08</t>
        </is>
      </c>
      <c r="B196" t="inlineStr">
        <is>
          <t>M04</t>
        </is>
      </c>
      <c r="C196" t="inlineStr">
        <is>
          <t>YX-MOB</t>
        </is>
      </c>
      <c r="D196" t="inlineStr">
        <is>
          <t>6+</t>
        </is>
      </c>
      <c r="E196" s="5" t="inlineStr">
        <is>
          <t>Check-in is accepted only from the employee's bound device when the company enables binding (Q3). Otherwise the device is recorded on every punch.</t>
        </is>
      </c>
      <c r="F196" t="inlineStr">
        <is>
          <t>Not started</t>
        </is>
      </c>
      <c r="H196">
        <f>IF(G196&lt;&gt;"",G196,F196)</f>
        <v/>
      </c>
      <c r="I196" t="n">
        <v>0</v>
      </c>
      <c r="J196" t="n">
        <v>0</v>
      </c>
      <c r="K196" t="n">
        <v>0</v>
      </c>
      <c r="L196" s="5" t="inlineStr"/>
      <c r="M196" s="5" t="n"/>
    </row>
    <row r="197">
      <c r="A197" t="inlineStr">
        <is>
          <t>YX-MOB-09</t>
        </is>
      </c>
      <c r="B197" t="inlineStr">
        <is>
          <t>M04</t>
        </is>
      </c>
      <c r="C197" t="inlineStr">
        <is>
          <t>YX-MOB</t>
        </is>
      </c>
      <c r="D197" t="inlineStr">
        <is>
          <t>6+</t>
        </is>
      </c>
      <c r="E197" s="5" t="inlineStr">
        <is>
          <t>A lost device can be signed out remotely by the employee (Me → Security) or by HR. This revokes its sessions and push tokens immediately.</t>
        </is>
      </c>
      <c r="F197" t="inlineStr">
        <is>
          <t>Not started</t>
        </is>
      </c>
      <c r="H197">
        <f>IF(G197&lt;&gt;"",G197,F197)</f>
        <v/>
      </c>
      <c r="I197" t="n">
        <v>0</v>
      </c>
      <c r="J197" t="n">
        <v>0</v>
      </c>
      <c r="K197" t="n">
        <v>0</v>
      </c>
      <c r="L197" s="5" t="inlineStr"/>
      <c r="M197" s="5" t="n"/>
    </row>
    <row r="198">
      <c r="A198" t="inlineStr">
        <is>
          <t>YX-MOB-10</t>
        </is>
      </c>
      <c r="B198" t="inlineStr">
        <is>
          <t>M04</t>
        </is>
      </c>
      <c r="C198" t="inlineStr">
        <is>
          <t>YX-MOB</t>
        </is>
      </c>
      <c r="D198" t="inlineStr">
        <is>
          <t>6+</t>
        </is>
      </c>
      <c r="E198" s="5" t="inlineStr">
        <is>
          <t>All UI text comes from the translation catalogue. Numbers, dates and currency use the user's locale. Layouts are tested with the longest language (Tamil).</t>
        </is>
      </c>
      <c r="F198" t="inlineStr">
        <is>
          <t>Not started</t>
        </is>
      </c>
      <c r="H198">
        <f>IF(G198&lt;&gt;"",G198,F198)</f>
        <v/>
      </c>
      <c r="I198" t="n">
        <v>0</v>
      </c>
      <c r="J198" t="n">
        <v>0</v>
      </c>
      <c r="K198" t="n">
        <v>0</v>
      </c>
      <c r="L198" s="5" t="inlineStr"/>
      <c r="M198" s="5" t="n"/>
    </row>
    <row r="199">
      <c r="A199" t="inlineStr">
        <is>
          <t>YX-MOB-11</t>
        </is>
      </c>
      <c r="B199" t="inlineStr">
        <is>
          <t>M04</t>
        </is>
      </c>
      <c r="C199" t="inlineStr">
        <is>
          <t>YX-MOB</t>
        </is>
      </c>
      <c r="D199" t="inlineStr">
        <is>
          <t>6+</t>
        </is>
      </c>
      <c r="E199" s="5" t="inlineStr">
        <is>
          <t>The kiosk, after employee code + PIN, lets the employee apply for leave and view the status of their requests, including those raised on their behalf (P03 proxy). Employees without the app are notified of proxy requests and their outcomes on the kiosk and by SMS / WhatsApp; the kiosk session auto-logs out as in Q4.</t>
        </is>
      </c>
      <c r="F199" t="inlineStr">
        <is>
          <t>Not started</t>
        </is>
      </c>
      <c r="H199">
        <f>IF(G199&lt;&gt;"",G199,F199)</f>
        <v/>
      </c>
      <c r="I199" t="n">
        <v>0</v>
      </c>
      <c r="J199" t="n">
        <v>0</v>
      </c>
      <c r="K199" t="n">
        <v>0</v>
      </c>
      <c r="L199" s="5" t="inlineStr"/>
      <c r="M199" s="5" t="n"/>
    </row>
    <row r="200">
      <c r="A200" t="inlineStr">
        <is>
          <t>YX-MOB-12</t>
        </is>
      </c>
      <c r="B200" t="inlineStr">
        <is>
          <t>M04</t>
        </is>
      </c>
      <c r="C200" t="inlineStr">
        <is>
          <t>YX-MOB</t>
        </is>
      </c>
      <c r="D200" t="inlineStr">
        <is>
          <t>6+</t>
        </is>
      </c>
      <c r="E200" s="5" t="inlineStr">
        <is>
          <t>The Time tab calendar marks late / early / missing / OT with the UI brief §6.3 colours (late = warning, never success); punch history is grouped by day under its day card; no request sheet asks the employee to pick an approver — P03 resolves it (YX-WF-03) (fixes U23).</t>
        </is>
      </c>
      <c r="F200" t="inlineStr">
        <is>
          <t>UI prototype only</t>
        </is>
      </c>
      <c r="H200">
        <f>IF(G200&lt;&gt;"",G200,F200)</f>
        <v/>
      </c>
      <c r="I200" t="n">
        <v>0</v>
      </c>
      <c r="J200" t="n">
        <v>0</v>
      </c>
      <c r="K200" t="n">
        <v>2</v>
      </c>
      <c r="L200" s="5" t="inlineStr"/>
      <c r="M200" s="5" t="n"/>
    </row>
    <row r="201">
      <c r="A201" t="inlineStr">
        <is>
          <t>YX-MOB-13</t>
        </is>
      </c>
      <c r="B201" t="inlineStr">
        <is>
          <t>M04</t>
        </is>
      </c>
      <c r="C201" t="inlineStr">
        <is>
          <t>YX-MOB</t>
        </is>
      </c>
      <c r="D201" t="inlineStr">
        <is>
          <t>6+</t>
        </is>
      </c>
      <c r="E201" s="5" t="inlineStr">
        <is>
          <t>Field tracking on the phone (B2): background location runs only in the store app, only after the in-app consent (M02 YX-AT-16) and the OS permission, and only between duty check-in and check-out; while it runs the app shows a persistent OS notification and a "Tracking on" chip on Home and Time; check-out, shift end + grace or consent withdrawal stops it at once; the PWA records points only while open and says so; visit photos are camera-only (no gallery) and stamped with time and location.</t>
        </is>
      </c>
      <c r="F201" t="inlineStr">
        <is>
          <t>Not started</t>
        </is>
      </c>
      <c r="H201">
        <f>IF(G201&lt;&gt;"",G201,F201)</f>
        <v/>
      </c>
      <c r="I201" t="n">
        <v>0</v>
      </c>
      <c r="J201" t="n">
        <v>0</v>
      </c>
      <c r="K201" t="n">
        <v>0</v>
      </c>
      <c r="L201" s="5" t="inlineStr"/>
      <c r="M201" s="5" t="n"/>
    </row>
    <row r="202">
      <c r="A202" t="inlineStr">
        <is>
          <t>YX-MOB-14</t>
        </is>
      </c>
      <c r="B202" t="inlineStr">
        <is>
          <t>M04</t>
        </is>
      </c>
      <c r="C202" t="inlineStr">
        <is>
          <t>YX-MOB</t>
        </is>
      </c>
      <c r="D202" t="inlineStr">
        <is>
          <t>6+</t>
        </is>
      </c>
      <c r="E202" s="5" t="inlineStr">
        <is>
          <t>EWA on the phone (B10): Pay › Get paid early requires re-authentication (Q8), shows the available amount, the fee in rupees, who pays it and the recovery payroll month before the confirm button, and shows each draw's status until recovered; nothing about EWA is sent in push / WhatsApp text beyond "your request was processed" (P04 Q6).</t>
        </is>
      </c>
      <c r="F202" t="inlineStr">
        <is>
          <t>Not started</t>
        </is>
      </c>
      <c r="H202">
        <f>IF(G202&lt;&gt;"",G202,F202)</f>
        <v/>
      </c>
      <c r="I202" t="n">
        <v>0</v>
      </c>
      <c r="J202" t="n">
        <v>0</v>
      </c>
      <c r="K202" t="n">
        <v>0</v>
      </c>
      <c r="L202" s="5" t="inlineStr"/>
      <c r="M202" s="5" t="n"/>
    </row>
    <row r="203">
      <c r="A203" t="inlineStr">
        <is>
          <t>YX-MOB-15</t>
        </is>
      </c>
      <c r="B203" t="inlineStr">
        <is>
          <t>M04</t>
        </is>
      </c>
      <c r="C203" t="inlineStr">
        <is>
          <t>YX-MOB</t>
        </is>
      </c>
      <c r="D203" t="inlineStr">
        <is>
          <t>6+</t>
        </is>
      </c>
      <c r="E203" s="5" t="inlineStr">
        <is>
          <t>Open shifts and bids (B3): the app lists only open shifts the employee is eligible for (server-side checks of skill, pool, conflicts, rest and hour caps, M02 YX-AT-20); a claim or bid shows its status and the final award; a claim never assigns the shift until the company's award rule and approval complete.</t>
        </is>
      </c>
      <c r="F203" t="inlineStr">
        <is>
          <t>Not started</t>
        </is>
      </c>
      <c r="H203">
        <f>IF(G203&lt;&gt;"",G203,F203)</f>
        <v/>
      </c>
      <c r="I203" t="n">
        <v>0</v>
      </c>
      <c r="J203" t="n">
        <v>0</v>
      </c>
      <c r="K203" t="n">
        <v>0</v>
      </c>
      <c r="L203" s="5" t="inlineStr"/>
      <c r="M203" s="5" t="n"/>
    </row>
    <row r="204">
      <c r="A204" t="inlineStr">
        <is>
          <t>YX-MOB-16</t>
        </is>
      </c>
      <c r="B204" t="inlineStr">
        <is>
          <t>M04</t>
        </is>
      </c>
      <c r="C204" t="inlineStr">
        <is>
          <t>YX-MOB</t>
        </is>
      </c>
      <c r="D204" t="inlineStr">
        <is>
          <t>6+</t>
        </is>
      </c>
      <c r="E204" s="5" t="inlineStr">
        <is>
          <t>Visitor approval (C1): a walk-in visitor creates a push to the host with an approval card (visitor photo, name, company, purpose, location); the host decides in one tap; with no decision within the company timeout the request returns to reception; visitor photos are not kept on the host's device after the decision.</t>
        </is>
      </c>
      <c r="F204" t="inlineStr">
        <is>
          <t>Not started</t>
        </is>
      </c>
      <c r="H204">
        <f>IF(G204&lt;&gt;"",G204,F204)</f>
        <v/>
      </c>
      <c r="I204" t="n">
        <v>0</v>
      </c>
      <c r="J204" t="n">
        <v>0</v>
      </c>
      <c r="K204" t="n">
        <v>0</v>
      </c>
      <c r="L204" s="5" t="inlineStr"/>
      <c r="M204" s="5" t="n"/>
    </row>
    <row r="205">
      <c r="A205" t="inlineStr">
        <is>
          <t>YX-MOB-17</t>
        </is>
      </c>
      <c r="B205" t="inlineStr">
        <is>
          <t>M04</t>
        </is>
      </c>
      <c r="C205" t="inlineStr">
        <is>
          <t>YX-MOB</t>
        </is>
      </c>
      <c r="D205" t="inlineStr">
        <is>
          <t>6+</t>
        </is>
      </c>
      <c r="E205" s="5" t="inlineStr">
        <is>
          <t>Candidate and invigilator app modes (gap-register tidy-up). The candidate and invigilator modes are separate role-limited modes of the same app: sign-in only through their P02 external login (YX-SEC-33), never an employee session or employee tabs. The candidate mode runs attempts only in Open or AI-only mode (YX-DLV-17); a test needing the secure client (T08) or Record &amp; review / Live / screen monitoring cannot start on a phone and tells the candidate to use a desktop. The invigilator mode acts only inside the assigned centre session (YX-DLV-19) and clears check-in photos from the device after</t>
        </is>
      </c>
      <c r="F205" t="inlineStr">
        <is>
          <t>Not started</t>
        </is>
      </c>
      <c r="H205">
        <f>IF(G205&lt;&gt;"",G205,F205)</f>
        <v/>
      </c>
      <c r="I205" t="n">
        <v>0</v>
      </c>
      <c r="J205" t="n">
        <v>0</v>
      </c>
      <c r="K205" t="n">
        <v>0</v>
      </c>
      <c r="L205" s="5" t="inlineStr"/>
      <c r="M205" s="5" t="n"/>
    </row>
    <row r="206">
      <c r="A206" t="inlineStr">
        <is>
          <t>YX-MOB-18</t>
        </is>
      </c>
      <c r="B206" t="inlineStr">
        <is>
          <t>M04</t>
        </is>
      </c>
      <c r="C206" t="inlineStr">
        <is>
          <t>YX-MOB</t>
        </is>
      </c>
      <c r="D206" t="inlineStr">
        <is>
          <t>6+</t>
        </is>
      </c>
      <c r="E206" s="5" t="inlineStr">
        <is>
          <t>Check-in sheet transparency (G7, extends YX-MOB-05): before the employee taps check-in the sheet shows a map with their GPS pin, the accuracy radius and the allowed geofence(s), the distance to the nearest one, a retry location action and, when outside or the fix is too coarse, a plain reason; a refused or abandoned attempt is sent to the server as a logged attempt (M02 YX-AT-23) and the sheet offers "ask HR to regularise" in one tap. Works offline via the Q7 / YX-AT-24 queue (the geofence verdict is then computed on sync).</t>
        </is>
      </c>
      <c r="F206" t="inlineStr">
        <is>
          <t>Not started</t>
        </is>
      </c>
      <c r="H206">
        <f>IF(G206&lt;&gt;"",G206,F206)</f>
        <v/>
      </c>
      <c r="I206" t="n">
        <v>0</v>
      </c>
      <c r="J206" t="n">
        <v>0</v>
      </c>
      <c r="K206" t="n">
        <v>0</v>
      </c>
      <c r="L206" s="5" t="inlineStr"/>
      <c r="M206" s="5" t="n"/>
    </row>
    <row r="207">
      <c r="A207" t="inlineStr">
        <is>
          <t>YX-MOB-19</t>
        </is>
      </c>
      <c r="B207" t="inlineStr">
        <is>
          <t>M04</t>
        </is>
      </c>
      <c r="C207" t="inlineStr">
        <is>
          <t>YX-MOB</t>
        </is>
      </c>
      <c r="D207" t="inlineStr">
        <is>
          <t>6+</t>
        </is>
      </c>
      <c r="E207" s="5" t="inlineStr">
        <is>
          <t>Performance budgets. Each release is checked in CI against budgets held as config: download size (Android target under 30 MB), cold start to a usable home screen on a 2 GB RAM reference Android phone (target under 3 s), minimum OS versions (published, reviewed yearly), crash-free users (target at least 99.5 % over 7 days; a staged rollout halts below it). Store rating prompts use the OS in-app review API only after a successful task, at most once per 90 days, never after an error. Numbers are starting targets, confirmed before pilot.</t>
        </is>
      </c>
      <c r="F207" t="inlineStr">
        <is>
          <t>Not started</t>
        </is>
      </c>
      <c r="H207">
        <f>IF(G207&lt;&gt;"",G207,F207)</f>
        <v/>
      </c>
      <c r="I207" t="n">
        <v>0</v>
      </c>
      <c r="J207" t="n">
        <v>0</v>
      </c>
      <c r="K207" t="n">
        <v>0</v>
      </c>
      <c r="L207" s="5" t="inlineStr"/>
      <c r="M207" s="5" t="n"/>
    </row>
    <row r="208">
      <c r="A208" t="inlineStr">
        <is>
          <t>YX-EXP-01</t>
        </is>
      </c>
      <c r="B208" t="inlineStr">
        <is>
          <t>M05</t>
        </is>
      </c>
      <c r="C208" t="inlineStr">
        <is>
          <t>YX-EXP</t>
        </is>
      </c>
      <c r="D208" t="inlineStr">
        <is>
          <t>6+</t>
        </is>
      </c>
      <c r="E208" s="5" t="inlineStr">
        <is>
          <t>Every line is checked against the employee's policy on its expense date: limit, receipt requirement, per-diem / mileage rate, category allowed for the grade. The results are shown on the line before submission and to the approver.</t>
        </is>
      </c>
      <c r="F208" t="inlineStr">
        <is>
          <t>UI prototype only</t>
        </is>
      </c>
      <c r="H208">
        <f>IF(G208&lt;&gt;"",G208,F208)</f>
        <v/>
      </c>
      <c r="I208" t="n">
        <v>0</v>
      </c>
      <c r="J208" t="n">
        <v>0</v>
      </c>
      <c r="K208" t="n">
        <v>2</v>
      </c>
      <c r="L208" s="5" t="inlineStr"/>
      <c r="M208" s="5" t="n"/>
    </row>
    <row r="209">
      <c r="A209" t="inlineStr">
        <is>
          <t>YX-EXP-02</t>
        </is>
      </c>
      <c r="B209" t="inlineStr">
        <is>
          <t>M05</t>
        </is>
      </c>
      <c r="C209" t="inlineStr">
        <is>
          <t>YX-EXP</t>
        </is>
      </c>
      <c r="D209" t="inlineStr">
        <is>
          <t>6+</t>
        </is>
      </c>
      <c r="E209" s="5" t="inlineStr">
        <is>
          <t>Over-limit lines follow Q7 and are never silently cut. When an approver reduces an amount, a reason is required and shown to the employee as "approved ₹X of ₹Y — reason" (fixes U61, U68).</t>
        </is>
      </c>
      <c r="F209" t="inlineStr">
        <is>
          <t>UI prototype only</t>
        </is>
      </c>
      <c r="H209">
        <f>IF(G209&lt;&gt;"",G209,F209)</f>
        <v/>
      </c>
      <c r="I209" t="n">
        <v>0</v>
      </c>
      <c r="J209" t="n">
        <v>0</v>
      </c>
      <c r="K209" t="n">
        <v>2</v>
      </c>
      <c r="L209" s="5" t="inlineStr"/>
      <c r="M209" s="5" t="n"/>
    </row>
    <row r="210">
      <c r="A210" t="inlineStr">
        <is>
          <t>YX-EXP-03</t>
        </is>
      </c>
      <c r="B210" t="inlineStr">
        <is>
          <t>M05</t>
        </is>
      </c>
      <c r="C210" t="inlineStr">
        <is>
          <t>YX-EXP</t>
        </is>
      </c>
      <c r="D210" t="inlineStr">
        <is>
          <t>6+</t>
        </is>
      </c>
      <c r="E210" s="5" t="inlineStr">
        <is>
          <t>A receipt is required above the category's threshold (Q4). Mileage (km × rate) and per-diem (days × rate) lines are computed, not typed.</t>
        </is>
      </c>
      <c r="F210" t="inlineStr">
        <is>
          <t>UI prototype only</t>
        </is>
      </c>
      <c r="H210">
        <f>IF(G210&lt;&gt;"",G210,F210)</f>
        <v/>
      </c>
      <c r="I210" t="n">
        <v>0</v>
      </c>
      <c r="J210" t="n">
        <v>0</v>
      </c>
      <c r="K210" t="n">
        <v>2</v>
      </c>
      <c r="L210" s="5" t="inlineStr"/>
      <c r="M210" s="5" t="n"/>
    </row>
    <row r="211">
      <c r="A211" t="inlineStr">
        <is>
          <t>YX-EXP-04</t>
        </is>
      </c>
      <c r="B211" t="inlineStr">
        <is>
          <t>M05</t>
        </is>
      </c>
      <c r="C211" t="inlineStr">
        <is>
          <t>YX-EXP</t>
        </is>
      </c>
      <c r="D211" t="inlineStr">
        <is>
          <t>6+</t>
        </is>
      </c>
      <c r="E211" s="5" t="inlineStr">
        <is>
          <t>Duplicate check: same employee, amount, date and merchant, or an identical receipt image hash, or the same GST invoice number from the same supplier across the tenant. These are flagged to the approver and finance; exact image duplicates are blocked.</t>
        </is>
      </c>
      <c r="F211" t="inlineStr">
        <is>
          <t>UI prototype only</t>
        </is>
      </c>
      <c r="H211">
        <f>IF(G211&lt;&gt;"",G211,F211)</f>
        <v/>
      </c>
      <c r="I211" t="n">
        <v>0</v>
      </c>
      <c r="J211" t="n">
        <v>0</v>
      </c>
      <c r="K211" t="n">
        <v>2</v>
      </c>
      <c r="L211" s="5" t="inlineStr"/>
      <c r="M211" s="5" t="n"/>
    </row>
    <row r="212">
      <c r="A212" t="inlineStr">
        <is>
          <t>YX-EXP-05</t>
        </is>
      </c>
      <c r="B212" t="inlineStr">
        <is>
          <t>M05</t>
        </is>
      </c>
      <c r="C212" t="inlineStr">
        <is>
          <t>YX-EXP</t>
        </is>
      </c>
      <c r="D212" t="inlineStr">
        <is>
          <t>6+</t>
        </is>
      </c>
      <c r="E212" s="5" t="inlineStr">
        <is>
          <t>Approvers come from the P03 chain on the server; a client-chosen approver is ignored (fixes EX-D3). Amount-based routing uses the claim total.</t>
        </is>
      </c>
      <c r="F212" t="inlineStr">
        <is>
          <t>Not started</t>
        </is>
      </c>
      <c r="H212">
        <f>IF(G212&lt;&gt;"",G212,F212)</f>
        <v/>
      </c>
      <c r="I212" t="n">
        <v>0</v>
      </c>
      <c r="J212" t="n">
        <v>0</v>
      </c>
      <c r="K212" t="n">
        <v>0</v>
      </c>
      <c r="L212" s="5" t="inlineStr"/>
      <c r="M212" s="5" t="n"/>
    </row>
    <row r="213">
      <c r="A213" t="inlineStr">
        <is>
          <t>YX-EXP-06</t>
        </is>
      </c>
      <c r="B213" t="inlineStr">
        <is>
          <t>M05</t>
        </is>
      </c>
      <c r="C213" t="inlineStr">
        <is>
          <t>YX-EXP</t>
        </is>
      </c>
      <c r="D213" t="inlineStr">
        <is>
          <t>6+</t>
        </is>
      </c>
      <c r="E213" s="5" t="inlineStr">
        <is>
          <t>Net payable = approved − advance adjusted. It is the first figure shown on the claim, the list, mobile and reports (fixes U63, U66).</t>
        </is>
      </c>
      <c r="F213" t="inlineStr">
        <is>
          <t>UI prototype only</t>
        </is>
      </c>
      <c r="H213">
        <f>IF(G213&lt;&gt;"",G213,F213)</f>
        <v/>
      </c>
      <c r="I213" t="n">
        <v>0</v>
      </c>
      <c r="J213" t="n">
        <v>0</v>
      </c>
      <c r="K213" t="n">
        <v>4</v>
      </c>
      <c r="L213" s="5" t="inlineStr"/>
      <c r="M213" s="5" t="n"/>
    </row>
    <row r="214">
      <c r="A214" t="inlineStr">
        <is>
          <t>YX-EXP-07</t>
        </is>
      </c>
      <c r="B214" t="inlineStr">
        <is>
          <t>M05</t>
        </is>
      </c>
      <c r="C214" t="inlineStr">
        <is>
          <t>YX-EXP</t>
        </is>
      </c>
      <c r="D214" t="inlineStr">
        <is>
          <t>6+</t>
        </is>
      </c>
      <c r="E214" s="5" t="inlineStr">
        <is>
          <t>Payment status is separate from approval status. A claim is marked paid only when the payroll run is paid or the payout/bank file is confirmed (fixes U62).</t>
        </is>
      </c>
      <c r="F214" t="inlineStr">
        <is>
          <t>Not started</t>
        </is>
      </c>
      <c r="H214">
        <f>IF(G214&lt;&gt;"",G214,F214)</f>
        <v/>
      </c>
      <c r="I214" t="n">
        <v>0</v>
      </c>
      <c r="J214" t="n">
        <v>0</v>
      </c>
      <c r="K214" t="n">
        <v>0</v>
      </c>
      <c r="L214" s="5" t="inlineStr"/>
      <c r="M214" s="5" t="n"/>
    </row>
    <row r="215">
      <c r="A215" t="inlineStr">
        <is>
          <t>YX-EXP-08</t>
        </is>
      </c>
      <c r="B215" t="inlineStr">
        <is>
          <t>M05</t>
        </is>
      </c>
      <c r="C215" t="inlineStr">
        <is>
          <t>YX-EXP</t>
        </is>
      </c>
      <c r="D215" t="inlineStr">
        <is>
          <t>6+</t>
        </is>
      </c>
      <c r="E215" s="5" t="inlineStr">
        <is>
          <t>Travel requests are available to all employees; a trip's approved advance creates the advance record automatically (fixes EX-D1, EX-D6).</t>
        </is>
      </c>
      <c r="F215" t="inlineStr">
        <is>
          <t>Not started</t>
        </is>
      </c>
      <c r="H215">
        <f>IF(G215&lt;&gt;"",G215,F215)</f>
        <v/>
      </c>
      <c r="I215" t="n">
        <v>0</v>
      </c>
      <c r="J215" t="n">
        <v>0</v>
      </c>
      <c r="K215" t="n">
        <v>0</v>
      </c>
      <c r="L215" s="5" t="inlineStr"/>
      <c r="M215" s="5" t="n"/>
    </row>
    <row r="216">
      <c r="A216" t="inlineStr">
        <is>
          <t>YX-EXP-09</t>
        </is>
      </c>
      <c r="B216" t="inlineStr">
        <is>
          <t>M05</t>
        </is>
      </c>
      <c r="C216" t="inlineStr">
        <is>
          <t>YX-EXP</t>
        </is>
      </c>
      <c r="D216" t="inlineStr">
        <is>
          <t>6+</t>
        </is>
      </c>
      <c r="E216" s="5" t="inlineStr">
        <is>
          <t>Unsettled advances older than the settlement window (default 30 days after the trip ends) trigger reminders, then recovery per Q6. At exit, open balances go to F&amp;F (fixes U65, EX-D9).</t>
        </is>
      </c>
      <c r="F216" t="inlineStr">
        <is>
          <t>Not started</t>
        </is>
      </c>
      <c r="H216">
        <f>IF(G216&lt;&gt;"",G216,F216)</f>
        <v/>
      </c>
      <c r="I216" t="n">
        <v>0</v>
      </c>
      <c r="J216" t="n">
        <v>0</v>
      </c>
      <c r="K216" t="n">
        <v>0</v>
      </c>
      <c r="L216" s="5" t="inlineStr"/>
      <c r="M216" s="5" t="n"/>
    </row>
    <row r="217">
      <c r="A217" t="inlineStr">
        <is>
          <t>YX-EXP-10</t>
        </is>
      </c>
      <c r="B217" t="inlineStr">
        <is>
          <t>M05</t>
        </is>
      </c>
      <c r="C217" t="inlineStr">
        <is>
          <t>YX-EXP</t>
        </is>
      </c>
      <c r="D217" t="inlineStr">
        <is>
          <t>6+</t>
        </is>
      </c>
      <c r="E217" s="5" t="inlineStr">
        <is>
          <t>Taxable categories (per P07 and company settings) flow to M03 as taxable reimbursement; exempt ones do not affect TDS.</t>
        </is>
      </c>
      <c r="F217" t="inlineStr">
        <is>
          <t>Not started</t>
        </is>
      </c>
      <c r="H217">
        <f>IF(G217&lt;&gt;"",G217,F217)</f>
        <v/>
      </c>
      <c r="I217" t="n">
        <v>0</v>
      </c>
      <c r="J217" t="n">
        <v>0</v>
      </c>
      <c r="K217" t="n">
        <v>0</v>
      </c>
      <c r="L217" s="5" t="inlineStr"/>
      <c r="M217" s="5" t="n"/>
    </row>
    <row r="218">
      <c r="A218" t="inlineStr">
        <is>
          <t>YX-EXP-11</t>
        </is>
      </c>
      <c r="B218" t="inlineStr">
        <is>
          <t>M05</t>
        </is>
      </c>
      <c r="C218" t="inlineStr">
        <is>
          <t>YX-EXP</t>
        </is>
      </c>
      <c r="D218" t="inlineStr">
        <is>
          <t>6+</t>
        </is>
      </c>
      <c r="E218" s="5" t="inlineStr">
        <is>
          <t>Approved claims post accounting lines (expense head, GST input when captured, cost centre, employee payable) exported via P10.</t>
        </is>
      </c>
      <c r="F218" t="inlineStr">
        <is>
          <t>Not started</t>
        </is>
      </c>
      <c r="H218">
        <f>IF(G218&lt;&gt;"",G218,F218)</f>
        <v/>
      </c>
      <c r="I218" t="n">
        <v>0</v>
      </c>
      <c r="J218" t="n">
        <v>0</v>
      </c>
      <c r="K218" t="n">
        <v>0</v>
      </c>
      <c r="L218" s="5" t="inlineStr"/>
      <c r="M218" s="5" t="n"/>
    </row>
    <row r="219">
      <c r="A219" t="inlineStr">
        <is>
          <t>YX-EXP-12</t>
        </is>
      </c>
      <c r="B219" t="inlineStr">
        <is>
          <t>M05</t>
        </is>
      </c>
      <c r="C219" t="inlineStr">
        <is>
          <t>YX-EXP</t>
        </is>
      </c>
      <c r="D219" t="inlineStr">
        <is>
          <t>6+</t>
        </is>
      </c>
      <c r="E219" s="5" t="inlineStr">
        <is>
          <t>Claims are locked after payment; corrections are made with a new adjustment line (positive or recovery), never by editing a paid line.</t>
        </is>
      </c>
      <c r="F219" t="inlineStr">
        <is>
          <t>Not started</t>
        </is>
      </c>
      <c r="H219">
        <f>IF(G219&lt;&gt;"",G219,F219)</f>
        <v/>
      </c>
      <c r="I219" t="n">
        <v>0</v>
      </c>
      <c r="J219" t="n">
        <v>0</v>
      </c>
      <c r="K219" t="n">
        <v>0</v>
      </c>
      <c r="L219" s="5" t="inlineStr"/>
      <c r="M219" s="5" t="n"/>
    </row>
    <row r="220">
      <c r="A220" t="inlineStr">
        <is>
          <t>YX-EXP-13</t>
        </is>
      </c>
      <c r="B220" t="inlineStr">
        <is>
          <t>M05</t>
        </is>
      </c>
      <c r="C220" t="inlineStr">
        <is>
          <t>YX-EXP</t>
        </is>
      </c>
      <c r="D220" t="inlineStr">
        <is>
          <t>6+</t>
        </is>
      </c>
      <c r="E220" s="5" t="inlineStr">
        <is>
          <t>Payment status follows M03 payroll outcomes: payroll.run.paid marks payroll-routed claims paid (emitting expense.claim.paid) and records the advance instalments recovered; payroll.run.voided returns those claims to approved-unpaid, queued for the next run; payment.failed sets the claim to payment failed and offers re-route (next payroll or direct payout); recovery.deferred shifts the advance's remaining instalments to the deferred period, keeping the open balance (to F&amp;F if still open at exit, YX-EXP-09). Each transition is idempotent on the source event id.</t>
        </is>
      </c>
      <c r="F220" t="inlineStr">
        <is>
          <t>Not started</t>
        </is>
      </c>
      <c r="H220">
        <f>IF(G220&lt;&gt;"",G220,F220)</f>
        <v/>
      </c>
      <c r="I220" t="n">
        <v>0</v>
      </c>
      <c r="J220" t="n">
        <v>0</v>
      </c>
      <c r="K220" t="n">
        <v>0</v>
      </c>
      <c r="L220" s="5" t="inlineStr"/>
      <c r="M220" s="5" t="n"/>
    </row>
    <row r="221">
      <c r="A221" t="inlineStr">
        <is>
          <t>YX-EXP-14</t>
        </is>
      </c>
      <c r="B221" t="inlineStr">
        <is>
          <t>M05</t>
        </is>
      </c>
      <c r="C221" t="inlineStr">
        <is>
          <t>YX-EXP</t>
        </is>
      </c>
      <c r="D221" t="inlineStr">
        <is>
          <t>6+</t>
        </is>
      </c>
      <c r="E221" s="5" t="inlineStr">
        <is>
          <t>Multi-currency lines (B18): a line in a foreign currency is converted to the pay currency using the company's FX source (starter: central-bank reference rate on the expense date), storing rate, source and rate date; an employee-entered actual rate needs proof (card / forex statement) and a difference above the company tolerance (starter 3 %) is flagged to the approver; policy limits are checked in the currency of the policy row (country per-diem rows in their own currency, others in the pay currency); the approver sees both amounts. Rates used on a paid claim never change.</t>
        </is>
      </c>
      <c r="F221" t="inlineStr">
        <is>
          <t>UI prototype only</t>
        </is>
      </c>
      <c r="H221">
        <f>IF(G221&lt;&gt;"",G221,F221)</f>
        <v/>
      </c>
      <c r="I221" t="n">
        <v>0</v>
      </c>
      <c r="J221" t="n">
        <v>0</v>
      </c>
      <c r="K221" t="n">
        <v>2</v>
      </c>
      <c r="L221" s="5" t="inlineStr"/>
      <c r="M221" s="5" t="n"/>
    </row>
    <row r="222">
      <c r="A222" t="inlineStr">
        <is>
          <t>YX-EXP-15</t>
        </is>
      </c>
      <c r="B222" t="inlineStr">
        <is>
          <t>M05</t>
        </is>
      </c>
      <c r="C222" t="inlineStr">
        <is>
          <t>YX-EXP</t>
        </is>
      </c>
      <c r="D222" t="inlineStr">
        <is>
          <t>6+</t>
        </is>
      </c>
      <c r="E222" s="5" t="inlineStr">
        <is>
          <t>Forex advances (B18): an advance issued in a foreign currency (cash or forex card) is settled in that currency against the trip's lines in the same currency; the unspent balance is returned or recovered at the rate of the company's FX source on the return / recovery date, and the exchange difference is shown as its own line on the settlement and posted to the company's exchange-difference account in the journal (P10 Q7).</t>
        </is>
      </c>
      <c r="F222" t="inlineStr">
        <is>
          <t>Not started</t>
        </is>
      </c>
      <c r="H222">
        <f>IF(G222&lt;&gt;"",G222,F222)</f>
        <v/>
      </c>
      <c r="I222" t="n">
        <v>0</v>
      </c>
      <c r="J222" t="n">
        <v>0</v>
      </c>
      <c r="K222" t="n">
        <v>0</v>
      </c>
      <c r="L222" s="5" t="inlineStr"/>
      <c r="M222" s="5" t="n"/>
    </row>
    <row r="223">
      <c r="A223" t="inlineStr">
        <is>
          <t>YX-EXP-16</t>
        </is>
      </c>
      <c r="B223" t="inlineStr">
        <is>
          <t>M05</t>
        </is>
      </c>
      <c r="C223" t="inlineStr">
        <is>
          <t>YX-EXP</t>
        </is>
      </c>
      <c r="D223" t="inlineStr">
        <is>
          <t>6+</t>
        </is>
      </c>
      <c r="E223" s="5" t="inlineStr">
        <is>
          <t>Field-force mileage (B2): a draft mileage line created from M02 field-force distance is not submitted until the employee confirms or edits it (edits keep the system distance for the approver to compare); rates, limits and approvals are those of an ordinary mileage line; one draft per employee per duty day.</t>
        </is>
      </c>
      <c r="F223" t="inlineStr">
        <is>
          <t>Not started</t>
        </is>
      </c>
      <c r="H223">
        <f>IF(G223&lt;&gt;"",G223,F223)</f>
        <v/>
      </c>
      <c r="I223" t="n">
        <v>0</v>
      </c>
      <c r="J223" t="n">
        <v>0</v>
      </c>
      <c r="K223" t="n">
        <v>0</v>
      </c>
      <c r="L223" s="5" t="inlineStr"/>
      <c r="M223" s="5" t="n"/>
    </row>
    <row r="224">
      <c r="A224" t="inlineStr">
        <is>
          <t>YX-PERF-01</t>
        </is>
      </c>
      <c r="B224" t="inlineStr">
        <is>
          <t>M06</t>
        </is>
      </c>
      <c r="C224" t="inlineStr">
        <is>
          <t>YX-PERF</t>
        </is>
      </c>
      <c r="D224" t="inlineStr">
        <is>
          <t>6+</t>
        </is>
      </c>
      <c r="E224" s="5" t="inlineStr">
        <is>
          <t>Goal progress is calculated from its key results, or from its children's weighted progress. It is never typed when key results exist. A goal's parent may be owned by anyone (fixes U70, U71).</t>
        </is>
      </c>
      <c r="F224" t="inlineStr">
        <is>
          <t>Tested, code not linked</t>
        </is>
      </c>
      <c r="H224">
        <f>IF(G224&lt;&gt;"",G224,F224)</f>
        <v/>
      </c>
      <c r="I224" t="n">
        <v>0</v>
      </c>
      <c r="J224" t="n">
        <v>2</v>
      </c>
      <c r="K224" t="n">
        <v>4</v>
      </c>
      <c r="L224" s="5" t="inlineStr">
        <is>
          <t>exam-app-org:packages/yx-ui/src/screens/growth/growth.test.tsx
exam-app-ws:packages/yx-ui/src/screens/growth/growth.test.tsx</t>
        </is>
      </c>
      <c r="M224" s="5" t="n"/>
    </row>
    <row r="225">
      <c r="A225" t="inlineStr">
        <is>
          <t>YX-PERF-02</t>
        </is>
      </c>
      <c r="B225" t="inlineStr">
        <is>
          <t>M06</t>
        </is>
      </c>
      <c r="C225" t="inlineStr">
        <is>
          <t>YX-PERF</t>
        </is>
      </c>
      <c r="D225" t="inlineStr">
        <is>
          <t>6+</t>
        </is>
      </c>
      <c r="E225" s="5" t="inlineStr">
        <is>
          <t>Scores include only completed sections. Missing inputs show "pending" and never count as 0. A section without goals is excluded, with a warning (fixes U69, PF-D3).</t>
        </is>
      </c>
      <c r="F225" t="inlineStr">
        <is>
          <t>Tested, code not linked</t>
        </is>
      </c>
      <c r="H225">
        <f>IF(G225&lt;&gt;"",G225,F225)</f>
        <v/>
      </c>
      <c r="I225" t="n">
        <v>0</v>
      </c>
      <c r="J225" t="n">
        <v>2</v>
      </c>
      <c r="K225" t="n">
        <v>4</v>
      </c>
      <c r="L225" s="5" t="inlineStr">
        <is>
          <t>exam-app-org:packages/yx-ui/src/screens/growth/growth.test.tsx
exam-app-ws:packages/yx-ui/src/screens/growth/growth.test.tsx</t>
        </is>
      </c>
      <c r="M225" s="5" t="n"/>
    </row>
    <row r="226">
      <c r="A226" t="inlineStr">
        <is>
          <t>YX-PERF-03</t>
        </is>
      </c>
      <c r="B226" t="inlineStr">
        <is>
          <t>M06</t>
        </is>
      </c>
      <c r="C226" t="inlineStr">
        <is>
          <t>YX-PERF</t>
        </is>
      </c>
      <c r="D226" t="inlineStr">
        <is>
          <t>6+</t>
        </is>
      </c>
      <c r="E226" s="5" t="inlineStr">
        <is>
          <t>The manager rating is a separate stage from peer feedback. Peer input is advisory and never averaged into the manager rating unless the template says so (fixes U72).</t>
        </is>
      </c>
      <c r="F226" t="inlineStr">
        <is>
          <t>Not started</t>
        </is>
      </c>
      <c r="H226">
        <f>IF(G226&lt;&gt;"",G226,F226)</f>
        <v/>
      </c>
      <c r="I226" t="n">
        <v>0</v>
      </c>
      <c r="J226" t="n">
        <v>0</v>
      </c>
      <c r="K226" t="n">
        <v>0</v>
      </c>
      <c r="L226" s="5" t="inlineStr"/>
      <c r="M226" s="5" t="n"/>
    </row>
    <row r="227">
      <c r="A227" t="inlineStr">
        <is>
          <t>YX-PERF-04</t>
        </is>
      </c>
      <c r="B227" t="inlineStr">
        <is>
          <t>M06</t>
        </is>
      </c>
      <c r="C227" t="inlineStr">
        <is>
          <t>YX-PERF</t>
        </is>
      </c>
      <c r="D227" t="inlineStr">
        <is>
          <t>6+</t>
        </is>
      </c>
      <c r="E227" s="5" t="inlineStr">
        <is>
          <t>Only nominated and approved reviewers can give 360° feedback on a review. Quick feedback outside a review goes to any colleague, but follows the visibility rule (fixes PF-D1).</t>
        </is>
      </c>
      <c r="F227" t="inlineStr">
        <is>
          <t>UI prototype only</t>
        </is>
      </c>
      <c r="H227">
        <f>IF(G227&lt;&gt;"",G227,F227)</f>
        <v/>
      </c>
      <c r="I227" t="n">
        <v>0</v>
      </c>
      <c r="J227" t="n">
        <v>0</v>
      </c>
      <c r="K227" t="n">
        <v>2</v>
      </c>
      <c r="L227" s="5" t="inlineStr"/>
      <c r="M227" s="5" t="n"/>
    </row>
    <row r="228">
      <c r="A228" t="inlineStr">
        <is>
          <t>YX-PERF-05</t>
        </is>
      </c>
      <c r="B228" t="inlineStr">
        <is>
          <t>M06</t>
        </is>
      </c>
      <c r="C228" t="inlineStr">
        <is>
          <t>YX-PERF</t>
        </is>
      </c>
      <c r="D228" t="inlineStr">
        <is>
          <t>6+</t>
        </is>
      </c>
      <c r="E228" s="5" t="inlineStr">
        <is>
          <t>Anonymity per Q4. Anonymous feedback is shown only when at least 3 responses exist for that relationship group. Otherwise it is merged into "others" or held back.</t>
        </is>
      </c>
      <c r="F228" t="inlineStr">
        <is>
          <t>Tested, code not linked</t>
        </is>
      </c>
      <c r="H228">
        <f>IF(G228&lt;&gt;"",G228,F228)</f>
        <v/>
      </c>
      <c r="I228" t="n">
        <v>0</v>
      </c>
      <c r="J228" t="n">
        <v>2</v>
      </c>
      <c r="K228" t="n">
        <v>2</v>
      </c>
      <c r="L228" s="5" t="inlineStr">
        <is>
          <t>exam-app-org:packages/yx-ui/src/screens/growth/growth.test.tsx
exam-app-ws:packages/yx-ui/src/screens/growth/growth.test.tsx</t>
        </is>
      </c>
      <c r="M228" s="5" t="n"/>
    </row>
    <row r="229">
      <c r="A229" t="inlineStr">
        <is>
          <t>YX-PERF-06</t>
        </is>
      </c>
      <c r="B229" t="inlineStr">
        <is>
          <t>M06</t>
        </is>
      </c>
      <c r="C229" t="inlineStr">
        <is>
          <t>YX-PERF</t>
        </is>
      </c>
      <c r="D229" t="inlineStr">
        <is>
          <t>6+</t>
        </is>
      </c>
      <c r="E229" s="5" t="inlineStr">
        <is>
          <t>Each stage has an owner and a deadline, with reminders and escalation via P03. The employee always sees the current stage and the next step (fixes U73).</t>
        </is>
      </c>
      <c r="F229" t="inlineStr">
        <is>
          <t>UI prototype only</t>
        </is>
      </c>
      <c r="H229">
        <f>IF(G229&lt;&gt;"",G229,F229)</f>
        <v/>
      </c>
      <c r="I229" t="n">
        <v>0</v>
      </c>
      <c r="J229" t="n">
        <v>0</v>
      </c>
      <c r="K229" t="n">
        <v>2</v>
      </c>
      <c r="L229" s="5" t="inlineStr"/>
      <c r="M229" s="5" t="n"/>
    </row>
    <row r="230">
      <c r="A230" t="inlineStr">
        <is>
          <t>YX-PERF-07</t>
        </is>
      </c>
      <c r="B230" t="inlineStr">
        <is>
          <t>M06</t>
        </is>
      </c>
      <c r="C230" t="inlineStr">
        <is>
          <t>YX-PERF</t>
        </is>
      </c>
      <c r="D230" t="inlineStr">
        <is>
          <t>6+</t>
        </is>
      </c>
      <c r="E230" s="5" t="inlineStr">
        <is>
          <t>The final score maps to a band label (e.g. "Exceeds expectations"). Bands and scale come from the cycle (Q3).</t>
        </is>
      </c>
      <c r="F230" t="inlineStr">
        <is>
          <t>UI prototype only</t>
        </is>
      </c>
      <c r="H230">
        <f>IF(G230&lt;&gt;"",G230,F230)</f>
        <v/>
      </c>
      <c r="I230" t="n">
        <v>0</v>
      </c>
      <c r="J230" t="n">
        <v>0</v>
      </c>
      <c r="K230" t="n">
        <v>4</v>
      </c>
      <c r="L230" s="5" t="inlineStr"/>
      <c r="M230" s="5" t="n"/>
    </row>
    <row r="231">
      <c r="A231" t="inlineStr">
        <is>
          <t>YX-PERF-08</t>
        </is>
      </c>
      <c r="B231" t="inlineStr">
        <is>
          <t>M06</t>
        </is>
      </c>
      <c r="C231" t="inlineStr">
        <is>
          <t>YX-PERF</t>
        </is>
      </c>
      <c r="D231" t="inlineStr">
        <is>
          <t>6+</t>
        </is>
      </c>
      <c r="E231" s="5" t="inlineStr">
        <is>
          <t>Any calibration change records the before value, after value, reason and who made it. The employee sees only the released final rating.</t>
        </is>
      </c>
      <c r="F231" t="inlineStr">
        <is>
          <t>UI prototype only</t>
        </is>
      </c>
      <c r="H231">
        <f>IF(G231&lt;&gt;"",G231,F231)</f>
        <v/>
      </c>
      <c r="I231" t="n">
        <v>0</v>
      </c>
      <c r="J231" t="n">
        <v>0</v>
      </c>
      <c r="K231" t="n">
        <v>4</v>
      </c>
      <c r="L231" s="5" t="inlineStr"/>
      <c r="M231" s="5" t="n"/>
    </row>
    <row r="232">
      <c r="A232" t="inlineStr">
        <is>
          <t>YX-PERF-09</t>
        </is>
      </c>
      <c r="B232" t="inlineStr">
        <is>
          <t>M06</t>
        </is>
      </c>
      <c r="C232" t="inlineStr">
        <is>
          <t>YX-PERF</t>
        </is>
      </c>
      <c r="D232" t="inlineStr">
        <is>
          <t>6+</t>
        </is>
      </c>
      <c r="E232" s="5" t="inlineStr">
        <is>
          <t>Ratings are released to employees only at the cycle's release step. A released review can only be reopened by HR with a reason, and this is audited.</t>
        </is>
      </c>
      <c r="F232" t="inlineStr">
        <is>
          <t>Not started</t>
        </is>
      </c>
      <c r="H232">
        <f>IF(G232&lt;&gt;"",G232,F232)</f>
        <v/>
      </c>
      <c r="I232" t="n">
        <v>0</v>
      </c>
      <c r="J232" t="n">
        <v>0</v>
      </c>
      <c r="K232" t="n">
        <v>0</v>
      </c>
      <c r="L232" s="5" t="inlineStr"/>
      <c r="M232" s="5" t="n"/>
    </row>
    <row r="233">
      <c r="A233" t="inlineStr">
        <is>
          <t>YX-PERF-10</t>
        </is>
      </c>
      <c r="B233" t="inlineStr">
        <is>
          <t>M06</t>
        </is>
      </c>
      <c r="C233" t="inlineStr">
        <is>
          <t>YX-PERF</t>
        </is>
      </c>
      <c r="D233" t="inlineStr">
        <is>
          <t>6+</t>
        </is>
      </c>
      <c r="E233" s="5" t="inlineStr">
        <is>
          <t>Comp proposals come from the matrix (Q6). Changes outside the matrix range need a justification and an extra approval. Approved proposals create dated compensation or promotion changes (P06) and letters (P05).</t>
        </is>
      </c>
      <c r="F233" t="inlineStr">
        <is>
          <t>Tested, code not linked</t>
        </is>
      </c>
      <c r="H233">
        <f>IF(G233&lt;&gt;"",G233,F233)</f>
        <v/>
      </c>
      <c r="I233" t="n">
        <v>0</v>
      </c>
      <c r="J233" t="n">
        <v>2</v>
      </c>
      <c r="K233" t="n">
        <v>4</v>
      </c>
      <c r="L233" s="5" t="inlineStr">
        <is>
          <t>exam-app-org:packages/yx-ui/src/screens/growth/growth.test.tsx
exam-app-ws:packages/yx-ui/src/screens/growth/growth.test.tsx</t>
        </is>
      </c>
      <c r="M233" s="5" t="n"/>
    </row>
    <row r="234">
      <c r="A234" t="inlineStr">
        <is>
          <t>YX-PERF-11</t>
        </is>
      </c>
      <c r="B234" t="inlineStr">
        <is>
          <t>M06</t>
        </is>
      </c>
      <c r="C234" t="inlineStr">
        <is>
          <t>YX-PERF</t>
        </is>
      </c>
      <c r="D234" t="inlineStr">
        <is>
          <t>6+</t>
        </is>
      </c>
      <c r="E234" s="5" t="inlineStr">
        <is>
          <t>A PIP needs HR approval to start, has fixed check-ins and ends with a recorded outcome. "Not met" can start an M01 exit case, but never automatically.</t>
        </is>
      </c>
      <c r="F234" t="inlineStr">
        <is>
          <t>UI prototype only</t>
        </is>
      </c>
      <c r="H234">
        <f>IF(G234&lt;&gt;"",G234,F234)</f>
        <v/>
      </c>
      <c r="I234" t="n">
        <v>0</v>
      </c>
      <c r="J234" t="n">
        <v>0</v>
      </c>
      <c r="K234" t="n">
        <v>2</v>
      </c>
      <c r="L234" s="5" t="inlineStr"/>
      <c r="M234" s="5" t="n"/>
    </row>
    <row r="235">
      <c r="A235" t="inlineStr">
        <is>
          <t>YX-PERF-12</t>
        </is>
      </c>
      <c r="B235" t="inlineStr">
        <is>
          <t>M06</t>
        </is>
      </c>
      <c r="C235" t="inlineStr">
        <is>
          <t>YX-PERF</t>
        </is>
      </c>
      <c r="D235" t="inlineStr">
        <is>
          <t>6+</t>
        </is>
      </c>
      <c r="E235" s="5" t="inlineStr">
        <is>
          <t>Cycle funnel counts are clickable and lead to the list of names (fixes U74).</t>
        </is>
      </c>
      <c r="F235" t="inlineStr">
        <is>
          <t>UI prototype only</t>
        </is>
      </c>
      <c r="H235">
        <f>IF(G235&lt;&gt;"",G235,F235)</f>
        <v/>
      </c>
      <c r="I235" t="n">
        <v>0</v>
      </c>
      <c r="J235" t="n">
        <v>0</v>
      </c>
      <c r="K235" t="n">
        <v>2</v>
      </c>
      <c r="L235" s="5" t="inlineStr"/>
      <c r="M235" s="5" t="n"/>
    </row>
    <row r="236">
      <c r="A236" t="inlineStr">
        <is>
          <t>YX-PERF-13</t>
        </is>
      </c>
      <c r="B236" t="inlineStr">
        <is>
          <t>M06</t>
        </is>
      </c>
      <c r="C236" t="inlineStr">
        <is>
          <t>YX-PERF</t>
        </is>
      </c>
      <c r="D236" t="inlineStr">
        <is>
          <t>6+</t>
        </is>
      </c>
      <c r="E236" s="5" t="inlineStr">
        <is>
          <t>When a manager leaves or changes mid-cycle, in-flight artefacts transfer on the effective date and each transfer is logged: a pending manager-review stage → new manager (the old manager may be added as a named reviewer for input if still employed); 360° nominations awaiting approval → new manager; calibration sessions the old manager facilitated → HR reassigns; comp proposals they authored → new manager or HR; PIP ownership and check-ins → new manager, HR notified; 1-on-1 threads: shared notes and open action items move, private notes stay with their author; goals whose parent is the old manag</t>
        </is>
      </c>
      <c r="F236" t="inlineStr">
        <is>
          <t>UI prototype only</t>
        </is>
      </c>
      <c r="H236">
        <f>IF(G236&lt;&gt;"",G236,F236)</f>
        <v/>
      </c>
      <c r="I236" t="n">
        <v>0</v>
      </c>
      <c r="J236" t="n">
        <v>0</v>
      </c>
      <c r="K236" t="n">
        <v>2</v>
      </c>
      <c r="L236" s="5" t="inlineStr"/>
      <c r="M236" s="5" t="n"/>
    </row>
    <row r="237">
      <c r="A237" t="inlineStr">
        <is>
          <t>YX-PERF-14</t>
        </is>
      </c>
      <c r="B237" t="inlineStr">
        <is>
          <t>M06</t>
        </is>
      </c>
      <c r="C237" t="inlineStr">
        <is>
          <t>YX-PERF</t>
        </is>
      </c>
      <c r="D237" t="inlineStr">
        <is>
          <t>6+</t>
        </is>
      </c>
      <c r="E237" s="5" t="inlineStr">
        <is>
          <t>IDP (B16). An employee has at most one active IDP per period; the employee drafts it, the manager approves it (P03). A course item creates an M07 enrolment request that follows M07 approval and budget rules (YX-LRN-07); learning.enrolment.completed marks the item done and YX-LRN-03 updates the competency. A competency item is done when the competency rating reaches the target level (review or skills test evidence). A mentor item is active only after the mentor accepts; the mentor sees only the items they are named on, never ratings. IDP check-ins reuse 1-on-1s. On a manager change the IDP foll</t>
        </is>
      </c>
      <c r="F237" t="inlineStr">
        <is>
          <t>Not started</t>
        </is>
      </c>
      <c r="H237">
        <f>IF(G237&lt;&gt;"",G237,F237)</f>
        <v/>
      </c>
      <c r="I237" t="n">
        <v>0</v>
      </c>
      <c r="J237" t="n">
        <v>0</v>
      </c>
      <c r="K237" t="n">
        <v>0</v>
      </c>
      <c r="L237" s="5" t="inlineStr"/>
      <c r="M237" s="5" t="n"/>
    </row>
    <row r="238">
      <c r="A238" t="inlineStr">
        <is>
          <t>YX-PERF-15</t>
        </is>
      </c>
      <c r="B238" t="inlineStr">
        <is>
          <t>M06</t>
        </is>
      </c>
      <c r="C238" t="inlineStr">
        <is>
          <t>YX-PERF</t>
        </is>
      </c>
      <c r="D238" t="inlineStr">
        <is>
          <t>6+</t>
        </is>
      </c>
      <c r="E238" s="5" t="inlineStr">
        <is>
          <t>Career paths (B16). Paths, steps and required competency levels are company data (D17; starter template labelled as such). An employee's gap for a next role = required level − current rated level per competency; missing ratings show "not assessed", never 0 (as YX-PERF-02). Gaps can be added to the IDP in one click. A path never promotes anyone: promotions still come only from comp review / P06 changes (YX-PERF-10).</t>
        </is>
      </c>
      <c r="F238" t="inlineStr">
        <is>
          <t>UI prototype only</t>
        </is>
      </c>
      <c r="H238">
        <f>IF(G238&lt;&gt;"",G238,F238)</f>
        <v/>
      </c>
      <c r="I238" t="n">
        <v>0</v>
      </c>
      <c r="J238" t="n">
        <v>0</v>
      </c>
      <c r="K238" t="n">
        <v>2</v>
      </c>
      <c r="L238" s="5" t="inlineStr"/>
      <c r="M238" s="5" t="n"/>
    </row>
    <row r="239">
      <c r="A239" t="inlineStr">
        <is>
          <t>YX-PERF-16</t>
        </is>
      </c>
      <c r="B239" t="inlineStr">
        <is>
          <t>M06</t>
        </is>
      </c>
      <c r="C239" t="inlineStr">
        <is>
          <t>YX-PERF</t>
        </is>
      </c>
      <c r="D239" t="inlineStr">
        <is>
          <t>6+</t>
        </is>
      </c>
      <c r="E239" s="5" t="inlineStr">
        <is>
          <t>Talent pools and succession (B16). Pool membership comes from the 9-box / calibration outcome or an HR nomination, always with a reason and audited. Membership is Confidential, HR and leadership only; it is shown to the employee only if the company turns on "tell pool members" (D17, off in the starter template). HR can propose a pool member as a successor on an M01 critical position (M01 Q8); readiness is kept in one place (M01 succession_candidates) and shown here read-only. A successor's IDP is linked from the succession view.</t>
        </is>
      </c>
      <c r="F239" t="inlineStr">
        <is>
          <t>Not started</t>
        </is>
      </c>
      <c r="H239">
        <f>IF(G239&lt;&gt;"",G239,F239)</f>
        <v/>
      </c>
      <c r="I239" t="n">
        <v>0</v>
      </c>
      <c r="J239" t="n">
        <v>0</v>
      </c>
      <c r="K239" t="n">
        <v>0</v>
      </c>
      <c r="L239" s="5" t="inlineStr"/>
      <c r="M239" s="5" t="n"/>
    </row>
    <row r="240">
      <c r="A240" t="inlineStr">
        <is>
          <t>YX-PERF-17</t>
        </is>
      </c>
      <c r="B240" t="inlineStr">
        <is>
          <t>M06</t>
        </is>
      </c>
      <c r="C240" t="inlineStr">
        <is>
          <t>YX-PERF</t>
        </is>
      </c>
      <c r="D240" t="inlineStr">
        <is>
          <t>6+</t>
        </is>
      </c>
      <c r="E240" s="5" t="inlineStr">
        <is>
          <t>Attrition-risk signal (B16; P10). Opt-in per company. Scored in-region by YukthiX (no external LLM for the score) from permitted inputs only: tenure, time since last promotion / increment, compa-ratio, rating trend, manager changes, internal-mobility applications, engagement survey aggregates (M09, respecting its anonymity). Never used as inputs: Special data (health, disability, POSH, disciplinary, biometrics), protected attributes (gender, age, religion, caste, marital status, maternity / paternity leave) or individual survey answers. Output is a band with top factors, shown to HR only; ever</t>
        </is>
      </c>
      <c r="F240" t="inlineStr">
        <is>
          <t>Not started</t>
        </is>
      </c>
      <c r="H240">
        <f>IF(G240&lt;&gt;"",G240,F240)</f>
        <v/>
      </c>
      <c r="I240" t="n">
        <v>0</v>
      </c>
      <c r="J240" t="n">
        <v>0</v>
      </c>
      <c r="K240" t="n">
        <v>0</v>
      </c>
      <c r="L240" s="5" t="inlineStr"/>
      <c r="M240" s="5" t="n"/>
    </row>
    <row r="241">
      <c r="A241" t="inlineStr">
        <is>
          <t>YX-PERF-18</t>
        </is>
      </c>
      <c r="B241" t="inlineStr">
        <is>
          <t>M06</t>
        </is>
      </c>
      <c r="C241" t="inlineStr">
        <is>
          <t>YX-PERF</t>
        </is>
      </c>
      <c r="D241" t="inlineStr">
        <is>
          <t>6+</t>
        </is>
      </c>
      <c r="E241" s="5" t="inlineStr">
        <is>
          <t>Pay equity (C3). Inside a comp review (and in HR analytics), HR and finance approvers see pay gaps by gender, grade, role and location: mean and median, raw and adjusted (same grade and role), both before and after the current proposals. Results are Confidential; groups below the P09 threshold show "suppressed" (YX-MET-04), including in exports. Employees whose pay sits below their grade-and-role peer median by more than a company-set threshold (starter template 10 %) are flagged as advisory for the reviewer; nothing is adjusted automatically. Managers proposing inside their own comp review se</t>
        </is>
      </c>
      <c r="F241" t="inlineStr">
        <is>
          <t>Not started</t>
        </is>
      </c>
      <c r="H241">
        <f>IF(G241&lt;&gt;"",G241,F241)</f>
        <v/>
      </c>
      <c r="I241" t="n">
        <v>0</v>
      </c>
      <c r="J241" t="n">
        <v>0</v>
      </c>
      <c r="K241" t="n">
        <v>0</v>
      </c>
      <c r="L241" s="5" t="inlineStr"/>
      <c r="M241" s="5" t="n"/>
    </row>
    <row r="242">
      <c r="A242" t="inlineStr">
        <is>
          <t>YX-PERF-19</t>
        </is>
      </c>
      <c r="B242" t="inlineStr">
        <is>
          <t>M06</t>
        </is>
      </c>
      <c r="C242" t="inlineStr">
        <is>
          <t>YX-PERF</t>
        </is>
      </c>
      <c r="D242" t="inlineStr">
        <is>
          <t>6+</t>
        </is>
      </c>
      <c r="E242" s="5" t="inlineStr">
        <is>
          <t>Market benchmarks (C3; D18). The partner benchmarking feed is a paid add-on (third-party data, D18 (3)); a company may instead upload its own survey data at no charge. HR maps designation / grade / location to the source's job codes. The comp review sheet shows the market P25–P75 range and the market ratio (pay ÷ P50) beside the compa-ratio; the company chooses whether the comp matrix uses internal grade ranges or market position (D17). YukthiX sends no employee-level data to the benchmark partner; only the job-code query goes out. Each figure shows its source and effective date; stale data (o</t>
        </is>
      </c>
      <c r="F242" t="inlineStr">
        <is>
          <t>Not started</t>
        </is>
      </c>
      <c r="H242">
        <f>IF(G242&lt;&gt;"",G242,F242)</f>
        <v/>
      </c>
      <c r="I242" t="n">
        <v>0</v>
      </c>
      <c r="J242" t="n">
        <v>0</v>
      </c>
      <c r="K242" t="n">
        <v>0</v>
      </c>
      <c r="L242" s="5" t="inlineStr"/>
      <c r="M242" s="5" t="n"/>
    </row>
    <row r="243">
      <c r="A243" t="inlineStr">
        <is>
          <t>YX-PERF-20</t>
        </is>
      </c>
      <c r="B243" t="inlineStr">
        <is>
          <t>M06</t>
        </is>
      </c>
      <c r="C243" t="inlineStr">
        <is>
          <t>YX-PERF</t>
        </is>
      </c>
      <c r="D243" t="inlineStr">
        <is>
          <t>6+</t>
        </is>
      </c>
      <c r="E243" s="5" t="inlineStr">
        <is>
          <t>Skills library and mapped views (T2). Competencies, T01 question tags and M10 scorecard skills each reference a company_skills row through skill_mappings; a skill in use can't be deleted, only retired or merged, and every view follows. AI skill suggestions (P10 AI credits and data tiers, YX-AI-02) stay pending until the employee or their manager confirms; a rejected suggestion isn't re-offered from the same evidence. Only confirmed skills feed career-path gaps, IDPs, talent pools, M07 recommendations and staffing search, and each skill shows its source (self, manager, test, course, project, AI</t>
        </is>
      </c>
      <c r="F243" t="inlineStr">
        <is>
          <t>UI prototype only</t>
        </is>
      </c>
      <c r="H243">
        <f>IF(G243&lt;&gt;"",G243,F243)</f>
        <v/>
      </c>
      <c r="I243" t="n">
        <v>0</v>
      </c>
      <c r="J243" t="n">
        <v>0</v>
      </c>
      <c r="K243" t="n">
        <v>2</v>
      </c>
      <c r="L243" s="5" t="inlineStr"/>
      <c r="M243" s="5" t="n"/>
    </row>
    <row r="244">
      <c r="A244" t="inlineStr">
        <is>
          <t>YX-PERF-21</t>
        </is>
      </c>
      <c r="B244" t="inlineStr">
        <is>
          <t>M06</t>
        </is>
      </c>
      <c r="C244" t="inlineStr">
        <is>
          <t>YX-PERF</t>
        </is>
      </c>
      <c r="D244" t="inlineStr">
        <is>
          <t>6+</t>
        </is>
      </c>
      <c r="E244" s="5" t="inlineStr">
        <is>
          <t>Cycle eligibility and proration (J11). When a cycle starts, each employee gets a review_eligibility record from the company rules (starter template, D17: joined after the 3-month cut-off → excluded or probation review instead; mid-cycle joiner → goals for months served; leaver → closed without a rating unless the company opts in; transfer → both managers' inputs weighted by months; maternity or long leave of 3+ months → protected: no rating lowered for the leave period, not counted in forced distribution). Increments are prorated by eligible months ÷ cycle months unless the rule says full; lea</t>
        </is>
      </c>
      <c r="F244" t="inlineStr">
        <is>
          <t>Tested, code not linked</t>
        </is>
      </c>
      <c r="H244">
        <f>IF(G244&lt;&gt;"",G244,F244)</f>
        <v/>
      </c>
      <c r="I244" t="n">
        <v>0</v>
      </c>
      <c r="J244" t="n">
        <v>2</v>
      </c>
      <c r="K244" t="n">
        <v>8</v>
      </c>
      <c r="L244" s="5" t="inlineStr">
        <is>
          <t>exam-app-org:packages/yx-ui/src/screens/growth/growth.test.tsx
exam-app-ws:packages/yx-ui/src/screens/growth/growth.test.tsx</t>
        </is>
      </c>
      <c r="M244" s="5" t="n"/>
    </row>
    <row r="245">
      <c r="A245" t="inlineStr">
        <is>
          <t>YX-PERF-22</t>
        </is>
      </c>
      <c r="B245" t="inlineStr">
        <is>
          <t>M06</t>
        </is>
      </c>
      <c r="C245" t="inlineStr">
        <is>
          <t>YX-PERF</t>
        </is>
      </c>
      <c r="D245" t="inlineStr">
        <is>
          <t>6+</t>
        </is>
      </c>
      <c r="E245" s="5" t="inlineStr">
        <is>
          <t>Own pay band and pay-gap hooks (T4). With the setting on, an employee sees their own grade's min / mid / max from P01 grade_pay_ranges for their entity and currency on the effective date, and their position (below / within / above, quartile), never anyone else's pay; a grade without a range shows "no range set". The YX-PERF-18 engine exposes gender pay-gap figures as P09 metrics for the legal pay-gap reports (EU Directive, US state formats) and the right-to-information answer (average pay by gender for the same grade / work), with P09 suppression.</t>
        </is>
      </c>
      <c r="F245" t="inlineStr">
        <is>
          <t>Not started</t>
        </is>
      </c>
      <c r="H245">
        <f>IF(G245&lt;&gt;"",G245,F245)</f>
        <v/>
      </c>
      <c r="I245" t="n">
        <v>0</v>
      </c>
      <c r="J245" t="n">
        <v>0</v>
      </c>
      <c r="K245" t="n">
        <v>0</v>
      </c>
      <c r="L245" s="5" t="inlineStr"/>
      <c r="M245" s="5" t="n"/>
    </row>
    <row r="246">
      <c r="A246" t="inlineStr">
        <is>
          <t>YX-LRN-01</t>
        </is>
      </c>
      <c r="B246" t="inlineStr">
        <is>
          <t>M07</t>
        </is>
      </c>
      <c r="C246" t="inlineStr">
        <is>
          <t>YX-LRN</t>
        </is>
      </c>
      <c r="D246" t="inlineStr">
        <is>
          <t>6+</t>
        </is>
      </c>
      <c r="E246" s="5" t="inlineStr">
        <is>
          <t>Completion requires meeting the course's completion criteria: attendance ≥ the threshold for sessions, all required items for self-paced courses, and a pass score when an assessment is attached (taken from the enrolment's T03 employee invitation result). An absent attendee is never marked completed (fixes MS-D1).</t>
        </is>
      </c>
      <c r="F246" t="inlineStr">
        <is>
          <t>Tested, code not linked</t>
        </is>
      </c>
      <c r="H246">
        <f>IF(G246&lt;&gt;"",G246,F246)</f>
        <v/>
      </c>
      <c r="I246" t="n">
        <v>0</v>
      </c>
      <c r="J246" t="n">
        <v>2</v>
      </c>
      <c r="K246" t="n">
        <v>2</v>
      </c>
      <c r="L246" s="5" t="inlineStr">
        <is>
          <t>exam-app-org:packages/yx-ui/src/screens/growth/growth.test.tsx
exam-app-ws:packages/yx-ui/src/screens/growth/growth.test.tsx</t>
        </is>
      </c>
      <c r="M246" s="5" t="n"/>
    </row>
    <row r="247">
      <c r="A247" t="inlineStr">
        <is>
          <t>YX-LRN-02</t>
        </is>
      </c>
      <c r="B247" t="inlineStr">
        <is>
          <t>M07</t>
        </is>
      </c>
      <c r="C247" t="inlineStr">
        <is>
          <t>YX-LRN</t>
        </is>
      </c>
      <c r="D247" t="inlineStr">
        <is>
          <t>6+</t>
        </is>
      </c>
      <c r="E247" s="5" t="inlineStr">
        <is>
          <t>Completing a course with a certificate template issues the certificate automatically as a P05 document with QR verification (fixes MS-D2, U86).</t>
        </is>
      </c>
      <c r="F247" t="inlineStr">
        <is>
          <t>Not started</t>
        </is>
      </c>
      <c r="H247">
        <f>IF(G247&lt;&gt;"",G247,F247)</f>
        <v/>
      </c>
      <c r="I247" t="n">
        <v>0</v>
      </c>
      <c r="J247" t="n">
        <v>0</v>
      </c>
      <c r="K247" t="n">
        <v>0</v>
      </c>
      <c r="L247" s="5" t="inlineStr"/>
      <c r="M247" s="5" t="n"/>
    </row>
    <row r="248">
      <c r="A248" t="inlineStr">
        <is>
          <t>YX-LRN-03</t>
        </is>
      </c>
      <c r="B248" t="inlineStr">
        <is>
          <t>M07</t>
        </is>
      </c>
      <c r="C248" t="inlineStr">
        <is>
          <t>YX-LRN</t>
        </is>
      </c>
      <c r="D248" t="inlineStr">
        <is>
          <t>6+</t>
        </is>
      </c>
      <c r="E248" s="5" t="inlineStr">
        <is>
          <t>Completion updates the employee's competency profile at the course's mapped level. Evidence is linked (fixes U87).</t>
        </is>
      </c>
      <c r="F248" t="inlineStr">
        <is>
          <t>Not started</t>
        </is>
      </c>
      <c r="H248">
        <f>IF(G248&lt;&gt;"",G248,F248)</f>
        <v/>
      </c>
      <c r="I248" t="n">
        <v>0</v>
      </c>
      <c r="J248" t="n">
        <v>0</v>
      </c>
      <c r="K248" t="n">
        <v>0</v>
      </c>
      <c r="L248" s="5" t="inlineStr"/>
      <c r="M248" s="5" t="n"/>
    </row>
    <row r="249">
      <c r="A249" t="inlineStr">
        <is>
          <t>YX-LRN-04</t>
        </is>
      </c>
      <c r="B249" t="inlineStr">
        <is>
          <t>M07</t>
        </is>
      </c>
      <c r="C249" t="inlineStr">
        <is>
          <t>YX-LRN</t>
        </is>
      </c>
      <c r="D249" t="inlineStr">
        <is>
          <t>6+</t>
        </is>
      </c>
      <c r="E249" s="5" t="inlineStr">
        <is>
          <t>Assignment rules are evaluated daily and on events (join, transfer, role change). Enrolments carry due dates, with P04 reminders before and escalation to the manager after.</t>
        </is>
      </c>
      <c r="F249" t="inlineStr">
        <is>
          <t>Not started</t>
        </is>
      </c>
      <c r="H249">
        <f>IF(G249&lt;&gt;"",G249,F249)</f>
        <v/>
      </c>
      <c r="I249" t="n">
        <v>0</v>
      </c>
      <c r="J249" t="n">
        <v>0</v>
      </c>
      <c r="K249" t="n">
        <v>0</v>
      </c>
      <c r="L249" s="5" t="inlineStr"/>
      <c r="M249" s="5" t="n"/>
    </row>
    <row r="250">
      <c r="A250" t="inlineStr">
        <is>
          <t>YX-LRN-05</t>
        </is>
      </c>
      <c r="B250" t="inlineStr">
        <is>
          <t>M07</t>
        </is>
      </c>
      <c r="C250" t="inlineStr">
        <is>
          <t>YX-LRN</t>
        </is>
      </c>
      <c r="D250" t="inlineStr">
        <is>
          <t>6+</t>
        </is>
      </c>
      <c r="E250" s="5" t="inlineStr">
        <is>
          <t>A certification's expiry creates a renewal enrolment N days before (default 30). Expired mandatory certifications show as non-compliant on the compliance dashboard.</t>
        </is>
      </c>
      <c r="F250" t="inlineStr">
        <is>
          <t>UI prototype only</t>
        </is>
      </c>
      <c r="H250">
        <f>IF(G250&lt;&gt;"",G250,F250)</f>
        <v/>
      </c>
      <c r="I250" t="n">
        <v>0</v>
      </c>
      <c r="J250" t="n">
        <v>0</v>
      </c>
      <c r="K250" t="n">
        <v>2</v>
      </c>
      <c r="L250" s="5" t="inlineStr"/>
      <c r="M250" s="5" t="n"/>
    </row>
    <row r="251">
      <c r="A251" t="inlineStr">
        <is>
          <t>YX-LRN-06</t>
        </is>
      </c>
      <c r="B251" t="inlineStr">
        <is>
          <t>M07</t>
        </is>
      </c>
      <c r="C251" t="inlineStr">
        <is>
          <t>YX-LRN</t>
        </is>
      </c>
      <c r="D251" t="inlineStr">
        <is>
          <t>6+</t>
        </is>
      </c>
      <c r="E251" s="5" t="inlineStr">
        <is>
          <t>Session seat limits are enforced, with a first-come waitlist; a withdrawal promotes the next person and notifies them.</t>
        </is>
      </c>
      <c r="F251" t="inlineStr">
        <is>
          <t>Tested, code not linked</t>
        </is>
      </c>
      <c r="H251">
        <f>IF(G251&lt;&gt;"",G251,F251)</f>
        <v/>
      </c>
      <c r="I251" t="n">
        <v>0</v>
      </c>
      <c r="J251" t="n">
        <v>2</v>
      </c>
      <c r="K251" t="n">
        <v>2</v>
      </c>
      <c r="L251" s="5" t="inlineStr">
        <is>
          <t>exam-app-org:packages/yx-ui/src/screens/growth/growth.test.tsx
exam-app-ws:packages/yx-ui/src/screens/growth/growth.test.tsx</t>
        </is>
      </c>
      <c r="M251" s="5" t="n"/>
    </row>
    <row r="252">
      <c r="A252" t="inlineStr">
        <is>
          <t>YX-LRN-07</t>
        </is>
      </c>
      <c r="B252" t="inlineStr">
        <is>
          <t>M07</t>
        </is>
      </c>
      <c r="C252" t="inlineStr">
        <is>
          <t>YX-LRN</t>
        </is>
      </c>
      <c r="D252" t="inlineStr">
        <is>
          <t>6+</t>
        </is>
      </c>
      <c r="E252" s="5" t="inlineStr">
        <is>
          <t>Nominations and self-enrolments that need approval (per course / cost setting) go through P03. Cost is checked against the department budget, with a warning or block per company setting.</t>
        </is>
      </c>
      <c r="F252" t="inlineStr">
        <is>
          <t>Tested, code not linked</t>
        </is>
      </c>
      <c r="H252">
        <f>IF(G252&lt;&gt;"",G252,F252)</f>
        <v/>
      </c>
      <c r="I252" t="n">
        <v>0</v>
      </c>
      <c r="J252" t="n">
        <v>2</v>
      </c>
      <c r="K252" t="n">
        <v>2</v>
      </c>
      <c r="L252" s="5" t="inlineStr">
        <is>
          <t>exam-app-org:packages/yx-ui/src/screens/growth/growth.test.tsx
exam-app-ws:packages/yx-ui/src/screens/growth/growth.test.tsx</t>
        </is>
      </c>
      <c r="M252" s="5" t="n"/>
    </row>
    <row r="253">
      <c r="A253" t="inlineStr">
        <is>
          <t>YX-LRN-08</t>
        </is>
      </c>
      <c r="B253" t="inlineStr">
        <is>
          <t>M07</t>
        </is>
      </c>
      <c r="C253" t="inlineStr">
        <is>
          <t>YX-LRN</t>
        </is>
      </c>
      <c r="D253" t="inlineStr">
        <is>
          <t>6+</t>
        </is>
      </c>
      <c r="E253" s="5" t="inlineStr">
        <is>
          <t>One session record holds schedule, attendance, results, cost and feedback. There are no separate result or feedback documents (fixes U86).</t>
        </is>
      </c>
      <c r="F253" t="inlineStr">
        <is>
          <t>UI prototype only</t>
        </is>
      </c>
      <c r="H253">
        <f>IF(G253&lt;&gt;"",G253,F253)</f>
        <v/>
      </c>
      <c r="I253" t="n">
        <v>0</v>
      </c>
      <c r="J253" t="n">
        <v>0</v>
      </c>
      <c r="K253" t="n">
        <v>2</v>
      </c>
      <c r="L253" s="5" t="inlineStr"/>
      <c r="M253" s="5" t="n"/>
    </row>
    <row r="254">
      <c r="A254" t="inlineStr">
        <is>
          <t>YX-LRN-09</t>
        </is>
      </c>
      <c r="B254" t="inlineStr">
        <is>
          <t>M07</t>
        </is>
      </c>
      <c r="C254" t="inlineStr">
        <is>
          <t>YX-LRN</t>
        </is>
      </c>
      <c r="D254" t="inlineStr">
        <is>
          <t>6+</t>
        </is>
      </c>
      <c r="E254" s="5" t="inlineStr">
        <is>
          <t>SCORM 1.2 / 2004 packages run in a sandboxed player. Completion and score come from the package's reported status.</t>
        </is>
      </c>
      <c r="F254" t="inlineStr">
        <is>
          <t>UI prototype only</t>
        </is>
      </c>
      <c r="H254">
        <f>IF(G254&lt;&gt;"",G254,F254)</f>
        <v/>
      </c>
      <c r="I254" t="n">
        <v>0</v>
      </c>
      <c r="J254" t="n">
        <v>0</v>
      </c>
      <c r="K254" t="n">
        <v>2</v>
      </c>
      <c r="L254" s="5" t="inlineStr"/>
      <c r="M254" s="5" t="n"/>
    </row>
    <row r="255">
      <c r="A255" t="inlineStr">
        <is>
          <t>YX-LRN-10</t>
        </is>
      </c>
      <c r="B255" t="inlineStr">
        <is>
          <t>M07</t>
        </is>
      </c>
      <c r="C255" t="inlineStr">
        <is>
          <t>YX-LRN</t>
        </is>
      </c>
      <c r="D255" t="inlineStr">
        <is>
          <t>6+</t>
        </is>
      </c>
      <c r="E255" s="5" t="inlineStr">
        <is>
          <t>Content provider connectors (C2; D18). LinkedIn Learning, Coursera and Udemy Business connect with the customer's own licence and credentials (P10 secrets); the connector is included in the price, the content licence is the customer's contract with the provider, and licensed partner content packs sold through YukthiX are an add-on (D18 (3)); a connector to another provider built for one customer is a custom-connection add-on (D18 (4)). Catalogue sync creates external courses that behave like any course (assignment rules, paths, IDPs, competency mapping). Learners are matched by work email; unm</t>
        </is>
      </c>
      <c r="F255" t="inlineStr">
        <is>
          <t>Not started</t>
        </is>
      </c>
      <c r="H255">
        <f>IF(G255&lt;&gt;"",G255,F255)</f>
        <v/>
      </c>
      <c r="I255" t="n">
        <v>0</v>
      </c>
      <c r="J255" t="n">
        <v>0</v>
      </c>
      <c r="K255" t="n">
        <v>0</v>
      </c>
      <c r="L255" s="5" t="inlineStr"/>
      <c r="M255" s="5" t="n"/>
    </row>
    <row r="256">
      <c r="A256" t="inlineStr">
        <is>
          <t>YX-LRN-11</t>
        </is>
      </c>
      <c r="B256" t="inlineStr">
        <is>
          <t>M07</t>
        </is>
      </c>
      <c r="C256" t="inlineStr">
        <is>
          <t>YX-LRN</t>
        </is>
      </c>
      <c r="D256" t="inlineStr">
        <is>
          <t>6+</t>
        </is>
      </c>
      <c r="E256" s="5" t="inlineStr">
        <is>
          <t>Live-class auto-creation (C2). Per course (starter template: on), scheduling a virtual session creates the Zoom / Teams / Meet meeting through the P10 connector on the organiser's connected account (trainer, or L&amp;D when an external trainer has none) and sends calendar invites to enrolled attendees; enrolment changes, reschedules and cancellation update the same meeting. Attendance (Q7) uses the provider's participant report where the connector supports it (join / leave times → slot attendance), otherwise the join-link log, and the trainer confirms before completion. Meeting-platform licences a</t>
        </is>
      </c>
      <c r="F256" t="inlineStr">
        <is>
          <t>Not started</t>
        </is>
      </c>
      <c r="H256">
        <f>IF(G256&lt;&gt;"",G256,F256)</f>
        <v/>
      </c>
      <c r="I256" t="n">
        <v>0</v>
      </c>
      <c r="J256" t="n">
        <v>0</v>
      </c>
      <c r="K256" t="n">
        <v>0</v>
      </c>
      <c r="L256" s="5" t="inlineStr"/>
      <c r="M256" s="5" t="n"/>
    </row>
    <row r="257">
      <c r="A257" t="inlineStr">
        <is>
          <t>YX-LRN-12</t>
        </is>
      </c>
      <c r="B257" t="inlineStr">
        <is>
          <t>M07</t>
        </is>
      </c>
      <c r="C257" t="inlineStr">
        <is>
          <t>YX-LRN</t>
        </is>
      </c>
      <c r="D257" t="inlineStr">
        <is>
          <t>6+</t>
        </is>
      </c>
      <c r="E257" s="5" t="inlineStr">
        <is>
          <t>Gamification (C2; D17). Off until the company switches it on; point and badge rules come from a labelled starter template the company edits. Points are append-only in a ledger (reversals as negative entries, e.g. a completion undone). Leaderboards are scoped (team / department / company, per period) and show points only. Any employee can opt out of leaderboards at any time (they still see their own points and badges privately). Points and badges never feed ratings, pay or any M06 decision. Mandatory compliance courses may earn points but never rank people on compliance status.</t>
        </is>
      </c>
      <c r="F257" t="inlineStr">
        <is>
          <t>Not started</t>
        </is>
      </c>
      <c r="H257">
        <f>IF(G257&lt;&gt;"",G257,F257)</f>
        <v/>
      </c>
      <c r="I257" t="n">
        <v>0</v>
      </c>
      <c r="J257" t="n">
        <v>0</v>
      </c>
      <c r="K257" t="n">
        <v>0</v>
      </c>
      <c r="L257" s="5" t="inlineStr"/>
      <c r="M257" s="5" t="n"/>
    </row>
    <row r="258">
      <c r="A258" t="inlineStr">
        <is>
          <t>YX-LRN-13</t>
        </is>
      </c>
      <c r="B258" t="inlineStr">
        <is>
          <t>M07</t>
        </is>
      </c>
      <c r="C258" t="inlineStr">
        <is>
          <t>YX-LRN</t>
        </is>
      </c>
      <c r="D258" t="inlineStr">
        <is>
          <t>6+</t>
        </is>
      </c>
      <c r="E258" s="5" t="inlineStr">
        <is>
          <t>Open Badges 3.0 / Credly (B15). Per certificate template, a certification can also be issued as a signed Open Badges 3.0 credential (W3C Verifiable Credential; issuer key per tenant, verify URL on the public verify page) and / or pushed to the company's Credly organisation (customer's Credly account and fees). The badge carries the expiry of the certification; renewal issues a new badge; revocation or expiry of the certification revokes / expires the badge. The employee can share the badge (LinkedIn, wallet) and keeps it after exit.</t>
        </is>
      </c>
      <c r="F258" t="inlineStr">
        <is>
          <t>Not started</t>
        </is>
      </c>
      <c r="H258">
        <f>IF(G258&lt;&gt;"",G258,F258)</f>
        <v/>
      </c>
      <c r="I258" t="n">
        <v>0</v>
      </c>
      <c r="J258" t="n">
        <v>0</v>
      </c>
      <c r="K258" t="n">
        <v>0</v>
      </c>
      <c r="L258" s="5" t="inlineStr"/>
      <c r="M258" s="5" t="n"/>
    </row>
    <row r="259">
      <c r="A259" t="inlineStr">
        <is>
          <t>YX-LRN-14</t>
        </is>
      </c>
      <c r="B259" t="inlineStr">
        <is>
          <t>M07</t>
        </is>
      </c>
      <c r="C259" t="inlineStr">
        <is>
          <t>YX-LRN</t>
        </is>
      </c>
      <c r="D259" t="inlineStr">
        <is>
          <t>6+</t>
        </is>
      </c>
      <c r="E259" s="5" t="inlineStr">
        <is>
          <t>LTI 1.3 tool (B15). YukthiX is an LTI 1.3 / LTI Advantage tool (Deep Linking to pick a course or assessment, Assignment and Grade Services for grade passback, Names and Role Provisioning optional). An admin registers each external LMS (issuer, client id, JWKS, deployment ids). A launch signs in the user by the platform's verified claims: matched to an employee by email / employee code, otherwise a guest learner limited to the launched item (P02 §4.7 style scope). Proctored assessments keep their proctoring (T04). Launches are metered like the product used: employee learning is covered by the H</t>
        </is>
      </c>
      <c r="F259" t="inlineStr">
        <is>
          <t>Not started</t>
        </is>
      </c>
      <c r="H259">
        <f>IF(G259&lt;&gt;"",G259,F259)</f>
        <v/>
      </c>
      <c r="I259" t="n">
        <v>0</v>
      </c>
      <c r="J259" t="n">
        <v>0</v>
      </c>
      <c r="K259" t="n">
        <v>0</v>
      </c>
      <c r="L259" s="5" t="inlineStr"/>
      <c r="M259" s="5" t="n"/>
    </row>
    <row r="260">
      <c r="A260" t="inlineStr">
        <is>
          <t>YX-LRN-15</t>
        </is>
      </c>
      <c r="B260" t="inlineStr">
        <is>
          <t>M07</t>
        </is>
      </c>
      <c r="C260" t="inlineStr">
        <is>
          <t>YX-LRN</t>
        </is>
      </c>
      <c r="D260" t="inlineStr">
        <is>
          <t>6+</t>
        </is>
      </c>
      <c r="E260" s="5" t="inlineStr">
        <is>
          <t>AI authoring and recommendations (T14). AI-drafted courses and quizzes are drafts labelled "AI-generated", built only from the selected company documents (treated as untrusted input, P10 YX-AI-05), with a source citation per lesson and question; publishing needs a named reviewer, and the source document version is kept so an updated policy flags the course for review. Recommendations use confirmed skills only, show the reason (e.g. "gap in *Negotiation* for your next role"), never enrol anyone automatically (mandatory learning stays under the assignment rules) and never use Special data or rat</t>
        </is>
      </c>
      <c r="F260" t="inlineStr">
        <is>
          <t>UI prototype only</t>
        </is>
      </c>
      <c r="H260">
        <f>IF(G260&lt;&gt;"",G260,F260)</f>
        <v/>
      </c>
      <c r="I260" t="n">
        <v>0</v>
      </c>
      <c r="J260" t="n">
        <v>0</v>
      </c>
      <c r="K260" t="n">
        <v>2</v>
      </c>
      <c r="L260" s="5" t="inlineStr"/>
      <c r="M260" s="5" t="n"/>
    </row>
    <row r="261">
      <c r="A261" t="inlineStr">
        <is>
          <t>YX-CASE-01</t>
        </is>
      </c>
      <c r="B261" t="inlineStr">
        <is>
          <t>M08</t>
        </is>
      </c>
      <c r="C261" t="inlineStr">
        <is>
          <t>YX-CASE</t>
        </is>
      </c>
      <c r="D261" t="inlineStr">
        <is>
          <t>3b</t>
        </is>
      </c>
      <c r="E261" s="5" t="inlineStr">
        <is>
          <t>"Raised by" is always the logged-in user, or empty when the complaint is anonymous (fixes MS-D3).</t>
        </is>
      </c>
      <c r="F261" t="inlineStr">
        <is>
          <t>Not started</t>
        </is>
      </c>
      <c r="H261">
        <f>IF(G261&lt;&gt;"",G261,F261)</f>
        <v/>
      </c>
      <c r="I261" t="n">
        <v>0</v>
      </c>
      <c r="J261" t="n">
        <v>0</v>
      </c>
      <c r="K261" t="n">
        <v>0</v>
      </c>
      <c r="L261" s="5" t="inlineStr"/>
      <c r="M261" s="5" t="n"/>
    </row>
    <row r="262">
      <c r="A262" t="inlineStr">
        <is>
          <t>YX-CASE-02</t>
        </is>
      </c>
      <c r="B262" t="inlineStr">
        <is>
          <t>M08</t>
        </is>
      </c>
      <c r="C262" t="inlineStr">
        <is>
          <t>YX-CASE</t>
        </is>
      </c>
      <c r="D262" t="inlineStr">
        <is>
          <t>3b</t>
        </is>
      </c>
      <c r="E262" s="5" t="inlineStr">
        <is>
          <t>Only case members can see a case. The respondent is not told of a complaint until the process formally notifies them (fixes MS-D4, U85).</t>
        </is>
      </c>
      <c r="F262" t="inlineStr">
        <is>
          <t>UI prototype only</t>
        </is>
      </c>
      <c r="H262">
        <f>IF(G262&lt;&gt;"",G262,F262)</f>
        <v/>
      </c>
      <c r="I262" t="n">
        <v>0</v>
      </c>
      <c r="J262" t="n">
        <v>0</v>
      </c>
      <c r="K262" t="n">
        <v>4</v>
      </c>
      <c r="L262" s="5" t="inlineStr"/>
      <c r="M262" s="5" t="n"/>
    </row>
    <row r="263">
      <c r="A263" t="inlineStr">
        <is>
          <t>YX-CASE-03</t>
        </is>
      </c>
      <c r="B263" t="inlineStr">
        <is>
          <t>M08</t>
        </is>
      </c>
      <c r="C263" t="inlineStr">
        <is>
          <t>YX-CASE</t>
        </is>
      </c>
      <c r="D263" t="inlineStr">
        <is>
          <t>3b</t>
        </is>
      </c>
      <c r="E263" s="5" t="inlineStr">
        <is>
          <t>Anonymous complaints hide the complainant from everyone, including the case team. Communication happens only through the anonymous message channel. Identity is not stored unless the complainant later chooses to reveal it.</t>
        </is>
      </c>
      <c r="F263" t="inlineStr">
        <is>
          <t>Not started</t>
        </is>
      </c>
      <c r="H263">
        <f>IF(G263&lt;&gt;"",G263,F263)</f>
        <v/>
      </c>
      <c r="I263" t="n">
        <v>0</v>
      </c>
      <c r="J263" t="n">
        <v>0</v>
      </c>
      <c r="K263" t="n">
        <v>0</v>
      </c>
      <c r="L263" s="5" t="inlineStr"/>
      <c r="M263" s="5" t="n"/>
    </row>
    <row r="264">
      <c r="A264" t="inlineStr">
        <is>
          <t>YX-CASE-04</t>
        </is>
      </c>
      <c r="B264" t="inlineStr">
        <is>
          <t>M08</t>
        </is>
      </c>
      <c r="C264" t="inlineStr">
        <is>
          <t>YX-CASE</t>
        </is>
      </c>
      <c r="D264" t="inlineStr">
        <is>
          <t>3b</t>
        </is>
      </c>
      <c r="E264" s="5" t="inlineStr">
        <is>
          <t>A case member with a conflict of interest (the respondent, their manager chain, or anyone who self-declares) is blocked from the case. Adding them needs a documented override.</t>
        </is>
      </c>
      <c r="F264" t="inlineStr">
        <is>
          <t>UI prototype only</t>
        </is>
      </c>
      <c r="H264">
        <f>IF(G264&lt;&gt;"",G264,F264)</f>
        <v/>
      </c>
      <c r="I264" t="n">
        <v>0</v>
      </c>
      <c r="J264" t="n">
        <v>0</v>
      </c>
      <c r="K264" t="n">
        <v>2</v>
      </c>
      <c r="L264" s="5" t="inlineStr"/>
      <c r="M264" s="5" t="n"/>
    </row>
    <row r="265">
      <c r="A265" t="inlineStr">
        <is>
          <t>YX-CASE-05</t>
        </is>
      </c>
      <c r="B265" t="inlineStr">
        <is>
          <t>M08</t>
        </is>
      </c>
      <c r="C265" t="inlineStr">
        <is>
          <t>YX-CASE</t>
        </is>
      </c>
      <c r="D265" t="inlineStr">
        <is>
          <t>3b</t>
        </is>
      </c>
      <c r="E265" s="5" t="inlineStr">
        <is>
          <t>Every stage has a due date and reminders (P03). The case timeline records every step. Cases can't be deleted, only closed with an outcome.</t>
        </is>
      </c>
      <c r="F265" t="inlineStr">
        <is>
          <t>Not started</t>
        </is>
      </c>
      <c r="H265">
        <f>IF(G265&lt;&gt;"",G265,F265)</f>
        <v/>
      </c>
      <c r="I265" t="n">
        <v>0</v>
      </c>
      <c r="J265" t="n">
        <v>0</v>
      </c>
      <c r="K265" t="n">
        <v>0</v>
      </c>
      <c r="L265" s="5" t="inlineStr"/>
      <c r="M265" s="5" t="n"/>
    </row>
    <row r="266">
      <c r="A266" t="inlineStr">
        <is>
          <t>YX-CASE-06</t>
        </is>
      </c>
      <c r="B266" t="inlineStr">
        <is>
          <t>M08</t>
        </is>
      </c>
      <c r="C266" t="inlineStr">
        <is>
          <t>YX-CASE</t>
        </is>
      </c>
      <c r="D266" t="inlineStr">
        <is>
          <t>3b</t>
        </is>
      </c>
      <c r="E266" s="5" t="inlineStr">
        <is>
          <t>Case notifications outside the app say only "You have an update on a confidential matter", with an in-app link (P04 Q6).</t>
        </is>
      </c>
      <c r="F266" t="inlineStr">
        <is>
          <t>Not started</t>
        </is>
      </c>
      <c r="H266">
        <f>IF(G266&lt;&gt;"",G266,F266)</f>
        <v/>
      </c>
      <c r="I266" t="n">
        <v>0</v>
      </c>
      <c r="J266" t="n">
        <v>0</v>
      </c>
      <c r="K266" t="n">
        <v>0</v>
      </c>
      <c r="L266" s="5" t="inlineStr"/>
      <c r="M266" s="5" t="n"/>
    </row>
    <row r="267">
      <c r="A267" t="inlineStr">
        <is>
          <t>YX-CASE-07</t>
        </is>
      </c>
      <c r="B267" t="inlineStr">
        <is>
          <t>M08</t>
        </is>
      </c>
      <c r="C267" t="inlineStr">
        <is>
          <t>YX-CASE</t>
        </is>
      </c>
      <c r="D267" t="inlineStr">
        <is>
          <t>3b</t>
        </is>
      </c>
      <c r="E267" s="5" t="inlineStr">
        <is>
          <t>Disciplinary actions follow the company's misconduct matrix. A show-cause notice and a chance to reply (default 7 days) are required before any penalty. Warnings expire after their period (Q5). Subsistence allowance during suspension pending inquiry is paid through M03 (YX-PAY-23, rate from P07).</t>
        </is>
      </c>
      <c r="F267" t="inlineStr">
        <is>
          <t>UI prototype only</t>
        </is>
      </c>
      <c r="H267">
        <f>IF(G267&lt;&gt;"",G267,F267)</f>
        <v/>
      </c>
      <c r="I267" t="n">
        <v>0</v>
      </c>
      <c r="J267" t="n">
        <v>0</v>
      </c>
      <c r="K267" t="n">
        <v>2</v>
      </c>
      <c r="L267" s="5" t="inlineStr"/>
      <c r="M267" s="5" t="n"/>
    </row>
    <row r="268">
      <c r="A268" t="inlineStr">
        <is>
          <t>YX-CASE-08</t>
        </is>
      </c>
      <c r="B268" t="inlineStr">
        <is>
          <t>M08</t>
        </is>
      </c>
      <c r="C268" t="inlineStr">
        <is>
          <t>YX-CASE</t>
        </is>
      </c>
      <c r="D268" t="inlineStr">
        <is>
          <t>3b</t>
        </is>
      </c>
      <c r="E268" s="5" t="inlineStr">
        <is>
          <t>A retaliation flag can be raised by the complainant at any time. It creates a linked case and alerts the case owner.</t>
        </is>
      </c>
      <c r="F268" t="inlineStr">
        <is>
          <t>Not started</t>
        </is>
      </c>
      <c r="H268">
        <f>IF(G268&lt;&gt;"",G268,F268)</f>
        <v/>
      </c>
      <c r="I268" t="n">
        <v>0</v>
      </c>
      <c r="J268" t="n">
        <v>0</v>
      </c>
      <c r="K268" t="n">
        <v>0</v>
      </c>
      <c r="L268" s="5" t="inlineStr"/>
      <c r="M268" s="5" t="n"/>
    </row>
    <row r="269">
      <c r="A269" t="inlineStr">
        <is>
          <t>YX-CASE-09</t>
        </is>
      </c>
      <c r="B269" t="inlineStr">
        <is>
          <t>M08</t>
        </is>
      </c>
      <c r="C269" t="inlineStr">
        <is>
          <t>YX-CASE</t>
        </is>
      </c>
      <c r="D269" t="inlineStr">
        <is>
          <t>3b</t>
        </is>
      </c>
      <c r="E269" s="5" t="inlineStr">
        <is>
          <t>Non-employee parties (E16). A complainant or respondent can be an external party (contractor, vendor staff, client staff, visitor) recorded with name, employer and contact. Notices to an external respondent are delivered to them and coordinated with their employer (named contact, delivery logged on the timeline). An external complainant files and follows the case without an employee login, through the OTP external login (P02 §4.7, YX-SEC-21), scoped to that case only.</t>
        </is>
      </c>
      <c r="F269" t="inlineStr">
        <is>
          <t>Not started</t>
        </is>
      </c>
      <c r="H269">
        <f>IF(G269&lt;&gt;"",G269,F269)</f>
        <v/>
      </c>
      <c r="I269" t="n">
        <v>0</v>
      </c>
      <c r="J269" t="n">
        <v>0</v>
      </c>
      <c r="K269" t="n">
        <v>0</v>
      </c>
      <c r="L269" s="5" t="inlineStr"/>
      <c r="M269" s="5" t="n"/>
    </row>
    <row r="270">
      <c r="A270" t="inlineStr">
        <is>
          <t>YX-CASE-10</t>
        </is>
      </c>
      <c r="B270" t="inlineStr">
        <is>
          <t>M08</t>
        </is>
      </c>
      <c r="C270" t="inlineStr">
        <is>
          <t>YX-CASE</t>
        </is>
      </c>
      <c r="D270" t="inlineStr">
        <is>
          <t>3b</t>
        </is>
      </c>
      <c r="E270" s="5" t="inlineStr">
        <is>
          <t>A party exits during a case (E16). The case continues after a complainant or respondent leaves; the ex-employee keeps case-scoped access through the alumni login. An ex-employee can still file a POSH complaint within the legal window (YX-POSH-02: 3 months, extendable by 3) via alumni-scoped access. The M01 exit pre-check flags any open case where the leaver is a party (the flag names no case details outside the case team).</t>
        </is>
      </c>
      <c r="F270" t="inlineStr">
        <is>
          <t>Not started</t>
        </is>
      </c>
      <c r="H270">
        <f>IF(G270&lt;&gt;"",G270,F270)</f>
        <v/>
      </c>
      <c r="I270" t="n">
        <v>0</v>
      </c>
      <c r="J270" t="n">
        <v>0</v>
      </c>
      <c r="K270" t="n">
        <v>0</v>
      </c>
      <c r="L270" s="5" t="inlineStr"/>
      <c r="M270" s="5" t="n"/>
    </row>
    <row r="271">
      <c r="A271" t="inlineStr">
        <is>
          <t>YX-CASE-11</t>
        </is>
      </c>
      <c r="B271" t="inlineStr">
        <is>
          <t>M08</t>
        </is>
      </c>
      <c r="C271" t="inlineStr">
        <is>
          <t>YX-CASE</t>
        </is>
      </c>
      <c r="D271" t="inlineStr">
        <is>
          <t>3b</t>
        </is>
      </c>
      <c r="E271" s="5" t="inlineStr">
        <is>
          <t xml:space="preserve">Anonymous reporter return path (E20). On filing an anonymous grievance or whistleblower report, the reporter is shown a case access code once (random, high-entropy, stored only as a hash; they can save or download it). With the code they check status and reply on a no-login page; no identity, IP or device is stored against the case. If the reporter chooses to give a contact (email / phone) for "you have an update" alerts, it is stored encrypted, visible to nobody (case team, HR, System Admin, support), and used only for that content-free alert (YX-CASE-06). A lost code can't be recovered; the </t>
        </is>
      </c>
      <c r="F271" t="inlineStr">
        <is>
          <t>UI prototype only</t>
        </is>
      </c>
      <c r="H271">
        <f>IF(G271&lt;&gt;"",G271,F271)</f>
        <v/>
      </c>
      <c r="I271" t="n">
        <v>0</v>
      </c>
      <c r="J271" t="n">
        <v>0</v>
      </c>
      <c r="K271" t="n">
        <v>10</v>
      </c>
      <c r="L271" s="5" t="inlineStr"/>
      <c r="M271" s="5" t="n"/>
    </row>
    <row r="272">
      <c r="A272" t="inlineStr">
        <is>
          <t>YX-CASE-12</t>
        </is>
      </c>
      <c r="B272" t="inlineStr">
        <is>
          <t>M08</t>
        </is>
      </c>
      <c r="C272" t="inlineStr">
        <is>
          <t>YX-CASE</t>
        </is>
      </c>
      <c r="D272" t="inlineStr">
        <is>
          <t>3b</t>
        </is>
      </c>
      <c r="E272" s="5" t="inlineStr">
        <is>
          <t>Grievance Redressal Committee (IR Code, C1). An establishment at or above the P07 IN.IR threshold (dated; currently 20 or more workers) must have a valid GRC: no more members than IN.IR allows, equal employer and worker representation, a chairperson alternating between the employer and worker sides per IN.IR, and women members at least in proportion to women workers in the establishment. The composition is validated like the IC (YX-POSH-01), with a banner and a compliance-calendar flag when it isn't valid. A worker's individual grievance in such an establishment is routed to the GRC: its membe</t>
        </is>
      </c>
      <c r="F272" t="inlineStr">
        <is>
          <t>Not started</t>
        </is>
      </c>
      <c r="H272">
        <f>IF(G272&lt;&gt;"",G272,F272)</f>
        <v/>
      </c>
      <c r="I272" t="n">
        <v>0</v>
      </c>
      <c r="J272" t="n">
        <v>0</v>
      </c>
      <c r="K272" t="n">
        <v>0</v>
      </c>
      <c r="L272" s="5" t="inlineStr"/>
      <c r="M272" s="5" t="n"/>
    </row>
    <row r="273">
      <c r="A273" t="inlineStr">
        <is>
          <t>YX-CASE-13</t>
        </is>
      </c>
      <c r="B273" t="inlineStr">
        <is>
          <t>M08</t>
        </is>
      </c>
      <c r="C273" t="inlineStr">
        <is>
          <t>YX-CASE</t>
        </is>
      </c>
      <c r="D273" t="inlineStr">
        <is>
          <t>3b</t>
        </is>
      </c>
      <c r="E273" s="5" t="inlineStr">
        <is>
          <t>Standing orders (IR Code, C1). For an establishment at or above the IN.IR standing-orders threshold (currently 300 workers), the misconduct matrix is linked to the establishment's standing-orders version (certified or model): every misconduct type cites its clause, and a disciplinary case can cite only misconduct in the version valid on the incident date. Below the threshold the matrix is company policy (D17). An establishment above the threshold with no standing orders on record raises a compliance alert (P07 calendar).</t>
        </is>
      </c>
      <c r="F273" t="inlineStr">
        <is>
          <t>Not started</t>
        </is>
      </c>
      <c r="H273">
        <f>IF(G273&lt;&gt;"",G273,F273)</f>
        <v/>
      </c>
      <c r="I273" t="n">
        <v>0</v>
      </c>
      <c r="J273" t="n">
        <v>0</v>
      </c>
      <c r="K273" t="n">
        <v>0</v>
      </c>
      <c r="L273" s="5" t="inlineStr"/>
      <c r="M273" s="5" t="n"/>
    </row>
    <row r="274">
      <c r="A274" t="inlineStr">
        <is>
          <t>YX-CASE-14</t>
        </is>
      </c>
      <c r="B274" t="inlineStr">
        <is>
          <t>M08</t>
        </is>
      </c>
      <c r="C274" t="inlineStr">
        <is>
          <t>YX-CASE</t>
        </is>
      </c>
      <c r="D274" t="inlineStr">
        <is>
          <t>3b</t>
        </is>
      </c>
      <c r="E274" s="5" t="inlineStr">
        <is>
          <t>Workplace accident / injury record (J6). Any employee, supervisor, security staff or contractor supervisor can report an accident; the case is created for the location's safety officer and HR (company-set case team, D17), and the reporter is a member. It records the person (employee, or contract worker linked to the M13 worker and contractor), date and time, place, description, witnesses, photos, injury type, body part, first aid, hospital, and whether the person could not work and for how many days. Near-misses are not recorded as this case type. Medical details (diagnosis, certificates, disa</t>
        </is>
      </c>
      <c r="F274" t="inlineStr">
        <is>
          <t>Not started</t>
        </is>
      </c>
      <c r="H274">
        <f>IF(G274&lt;&gt;"",G274,F274)</f>
        <v/>
      </c>
      <c r="I274" t="n">
        <v>0</v>
      </c>
      <c r="J274" t="n">
        <v>0</v>
      </c>
      <c r="K274" t="n">
        <v>0</v>
      </c>
      <c r="L274" s="5" t="inlineStr"/>
      <c r="M274" s="5" t="n"/>
    </row>
    <row r="275">
      <c r="A275" t="inlineStr">
        <is>
          <t>YX-CASE-15</t>
        </is>
      </c>
      <c r="B275" t="inlineStr">
        <is>
          <t>M08</t>
        </is>
      </c>
      <c r="C275" t="inlineStr">
        <is>
          <t>YX-CASE</t>
        </is>
      </c>
      <c r="D275" t="inlineStr">
        <is>
          <t>3b</t>
        </is>
      </c>
      <c r="E275" s="5" t="inlineStr">
        <is>
          <t>Statutory accident reports (J6). For an ESI-covered person the case generates the ESIC accident report (employer's report, APX-F #109; P07 IN.ESI) due within the prescribed time per ESI regs, verify from the time of the accident. For a reportable accident — death, or disablement beyond the prescribed days per the P07 IN.OSH / IN.FACTORIES rule set valid on the accident date — it generates the statutory accident notice (Factories Act / OSH Code, APX-F #110) to the authority in the prescribed form and time. Both are pre-filled from the case, reviewed and marked submitted with the acknowledgement</t>
        </is>
      </c>
      <c r="F275" t="inlineStr">
        <is>
          <t>Not started</t>
        </is>
      </c>
      <c r="H275">
        <f>IF(G275&lt;&gt;"",G275,F275)</f>
        <v/>
      </c>
      <c r="I275" t="n">
        <v>0</v>
      </c>
      <c r="J275" t="n">
        <v>0</v>
      </c>
      <c r="K275" t="n">
        <v>0</v>
      </c>
      <c r="L275" s="5" t="inlineStr"/>
      <c r="M275" s="5" t="n"/>
    </row>
    <row r="276">
      <c r="A276" t="inlineStr">
        <is>
          <t>YX-CASE-16</t>
        </is>
      </c>
      <c r="B276" t="inlineStr">
        <is>
          <t>M08</t>
        </is>
      </c>
      <c r="C276" t="inlineStr">
        <is>
          <t>YX-CASE</t>
        </is>
      </c>
      <c r="D276" t="inlineStr">
        <is>
          <t>3b</t>
        </is>
      </c>
      <c r="E276" s="5" t="inlineStr">
        <is>
          <t>Employees' Compensation claim (J6). For a person not covered by ESI for the injury, the case opens an EC claim: compensation is computed by the P07 IN.EC formula valid on the accident date (kind of injury, wage with the P07 ceiling, age factor, minimums, waiting period for temporary disablement); temporary-disablement payments go through payroll (M03 YX-PAY-50); a lump sum is paid to the employee, or deposited with the commissioner where P07 requires it (death, and other cases the rule lists), with the deposit reference recorded. The due date (P07) is on the compliance calendar; a late payment</t>
        </is>
      </c>
      <c r="F276" t="inlineStr">
        <is>
          <t>UI prototype only</t>
        </is>
      </c>
      <c r="H276">
        <f>IF(G276&lt;&gt;"",G276,F276)</f>
        <v/>
      </c>
      <c r="I276" t="n">
        <v>0</v>
      </c>
      <c r="J276" t="n">
        <v>0</v>
      </c>
      <c r="K276" t="n">
        <v>4</v>
      </c>
      <c r="L276" s="5" t="inlineStr"/>
      <c r="M276" s="5" t="n"/>
    </row>
    <row r="277">
      <c r="A277" t="inlineStr">
        <is>
          <t>YX-CASE-17</t>
        </is>
      </c>
      <c r="B277" t="inlineStr">
        <is>
          <t>M08</t>
        </is>
      </c>
      <c r="C277" t="inlineStr">
        <is>
          <t>YX-CASE</t>
        </is>
      </c>
      <c r="D277" t="inlineStr">
        <is>
          <t>3b</t>
        </is>
      </c>
      <c r="E277" s="5" t="inlineStr">
        <is>
          <t>Whistleblower clocks by jurisdiction (R18). A whistleblower case at an entity whose country has a P07 whistleblowing parameter set (e.g. EU member states, entities with 50+ workers) gets the dated clocks from it: acknowledgement due within 7 days of receipt and feedback within 3 months of acknowledgement (or of receipt + 7 days when none was sent), per national transposition (verify); reminders and escalation to the ethics officer; records kept for the parameter's retention period. Entities without such a set keep the Q8 flow.</t>
        </is>
      </c>
      <c r="F277" t="inlineStr">
        <is>
          <t>UI prototype only</t>
        </is>
      </c>
      <c r="H277">
        <f>IF(G277&lt;&gt;"",G277,F277)</f>
        <v/>
      </c>
      <c r="I277" t="n">
        <v>0</v>
      </c>
      <c r="J277" t="n">
        <v>0</v>
      </c>
      <c r="K277" t="n">
        <v>2</v>
      </c>
      <c r="L277" s="5" t="inlineStr"/>
      <c r="M277" s="5" t="n"/>
    </row>
    <row r="278">
      <c r="A278" t="inlineStr">
        <is>
          <t>YX-CASE-18</t>
        </is>
      </c>
      <c r="B278" t="inlineStr">
        <is>
          <t>M08</t>
        </is>
      </c>
      <c r="C278" t="inlineStr">
        <is>
          <t>YX-CASE</t>
        </is>
      </c>
      <c r="D278" t="inlineStr">
        <is>
          <t>3b</t>
        </is>
      </c>
      <c r="E278" s="5" t="inlineStr">
        <is>
          <t>Collective dispute and settlement (J4). A dispute case raised by a union or worker group records demands, conciliation events and outcome; a settlement is a signed P05 document with effective dates and covered categories, sent to the authority where the IR Code requires (per IR Code rules, verify); on signing, its pay terms are handed to M03 for settlement arrears and it is linked from the union's register entry (M01 YX-EMP-15). Case team: HR-IR and legal (D17).</t>
        </is>
      </c>
      <c r="F278" t="inlineStr">
        <is>
          <t>Not started</t>
        </is>
      </c>
      <c r="H278">
        <f>IF(G278&lt;&gt;"",G278,F278)</f>
        <v/>
      </c>
      <c r="I278" t="n">
        <v>0</v>
      </c>
      <c r="J278" t="n">
        <v>0</v>
      </c>
      <c r="K278" t="n">
        <v>0</v>
      </c>
      <c r="L278" s="5" t="inlineStr"/>
      <c r="M278" s="5" t="n"/>
    </row>
    <row r="279">
      <c r="A279" t="inlineStr">
        <is>
          <t>YX-HD-01</t>
        </is>
      </c>
      <c r="B279" t="inlineStr">
        <is>
          <t>M08</t>
        </is>
      </c>
      <c r="C279" t="inlineStr">
        <is>
          <t>YX-HD</t>
        </is>
      </c>
      <c r="D279" t="inlineStr">
        <is>
          <t>3b</t>
        </is>
      </c>
      <c r="E279" s="5" t="inlineStr">
        <is>
          <t>A ticket is routed by category to a queue, then assigned round-robin or manually. SLA timers use the queue's business hours and pause while "waiting on employee".</t>
        </is>
      </c>
      <c r="F279" t="inlineStr">
        <is>
          <t>UI prototype only</t>
        </is>
      </c>
      <c r="H279">
        <f>IF(G279&lt;&gt;"",G279,F279)</f>
        <v/>
      </c>
      <c r="I279" t="n">
        <v>0</v>
      </c>
      <c r="J279" t="n">
        <v>0</v>
      </c>
      <c r="K279" t="n">
        <v>2</v>
      </c>
      <c r="L279" s="5" t="inlineStr"/>
      <c r="M279" s="5" t="n"/>
    </row>
    <row r="280">
      <c r="A280" t="inlineStr">
        <is>
          <t>YX-HD-02</t>
        </is>
      </c>
      <c r="B280" t="inlineStr">
        <is>
          <t>M08</t>
        </is>
      </c>
      <c r="C280" t="inlineStr">
        <is>
          <t>YX-HD</t>
        </is>
      </c>
      <c r="D280" t="inlineStr">
        <is>
          <t>3b</t>
        </is>
      </c>
      <c r="E280" s="5" t="inlineStr">
        <is>
          <t>SLA breach warnings go to the agent at 80 % of the target, and to the queue lead at breach.</t>
        </is>
      </c>
      <c r="F280" t="inlineStr">
        <is>
          <t>UI prototype only</t>
        </is>
      </c>
      <c r="H280">
        <f>IF(G280&lt;&gt;"",G280,F280)</f>
        <v/>
      </c>
      <c r="I280" t="n">
        <v>0</v>
      </c>
      <c r="J280" t="n">
        <v>0</v>
      </c>
      <c r="K280" t="n">
        <v>4</v>
      </c>
      <c r="L280" s="5" t="inlineStr"/>
      <c r="M280" s="5" t="n"/>
    </row>
    <row r="281">
      <c r="A281" t="inlineStr">
        <is>
          <t>YX-HD-03</t>
        </is>
      </c>
      <c r="B281" t="inlineStr">
        <is>
          <t>M08</t>
        </is>
      </c>
      <c r="C281" t="inlineStr">
        <is>
          <t>YX-HD</t>
        </is>
      </c>
      <c r="D281" t="inlineStr">
        <is>
          <t>3b</t>
        </is>
      </c>
      <c r="E281" s="5" t="inlineStr">
        <is>
          <t>Tickets in sensitive categories (payroll, medical, personal) are visible only to that queue's agents. The requester can also mark a ticket "private" (Q2).</t>
        </is>
      </c>
      <c r="F281" t="inlineStr">
        <is>
          <t>UI prototype only</t>
        </is>
      </c>
      <c r="H281">
        <f>IF(G281&lt;&gt;"",G281,F281)</f>
        <v/>
      </c>
      <c r="I281" t="n">
        <v>0</v>
      </c>
      <c r="J281" t="n">
        <v>0</v>
      </c>
      <c r="K281" t="n">
        <v>2</v>
      </c>
      <c r="L281" s="5" t="inlineStr"/>
      <c r="M281" s="5" t="n"/>
    </row>
    <row r="282">
      <c r="A282" t="inlineStr">
        <is>
          <t>YX-HD-04</t>
        </is>
      </c>
      <c r="B282" t="inlineStr">
        <is>
          <t>M08</t>
        </is>
      </c>
      <c r="C282" t="inlineStr">
        <is>
          <t>YX-HD</t>
        </is>
      </c>
      <c r="D282" t="inlineStr">
        <is>
          <t>3b</t>
        </is>
      </c>
      <c r="E282" s="5" t="inlineStr">
        <is>
          <t>Knowledge articles are suggested while the employee types. A ticket closed by an article ("this solved it") is counted as deflected.</t>
        </is>
      </c>
      <c r="F282" t="inlineStr">
        <is>
          <t>UI prototype only</t>
        </is>
      </c>
      <c r="H282">
        <f>IF(G282&lt;&gt;"",G282,F282)</f>
        <v/>
      </c>
      <c r="I282" t="n">
        <v>0</v>
      </c>
      <c r="J282" t="n">
        <v>0</v>
      </c>
      <c r="K282" t="n">
        <v>2</v>
      </c>
      <c r="L282" s="5" t="inlineStr"/>
      <c r="M282" s="5" t="n"/>
    </row>
    <row r="283">
      <c r="A283" t="inlineStr">
        <is>
          <t>YX-HD-05</t>
        </is>
      </c>
      <c r="B283" t="inlineStr">
        <is>
          <t>M08</t>
        </is>
      </c>
      <c r="C283" t="inlineStr">
        <is>
          <t>YX-HD</t>
        </is>
      </c>
      <c r="D283" t="inlineStr">
        <is>
          <t>3b</t>
        </is>
      </c>
      <c r="E283" s="5" t="inlineStr">
        <is>
          <t>A resolved ticket closes after 3 days without a reply. The employee can reopen it within 7 days. A satisfaction rating is requested on close.</t>
        </is>
      </c>
      <c r="F283" t="inlineStr">
        <is>
          <t>UI prototype only</t>
        </is>
      </c>
      <c r="H283">
        <f>IF(G283&lt;&gt;"",G283,F283)</f>
        <v/>
      </c>
      <c r="I283" t="n">
        <v>0</v>
      </c>
      <c r="J283" t="n">
        <v>0</v>
      </c>
      <c r="K283" t="n">
        <v>4</v>
      </c>
      <c r="L283" s="5" t="inlineStr"/>
      <c r="M283" s="5" t="n"/>
    </row>
    <row r="284">
      <c r="A284" t="inlineStr">
        <is>
          <t>YX-POL-01</t>
        </is>
      </c>
      <c r="B284" t="inlineStr">
        <is>
          <t>M08</t>
        </is>
      </c>
      <c r="C284" t="inlineStr">
        <is>
          <t>YX-POL</t>
        </is>
      </c>
      <c r="D284" t="inlineStr">
        <is>
          <t>3b</t>
        </is>
      </c>
      <c r="E284" s="5" t="inlineStr">
        <is>
          <t>Policies are versioned. Publishing a new version with "re-acknowledge" asks the audience to acknowledge again. Older acknowledgements remain on record.</t>
        </is>
      </c>
      <c r="F284" t="inlineStr">
        <is>
          <t>Not started</t>
        </is>
      </c>
      <c r="H284">
        <f>IF(G284&lt;&gt;"",G284,F284)</f>
        <v/>
      </c>
      <c r="I284" t="n">
        <v>0</v>
      </c>
      <c r="J284" t="n">
        <v>0</v>
      </c>
      <c r="K284" t="n">
        <v>0</v>
      </c>
      <c r="L284" s="5" t="inlineStr"/>
      <c r="M284" s="5" t="n"/>
    </row>
    <row r="285">
      <c r="A285" t="inlineStr">
        <is>
          <t>YX-POL-02</t>
        </is>
      </c>
      <c r="B285" t="inlineStr">
        <is>
          <t>M08</t>
        </is>
      </c>
      <c r="C285" t="inlineStr">
        <is>
          <t>YX-POL</t>
        </is>
      </c>
      <c r="D285" t="inlineStr">
        <is>
          <t>3b</t>
        </is>
      </c>
      <c r="E285" s="5" t="inlineStr">
        <is>
          <t>Acknowledgement records the version, time and method (in-app click, OTP per P05 for critical policies, quiz pass per M07). Reminders are sent; overdue items escalate to the manager.</t>
        </is>
      </c>
      <c r="F285" t="inlineStr">
        <is>
          <t>UI prototype only</t>
        </is>
      </c>
      <c r="H285">
        <f>IF(G285&lt;&gt;"",G285,F285)</f>
        <v/>
      </c>
      <c r="I285" t="n">
        <v>0</v>
      </c>
      <c r="J285" t="n">
        <v>0</v>
      </c>
      <c r="K285" t="n">
        <v>2</v>
      </c>
      <c r="L285" s="5" t="inlineStr"/>
      <c r="M285" s="5" t="n"/>
    </row>
    <row r="286">
      <c r="A286" t="inlineStr">
        <is>
          <t>YX-POL-03</t>
        </is>
      </c>
      <c r="B286" t="inlineStr">
        <is>
          <t>M08</t>
        </is>
      </c>
      <c r="C286" t="inlineStr">
        <is>
          <t>YX-POL</t>
        </is>
      </c>
      <c r="D286" t="inlineStr">
        <is>
          <t>3b</t>
        </is>
      </c>
      <c r="E286" s="5" t="inlineStr">
        <is>
          <t>New joiners get the policies for their audience as a pre-boarding / onboarding task (M01).</t>
        </is>
      </c>
      <c r="F286" t="inlineStr">
        <is>
          <t>Not started</t>
        </is>
      </c>
      <c r="H286">
        <f>IF(G286&lt;&gt;"",G286,F286)</f>
        <v/>
      </c>
      <c r="I286" t="n">
        <v>0</v>
      </c>
      <c r="J286" t="n">
        <v>0</v>
      </c>
      <c r="K286" t="n">
        <v>0</v>
      </c>
      <c r="L286" s="5" t="inlineStr"/>
      <c r="M286" s="5" t="n"/>
    </row>
    <row r="287">
      <c r="A287" t="inlineStr">
        <is>
          <t>YX-POSH-01</t>
        </is>
      </c>
      <c r="B287" t="inlineStr">
        <is>
          <t>M08</t>
        </is>
      </c>
      <c r="C287" t="inlineStr">
        <is>
          <t>YX-POSH</t>
        </is>
      </c>
      <c r="D287" t="inlineStr">
        <is>
          <t>3b</t>
        </is>
      </c>
      <c r="E287" s="5" t="inlineStr">
        <is>
          <t>An entity at or above the employee threshold in the P07 POSH parameters (dated data; currently 10 or more employees at a workplace) must have a valid Internal Committee, with the composition set by the P07 POSH parameters (currently a senior woman as presiding officer, at least half the members women, one external member, and tenure of 3 years or less). The composition is validated, and a banner shows if it isn't.</t>
        </is>
      </c>
      <c r="F287" t="inlineStr">
        <is>
          <t>UI prototype only</t>
        </is>
      </c>
      <c r="H287">
        <f>IF(G287&lt;&gt;"",G287,F287)</f>
        <v/>
      </c>
      <c r="I287" t="n">
        <v>0</v>
      </c>
      <c r="J287" t="n">
        <v>0</v>
      </c>
      <c r="K287" t="n">
        <v>2</v>
      </c>
      <c r="L287" s="5" t="inlineStr"/>
      <c r="M287" s="5" t="n"/>
    </row>
    <row r="288">
      <c r="A288" t="inlineStr">
        <is>
          <t>YX-POSH-02</t>
        </is>
      </c>
      <c r="B288" t="inlineStr">
        <is>
          <t>M08</t>
        </is>
      </c>
      <c r="C288" t="inlineStr">
        <is>
          <t>YX-POSH</t>
        </is>
      </c>
      <c r="D288" t="inlineStr">
        <is>
          <t>3b</t>
        </is>
      </c>
      <c r="E288" s="5" t="inlineStr">
        <is>
          <t>Complaints can be filed by the aggrieved woman or on her behalf. The filing window is 3 months from the incident (the IC can extend it by 3 more with reasons).</t>
        </is>
      </c>
      <c r="F288" t="inlineStr">
        <is>
          <t>UI prototype only</t>
        </is>
      </c>
      <c r="H288">
        <f>IF(G288&lt;&gt;"",G288,F288)</f>
        <v/>
      </c>
      <c r="I288" t="n">
        <v>0</v>
      </c>
      <c r="J288" t="n">
        <v>0</v>
      </c>
      <c r="K288" t="n">
        <v>2</v>
      </c>
      <c r="L288" s="5" t="inlineStr"/>
      <c r="M288" s="5" t="n"/>
    </row>
    <row r="289">
      <c r="A289" t="inlineStr">
        <is>
          <t>YX-POSH-03</t>
        </is>
      </c>
      <c r="B289" t="inlineStr">
        <is>
          <t>M08</t>
        </is>
      </c>
      <c r="C289" t="inlineStr">
        <is>
          <t>YX-POSH</t>
        </is>
      </c>
      <c r="D289" t="inlineStr">
        <is>
          <t>3b</t>
        </is>
      </c>
      <c r="E289" s="5" t="inlineStr">
        <is>
          <t>Statutory timeline tracking per the P07 POSH parameters (dated data; currently: notice to the respondent within 7 days; inquiry completed within 90 days; report within 10 days after the inquiry; the employer acts within 60 days of the report). Due dates are calculated and escalated.</t>
        </is>
      </c>
      <c r="F289" t="inlineStr">
        <is>
          <t>UI prototype only</t>
        </is>
      </c>
      <c r="H289">
        <f>IF(G289&lt;&gt;"",G289,F289)</f>
        <v/>
      </c>
      <c r="I289" t="n">
        <v>0</v>
      </c>
      <c r="J289" t="n">
        <v>0</v>
      </c>
      <c r="K289" t="n">
        <v>2</v>
      </c>
      <c r="L289" s="5" t="inlineStr"/>
      <c r="M289" s="5" t="n"/>
    </row>
    <row r="290">
      <c r="A290" t="inlineStr">
        <is>
          <t>YX-POSH-04</t>
        </is>
      </c>
      <c r="B290" t="inlineStr">
        <is>
          <t>M08</t>
        </is>
      </c>
      <c r="C290" t="inlineStr">
        <is>
          <t>YX-POSH</t>
        </is>
      </c>
      <c r="D290" t="inlineStr">
        <is>
          <t>3b</t>
        </is>
      </c>
      <c r="E290" s="5" t="inlineStr">
        <is>
          <t>Conciliation is offered only at the complainant's request, with no monetary settlement as a basis.</t>
        </is>
      </c>
      <c r="F290" t="inlineStr">
        <is>
          <t>Not started</t>
        </is>
      </c>
      <c r="H290">
        <f>IF(G290&lt;&gt;"",G290,F290)</f>
        <v/>
      </c>
      <c r="I290" t="n">
        <v>0</v>
      </c>
      <c r="J290" t="n">
        <v>0</v>
      </c>
      <c r="K290" t="n">
        <v>0</v>
      </c>
      <c r="L290" s="5" t="inlineStr"/>
      <c r="M290" s="5" t="n"/>
    </row>
    <row r="291">
      <c r="A291" t="inlineStr">
        <is>
          <t>YX-POSH-05</t>
        </is>
      </c>
      <c r="B291" t="inlineStr">
        <is>
          <t>M08</t>
        </is>
      </c>
      <c r="C291" t="inlineStr">
        <is>
          <t>YX-POSH</t>
        </is>
      </c>
      <c r="D291" t="inlineStr">
        <is>
          <t>3b</t>
        </is>
      </c>
      <c r="E291" s="5" t="inlineStr">
        <is>
          <t>Only the IC members on the case (and the external member) see POSH cases. HR sees only anonymised counts and the actions it must carry out. Case details are never used in performance or other modules.</t>
        </is>
      </c>
      <c r="F291" t="inlineStr">
        <is>
          <t>UI prototype only</t>
        </is>
      </c>
      <c r="H291">
        <f>IF(G291&lt;&gt;"",G291,F291)</f>
        <v/>
      </c>
      <c r="I291" t="n">
        <v>0</v>
      </c>
      <c r="J291" t="n">
        <v>0</v>
      </c>
      <c r="K291" t="n">
        <v>2</v>
      </c>
      <c r="L291" s="5" t="inlineStr"/>
      <c r="M291" s="5" t="n"/>
    </row>
    <row r="292">
      <c r="A292" t="inlineStr">
        <is>
          <t>YX-POSH-06</t>
        </is>
      </c>
      <c r="B292" t="inlineStr">
        <is>
          <t>M08</t>
        </is>
      </c>
      <c r="C292" t="inlineStr">
        <is>
          <t>YX-POSH</t>
        </is>
      </c>
      <c r="D292" t="inlineStr">
        <is>
          <t>3b</t>
        </is>
      </c>
      <c r="E292" s="5" t="inlineStr">
        <is>
          <t>The annual report is compiled, in the format and with the due date set by the P07 POSH parameters, from cases and awareness sessions, then submitted to the employer and the District Officer. A missing report is flagged in the compliance calendar (P07). In wave 4, awareness sessions are recorded as a manual session log in M08 (date, audience, attendance count); from wave 5 they come from M07 courses / templates.</t>
        </is>
      </c>
      <c r="F292" t="inlineStr">
        <is>
          <t>Not started</t>
        </is>
      </c>
      <c r="H292">
        <f>IF(G292&lt;&gt;"",G292,F292)</f>
        <v/>
      </c>
      <c r="I292" t="n">
        <v>0</v>
      </c>
      <c r="J292" t="n">
        <v>0</v>
      </c>
      <c r="K292" t="n">
        <v>0</v>
      </c>
      <c r="L292" s="5" t="inlineStr"/>
      <c r="M292" s="5" t="n"/>
    </row>
    <row r="293">
      <c r="A293" t="inlineStr">
        <is>
          <t>YX-ENG-01</t>
        </is>
      </c>
      <c r="B293" t="inlineStr">
        <is>
          <t>M09</t>
        </is>
      </c>
      <c r="C293" t="inlineStr">
        <is>
          <t>YX-ENG</t>
        </is>
      </c>
      <c r="D293" t="inlineStr">
        <is>
          <t>6+</t>
        </is>
      </c>
      <c r="E293" s="5" t="inlineStr">
        <is>
          <t>Organisation spaces keep their membership in sync with P01 assignments. Leaving a team removes access to that team's space from the next day.</t>
        </is>
      </c>
      <c r="F293" t="inlineStr">
        <is>
          <t>Not started</t>
        </is>
      </c>
      <c r="H293">
        <f>IF(G293&lt;&gt;"",G293,F293)</f>
        <v/>
      </c>
      <c r="I293" t="n">
        <v>0</v>
      </c>
      <c r="J293" t="n">
        <v>0</v>
      </c>
      <c r="K293" t="n">
        <v>0</v>
      </c>
      <c r="L293" s="5" t="inlineStr"/>
      <c r="M293" s="5" t="n"/>
    </row>
    <row r="294">
      <c r="A294" t="inlineStr">
        <is>
          <t>YX-ENG-02</t>
        </is>
      </c>
      <c r="B294" t="inlineStr">
        <is>
          <t>M09</t>
        </is>
      </c>
      <c r="C294" t="inlineStr">
        <is>
          <t>YX-ENG</t>
        </is>
      </c>
      <c r="D294" t="inlineStr">
        <is>
          <t>6+</t>
        </is>
      </c>
      <c r="E294" s="5" t="inlineStr">
        <is>
          <t>Who can post in each space follows the space's posting policy (Q1). Announcements can be posted only by users with the announcer permission (P02).</t>
        </is>
      </c>
      <c r="F294" t="inlineStr">
        <is>
          <t>UI prototype only</t>
        </is>
      </c>
      <c r="H294">
        <f>IF(G294&lt;&gt;"",G294,F294)</f>
        <v/>
      </c>
      <c r="I294" t="n">
        <v>0</v>
      </c>
      <c r="J294" t="n">
        <v>0</v>
      </c>
      <c r="K294" t="n">
        <v>2</v>
      </c>
      <c r="L294" s="5" t="inlineStr"/>
      <c r="M294" s="5" t="n"/>
    </row>
    <row r="295">
      <c r="A295" t="inlineStr">
        <is>
          <t>YX-ENG-03</t>
        </is>
      </c>
      <c r="B295" t="inlineStr">
        <is>
          <t>M09</t>
        </is>
      </c>
      <c r="C295" t="inlineStr">
        <is>
          <t>YX-ENG</t>
        </is>
      </c>
      <c r="D295" t="inlineStr">
        <is>
          <t>6+</t>
        </is>
      </c>
      <c r="E295" s="5" t="inlineStr">
        <is>
          <t>Every post and comment goes through the moderation filter (Q2). Blocked content is held with a reason. Reported content that passes the report threshold is hidden until reviewed. All moderation actions are audited.</t>
        </is>
      </c>
      <c r="F295" t="inlineStr">
        <is>
          <t>Tested, code not linked</t>
        </is>
      </c>
      <c r="H295">
        <f>IF(G295&lt;&gt;"",G295,F295)</f>
        <v/>
      </c>
      <c r="I295" t="n">
        <v>0</v>
      </c>
      <c r="J295" t="n">
        <v>2</v>
      </c>
      <c r="K295" t="n">
        <v>2</v>
      </c>
      <c r="L295" s="5" t="inlineStr">
        <is>
          <t>exam-app-org:packages/yx-ui/src/screens/growth/growth.test.tsx
exam-app-ws:packages/yx-ui/src/screens/growth/growth.test.tsx</t>
        </is>
      </c>
      <c r="M295" s="5" t="n"/>
    </row>
    <row r="296">
      <c r="A296" t="inlineStr">
        <is>
          <t>YX-ENG-04</t>
        </is>
      </c>
      <c r="B296" t="inlineStr">
        <is>
          <t>M09</t>
        </is>
      </c>
      <c r="C296" t="inlineStr">
        <is>
          <t>YX-ENG</t>
        </is>
      </c>
      <c r="D296" t="inlineStr">
        <is>
          <t>6+</t>
        </is>
      </c>
      <c r="E296" s="5" t="inlineStr">
        <is>
          <t>Anonymous survey results are shown only for groups of at least the minimum size (P09, default 5). Filters that would narrow a group below the minimum are disabled. Free-text comments are shown without metadata. The minimum applies to every viewer, including HR admins: nobody has individual-level access to anonymous responses.</t>
        </is>
      </c>
      <c r="F296" t="inlineStr">
        <is>
          <t>Tested, code not linked</t>
        </is>
      </c>
      <c r="H296">
        <f>IF(G296&lt;&gt;"",G296,F296)</f>
        <v/>
      </c>
      <c r="I296" t="n">
        <v>0</v>
      </c>
      <c r="J296" t="n">
        <v>2</v>
      </c>
      <c r="K296" t="n">
        <v>4</v>
      </c>
      <c r="L296" s="5" t="inlineStr">
        <is>
          <t>exam-app-org:packages/yx-ui/src/screens/growth/growth.test.tsx
exam-app-ws:packages/yx-ui/src/screens/growth/growth.test.tsx</t>
        </is>
      </c>
      <c r="M296" s="5" t="n"/>
    </row>
    <row r="297">
      <c r="A297" t="inlineStr">
        <is>
          <t>YX-ENG-05</t>
        </is>
      </c>
      <c r="B297" t="inlineStr">
        <is>
          <t>M09</t>
        </is>
      </c>
      <c r="C297" t="inlineStr">
        <is>
          <t>YX-ENG</t>
        </is>
      </c>
      <c r="D297" t="inlineStr">
        <is>
          <t>6+</t>
        </is>
      </c>
      <c r="E297" s="5" t="inlineStr">
        <is>
          <t>eNPS = % promoters (9–10) − % detractors (0–6). It is shown only when the minimum group size is met.</t>
        </is>
      </c>
      <c r="F297" t="inlineStr">
        <is>
          <t>Tested, code not linked</t>
        </is>
      </c>
      <c r="H297">
        <f>IF(G297&lt;&gt;"",G297,F297)</f>
        <v/>
      </c>
      <c r="I297" t="n">
        <v>0</v>
      </c>
      <c r="J297" t="n">
        <v>2</v>
      </c>
      <c r="K297" t="n">
        <v>4</v>
      </c>
      <c r="L297" s="5" t="inlineStr">
        <is>
          <t>exam-app-org:packages/yx-ui/src/screens/growth/growth.test.tsx
exam-app-ws:packages/yx-ui/src/screens/growth/growth.test.tsx</t>
        </is>
      </c>
      <c r="M297" s="5" t="n"/>
    </row>
    <row r="298">
      <c r="A298" t="inlineStr">
        <is>
          <t>YX-ENG-06</t>
        </is>
      </c>
      <c r="B298" t="inlineStr">
        <is>
          <t>M09</t>
        </is>
      </c>
      <c r="C298" t="inlineStr">
        <is>
          <t>YX-ENG</t>
        </is>
      </c>
      <c r="D298" t="inlineStr">
        <is>
          <t>6+</t>
        </is>
      </c>
      <c r="E298" s="5" t="inlineStr">
        <is>
          <t>Kudos must name a company value. Nobody can give points to themselves or reward their own manager chain above the company limit. Points above the approval threshold need manager / HR approval (Q4).</t>
        </is>
      </c>
      <c r="F298" t="inlineStr">
        <is>
          <t>Tested, code not linked</t>
        </is>
      </c>
      <c r="H298">
        <f>IF(G298&lt;&gt;"",G298,F298)</f>
        <v/>
      </c>
      <c r="I298" t="n">
        <v>0</v>
      </c>
      <c r="J298" t="n">
        <v>2</v>
      </c>
      <c r="K298" t="n">
        <v>4</v>
      </c>
      <c r="L298" s="5" t="inlineStr">
        <is>
          <t>exam-app-org:packages/yx-ui/src/screens/growth/growth.test.tsx
exam-app-ws:packages/yx-ui/src/screens/growth/growth.test.tsx</t>
        </is>
      </c>
      <c r="M298" s="5" t="n"/>
    </row>
    <row r="299">
      <c r="A299" t="inlineStr">
        <is>
          <t>YX-ENG-07</t>
        </is>
      </c>
      <c r="B299" t="inlineStr">
        <is>
          <t>M09</t>
        </is>
      </c>
      <c r="C299" t="inlineStr">
        <is>
          <t>YX-ENG</t>
        </is>
      </c>
      <c r="D299" t="inlineStr">
        <is>
          <t>6+</t>
        </is>
      </c>
      <c r="E299" s="5" t="inlineStr">
        <is>
          <t>Reward redemptions paid as cash or vouchers are sent to M03 as a taxable perquisite / one-time pay according to P07 rules (e.g. the gift threshold).</t>
        </is>
      </c>
      <c r="F299" t="inlineStr">
        <is>
          <t>Tested, code not linked</t>
        </is>
      </c>
      <c r="H299">
        <f>IF(G299&lt;&gt;"",G299,F299)</f>
        <v/>
      </c>
      <c r="I299" t="n">
        <v>0</v>
      </c>
      <c r="J299" t="n">
        <v>2</v>
      </c>
      <c r="K299" t="n">
        <v>4</v>
      </c>
      <c r="L299" s="5" t="inlineStr">
        <is>
          <t>exam-app-org:packages/yx-ui/src/screens/growth/growth.test.tsx
exam-app-ws:packages/yx-ui/src/screens/growth/growth.test.tsx</t>
        </is>
      </c>
      <c r="M299" s="5" t="n"/>
    </row>
    <row r="300">
      <c r="A300" t="inlineStr">
        <is>
          <t>YX-ENG-08</t>
        </is>
      </c>
      <c r="B300" t="inlineStr">
        <is>
          <t>M09</t>
        </is>
      </c>
      <c r="C300" t="inlineStr">
        <is>
          <t>YX-ENG</t>
        </is>
      </c>
      <c r="D300" t="inlineStr">
        <is>
          <t>6+</t>
        </is>
      </c>
      <c r="E300" s="5" t="inlineStr">
        <is>
          <t>Celebrations respect each employee's opt-out and the P02 directory settings. Birthdays never show the year (Q5).</t>
        </is>
      </c>
      <c r="F300" t="inlineStr">
        <is>
          <t>Not started</t>
        </is>
      </c>
      <c r="H300">
        <f>IF(G300&lt;&gt;"",G300,F300)</f>
        <v/>
      </c>
      <c r="I300" t="n">
        <v>0</v>
      </c>
      <c r="J300" t="n">
        <v>0</v>
      </c>
      <c r="K300" t="n">
        <v>0</v>
      </c>
      <c r="L300" s="5" t="inlineStr"/>
      <c r="M300" s="5" t="n"/>
    </row>
    <row r="301">
      <c r="A301" t="inlineStr">
        <is>
          <t>YX-ENG-09</t>
        </is>
      </c>
      <c r="B301" t="inlineStr">
        <is>
          <t>M09</t>
        </is>
      </c>
      <c r="C301" t="inlineStr">
        <is>
          <t>YX-ENG</t>
        </is>
      </c>
      <c r="D301" t="inlineStr">
        <is>
          <t>6+</t>
        </is>
      </c>
      <c r="E301" s="5" t="inlineStr">
        <is>
          <t>Posts from employees who have left stay visible, attributed to "Former employee", unless removed by moderation.</t>
        </is>
      </c>
      <c r="F301" t="inlineStr">
        <is>
          <t>UI prototype only</t>
        </is>
      </c>
      <c r="H301">
        <f>IF(G301&lt;&gt;"",G301,F301)</f>
        <v/>
      </c>
      <c r="I301" t="n">
        <v>0</v>
      </c>
      <c r="J301" t="n">
        <v>0</v>
      </c>
      <c r="K301" t="n">
        <v>2</v>
      </c>
      <c r="L301" s="5" t="inlineStr"/>
      <c r="M301" s="5" t="n"/>
    </row>
    <row r="302">
      <c r="A302" t="inlineStr">
        <is>
          <t>YX-ENG-10</t>
        </is>
      </c>
      <c r="B302" t="inlineStr">
        <is>
          <t>M09</t>
        </is>
      </c>
      <c r="C302" t="inlineStr">
        <is>
          <t>YX-ENG</t>
        </is>
      </c>
      <c r="D302" t="inlineStr">
        <is>
          <t>6+</t>
        </is>
      </c>
      <c r="E302" s="5" t="inlineStr">
        <is>
          <t>Engagement analytics (active users, participation, recognition by value and team, eNPS trend) go through P09 metrics with small-group suppression.</t>
        </is>
      </c>
      <c r="F302" t="inlineStr">
        <is>
          <t>Not started</t>
        </is>
      </c>
      <c r="H302">
        <f>IF(G302&lt;&gt;"",G302,F302)</f>
        <v/>
      </c>
      <c r="I302" t="n">
        <v>0</v>
      </c>
      <c r="J302" t="n">
        <v>0</v>
      </c>
      <c r="K302" t="n">
        <v>0</v>
      </c>
      <c r="L302" s="5" t="inlineStr"/>
      <c r="M302" s="5" t="n"/>
    </row>
    <row r="303">
      <c r="A303" t="inlineStr">
        <is>
          <t>YX-ENG-11</t>
        </is>
      </c>
      <c r="B303" t="inlineStr">
        <is>
          <t>M09</t>
        </is>
      </c>
      <c r="C303" t="inlineStr">
        <is>
          <t>YX-ENG</t>
        </is>
      </c>
      <c r="D303" t="inlineStr">
        <is>
          <t>6+</t>
        </is>
      </c>
      <c r="E303" s="5" t="inlineStr">
        <is>
          <t>Candidate experience survey (gap-register tidy-up). Sent only for triggers the company enabled (starter: all off), once per candidate per trigger per application / drive, by email or the candidate portal / app (WhatsApp only with the candidate's channel opt-in, P04), after the step is complete, and never before a result or decision is released to the candidate. It is skippable, never affects scoring, stage, decision or ranking, and is never visible to interviewers, evaluators or reviewers. Anonymous mode (starter) stores responses as in YX-ENG-04 with coarse slice keys only (job family, stage,</t>
        </is>
      </c>
      <c r="F303" t="inlineStr">
        <is>
          <t>Not started</t>
        </is>
      </c>
      <c r="H303">
        <f>IF(G303&lt;&gt;"",G303,F303)</f>
        <v/>
      </c>
      <c r="I303" t="n">
        <v>0</v>
      </c>
      <c r="J303" t="n">
        <v>0</v>
      </c>
      <c r="K303" t="n">
        <v>0</v>
      </c>
      <c r="L303" s="5" t="inlineStr"/>
      <c r="M303" s="5" t="n"/>
    </row>
    <row r="304">
      <c r="A304" t="inlineStr">
        <is>
          <t>YX-ATS-01</t>
        </is>
      </c>
      <c r="B304" t="inlineStr">
        <is>
          <t>M10</t>
        </is>
      </c>
      <c r="C304" t="inlineStr">
        <is>
          <t>YX-ATS</t>
        </is>
      </c>
      <c r="D304" t="inlineStr">
        <is>
          <t>6+</t>
        </is>
      </c>
      <c r="E304" s="5" t="inlineStr">
        <is>
          <t>A requisition inside an approved headcount-plan line follows the short chain. "Outside plan", or pay above the plan budget, adds the extra approval step (Q1) (fixes U79).</t>
        </is>
      </c>
      <c r="F304" t="inlineStr">
        <is>
          <t>Tested, code not linked</t>
        </is>
      </c>
      <c r="H304">
        <f>IF(G304&lt;&gt;"",G304,F304)</f>
        <v/>
      </c>
      <c r="I304" t="n">
        <v>0</v>
      </c>
      <c r="J304" t="n">
        <v>2</v>
      </c>
      <c r="K304" t="n">
        <v>4</v>
      </c>
      <c r="L304" s="5" t="inlineStr">
        <is>
          <t>exam-app-org:packages/yx-ui/src/screens/hiring/hiring.test.tsx
exam-app-ws:packages/yx-ui/src/screens/hiring/hiring.test.tsx</t>
        </is>
      </c>
      <c r="M304" s="5" t="n"/>
    </row>
    <row r="305">
      <c r="A305" t="inlineStr">
        <is>
          <t>YX-ATS-02</t>
        </is>
      </c>
      <c r="B305" t="inlineStr">
        <is>
          <t>M10</t>
        </is>
      </c>
      <c r="C305" t="inlineStr">
        <is>
          <t>YX-ATS</t>
        </is>
      </c>
      <c r="D305" t="inlineStr">
        <is>
          <t>6+</t>
        </is>
      </c>
      <c r="E305" s="5" t="inlineStr">
        <is>
          <t>A job references P01 masters, not free text. Public career pages show only public fields, with ASCII slugs and tenant branding (fixes U77, U78).</t>
        </is>
      </c>
      <c r="F305" t="inlineStr">
        <is>
          <t>UI prototype only</t>
        </is>
      </c>
      <c r="H305">
        <f>IF(G305&lt;&gt;"",G305,F305)</f>
        <v/>
      </c>
      <c r="I305" t="n">
        <v>0</v>
      </c>
      <c r="J305" t="n">
        <v>0</v>
      </c>
      <c r="K305" t="n">
        <v>2</v>
      </c>
      <c r="L305" s="5" t="inlineStr"/>
      <c r="M305" s="5" t="n"/>
    </row>
    <row r="306">
      <c r="A306" t="inlineStr">
        <is>
          <t>YX-ATS-03</t>
        </is>
      </c>
      <c r="B306" t="inlineStr">
        <is>
          <t>M10</t>
        </is>
      </c>
      <c r="C306" t="inlineStr">
        <is>
          <t>YX-ATS</t>
        </is>
      </c>
      <c r="D306" t="inlineStr">
        <is>
          <t>6+</t>
        </is>
      </c>
      <c r="E306" s="5" t="inlineStr">
        <is>
          <t>One candidate record per person. A merge keeps both histories, chooses field values explicitly, and is audited.</t>
        </is>
      </c>
      <c r="F306" t="inlineStr">
        <is>
          <t>UI prototype only</t>
        </is>
      </c>
      <c r="H306">
        <f>IF(G306&lt;&gt;"",G306,F306)</f>
        <v/>
      </c>
      <c r="I306" t="n">
        <v>0</v>
      </c>
      <c r="J306" t="n">
        <v>0</v>
      </c>
      <c r="K306" t="n">
        <v>2</v>
      </c>
      <c r="L306" s="5" t="inlineStr"/>
      <c r="M306" s="5" t="n"/>
    </row>
    <row r="307">
      <c r="A307" t="inlineStr">
        <is>
          <t>YX-ATS-04</t>
        </is>
      </c>
      <c r="B307" t="inlineStr">
        <is>
          <t>M10</t>
        </is>
      </c>
      <c r="C307" t="inlineStr">
        <is>
          <t>YX-ATS</t>
        </is>
      </c>
      <c r="D307" t="inlineStr">
        <is>
          <t>6+</t>
        </is>
      </c>
      <c r="E307" s="5" t="inlineStr">
        <is>
          <t>Scorecards hold per-skill ratings against a pass bar. The panel's recommendation and the next-step prompt appear on submit (fixes U82).</t>
        </is>
      </c>
      <c r="F307" t="inlineStr">
        <is>
          <t>Tested, code not linked</t>
        </is>
      </c>
      <c r="H307">
        <f>IF(G307&lt;&gt;"",G307,F307)</f>
        <v/>
      </c>
      <c r="I307" t="n">
        <v>0</v>
      </c>
      <c r="J307" t="n">
        <v>2</v>
      </c>
      <c r="K307" t="n">
        <v>2</v>
      </c>
      <c r="L307" s="5" t="inlineStr">
        <is>
          <t>exam-app-org:packages/yx-ui/src/screens/hiring/hiring.test.tsx
exam-app-ws:packages/yx-ui/src/screens/hiring/hiring.test.tsx</t>
        </is>
      </c>
      <c r="M307" s="5" t="n"/>
    </row>
    <row r="308">
      <c r="A308" t="inlineStr">
        <is>
          <t>YX-ATS-05</t>
        </is>
      </c>
      <c r="B308" t="inlineStr">
        <is>
          <t>M10</t>
        </is>
      </c>
      <c r="C308" t="inlineStr">
        <is>
          <t>YX-ATS</t>
        </is>
      </c>
      <c r="D308" t="inlineStr">
        <is>
          <t>6+</t>
        </is>
      </c>
      <c r="E308" s="5" t="inlineStr">
        <is>
          <t>AI interview scores are advisory. Every AI-scored candidate is reviewed by a human before rejection or progression. There is never an automatic reject (Q4). The video / voice recording and face match stay in-region on the proctoring engine; only the text transcript (no face or voice data) is sent to external AI for scoring (R1; P10 YX-AI-01 exception).</t>
        </is>
      </c>
      <c r="F308" t="inlineStr">
        <is>
          <t>UI prototype only</t>
        </is>
      </c>
      <c r="H308">
        <f>IF(G308&lt;&gt;"",G308,F308)</f>
        <v/>
      </c>
      <c r="I308" t="n">
        <v>0</v>
      </c>
      <c r="J308" t="n">
        <v>0</v>
      </c>
      <c r="K308" t="n">
        <v>2</v>
      </c>
      <c r="L308" s="5" t="inlineStr"/>
      <c r="M308" s="5" t="n"/>
    </row>
    <row r="309">
      <c r="A309" t="inlineStr">
        <is>
          <t>YX-ATS-06</t>
        </is>
      </c>
      <c r="B309" t="inlineStr">
        <is>
          <t>M10</t>
        </is>
      </c>
      <c r="C309" t="inlineStr">
        <is>
          <t>YX-ATS</t>
        </is>
      </c>
      <c r="D309" t="inlineStr">
        <is>
          <t>6+</t>
        </is>
      </c>
      <c r="E309" s="5" t="inlineStr">
        <is>
          <t>An offer's compensation comes from an M03 template. A CTC outside the grade's pay range needs extra approval (Q3) (fixes U83).</t>
        </is>
      </c>
      <c r="F309" t="inlineStr">
        <is>
          <t>Tested, code not linked</t>
        </is>
      </c>
      <c r="H309">
        <f>IF(G309&lt;&gt;"",G309,F309)</f>
        <v/>
      </c>
      <c r="I309" t="n">
        <v>0</v>
      </c>
      <c r="J309" t="n">
        <v>2</v>
      </c>
      <c r="K309" t="n">
        <v>4</v>
      </c>
      <c r="L309" s="5" t="inlineStr">
        <is>
          <t>exam-app-org:packages/yx-ui/src/screens/hiring/hiring.test.tsx
exam-app-ws:packages/yx-ui/src/screens/hiring/hiring.test.tsx</t>
        </is>
      </c>
      <c r="M309" s="5" t="n"/>
    </row>
    <row r="310">
      <c r="A310" t="inlineStr">
        <is>
          <t>YX-ATS-07</t>
        </is>
      </c>
      <c r="B310" t="inlineStr">
        <is>
          <t>M10</t>
        </is>
      </c>
      <c r="C310" t="inlineStr">
        <is>
          <t>YX-ATS</t>
        </is>
      </c>
      <c r="D310" t="inlineStr">
        <is>
          <t>6+</t>
        </is>
      </c>
      <c r="E310" s="5" t="inlineStr">
        <is>
          <t>On acceptance (automatic mode) or when HR clicks Create employee in the "Ready to onboard" queue (manual mode), per entity (Q2), one transaction first matches the candidate against employees on PAN, email and mobile, then branches by person type (§3 hand-off matrix, D3): a new person gets the employee (status: pre-boarding), the employment and assignment (P01), a draft compensation (dated on joining, P06) and pre-boarding tasks (M01); an alumni rehire gets a new employment on the existing employee (rehire_of, P01 YX-ORG-19); an internal candidate gets a P06 transfer / promotion; a contractor g</t>
        </is>
      </c>
      <c r="F310" t="inlineStr">
        <is>
          <t>Not started</t>
        </is>
      </c>
      <c r="H310">
        <f>IF(G310&lt;&gt;"",G310,F310)</f>
        <v/>
      </c>
      <c r="I310" t="n">
        <v>0</v>
      </c>
      <c r="J310" t="n">
        <v>0</v>
      </c>
      <c r="K310" t="n">
        <v>0</v>
      </c>
      <c r="L310" s="5" t="inlineStr"/>
      <c r="M310" s="5" t="n"/>
    </row>
    <row r="311">
      <c r="A311" t="inlineStr">
        <is>
          <t>YX-ATS-08</t>
        </is>
      </c>
      <c r="B311" t="inlineStr">
        <is>
          <t>M10</t>
        </is>
      </c>
      <c r="C311" t="inlineStr">
        <is>
          <t>YX-ATS</t>
        </is>
      </c>
      <c r="D311" t="inlineStr">
        <is>
          <t>6+</t>
        </is>
      </c>
      <c r="E311" s="5" t="inlineStr">
        <is>
          <t>BGV is triggered only after the candidate gives explicit consent. Results are visible only to HR and recruiters in scope (Q5).</t>
        </is>
      </c>
      <c r="F311" t="inlineStr">
        <is>
          <t>Not started</t>
        </is>
      </c>
      <c r="H311">
        <f>IF(G311&lt;&gt;"",G311,F311)</f>
        <v/>
      </c>
      <c r="I311" t="n">
        <v>0</v>
      </c>
      <c r="J311" t="n">
        <v>0</v>
      </c>
      <c r="K311" t="n">
        <v>0</v>
      </c>
      <c r="L311" s="5" t="inlineStr"/>
      <c r="M311" s="5" t="n"/>
    </row>
    <row r="312">
      <c r="A312" t="inlineStr">
        <is>
          <t>YX-ATS-09</t>
        </is>
      </c>
      <c r="B312" t="inlineStr">
        <is>
          <t>M10</t>
        </is>
      </c>
      <c r="C312" t="inlineStr">
        <is>
          <t>YX-ATS</t>
        </is>
      </c>
      <c r="D312" t="inlineStr">
        <is>
          <t>6+</t>
        </is>
      </c>
      <c r="E312" s="5" t="inlineStr">
        <is>
          <t>Candidates not hired are anonymised when their retention period ends, unless they renew consent (Q6). Erase requests are handled within the legal time limit.</t>
        </is>
      </c>
      <c r="F312" t="inlineStr">
        <is>
          <t>Not started</t>
        </is>
      </c>
      <c r="H312">
        <f>IF(G312&lt;&gt;"",G312,F312)</f>
        <v/>
      </c>
      <c r="I312" t="n">
        <v>0</v>
      </c>
      <c r="J312" t="n">
        <v>0</v>
      </c>
      <c r="K312" t="n">
        <v>0</v>
      </c>
      <c r="L312" s="5" t="inlineStr"/>
      <c r="M312" s="5" t="n"/>
    </row>
    <row r="313">
      <c r="A313" t="inlineStr">
        <is>
          <t>YX-ATS-10</t>
        </is>
      </c>
      <c r="B313" t="inlineStr">
        <is>
          <t>M10</t>
        </is>
      </c>
      <c r="C313" t="inlineStr">
        <is>
          <t>YX-ATS</t>
        </is>
      </c>
      <c r="D313" t="inlineStr">
        <is>
          <t>6+</t>
        </is>
      </c>
      <c r="E313" s="5" t="inlineStr">
        <is>
          <t>A placement creates a deployed-contractor employment. Client-approved timesheets become invoice lines at the bill rate, and payroll pays the contractor through M03 rate-based compensation (hourly / day rate from the placement, OT / holiday multipliers from the rate card) using the same client-approved timesheets as the input. Payslip lines carry the placement_id, so margin = bill − pay − statutory cost is computed per placement (Q7, D4).</t>
        </is>
      </c>
      <c r="F313" t="inlineStr">
        <is>
          <t>UI prototype only</t>
        </is>
      </c>
      <c r="H313">
        <f>IF(G313&lt;&gt;"",G313,F313)</f>
        <v/>
      </c>
      <c r="I313" t="n">
        <v>0</v>
      </c>
      <c r="J313" t="n">
        <v>0</v>
      </c>
      <c r="K313" t="n">
        <v>2</v>
      </c>
      <c r="L313" s="5" t="inlineStr"/>
      <c r="M313" s="5" t="n"/>
    </row>
    <row r="314">
      <c r="A314" t="inlineStr">
        <is>
          <t>YX-ATS-11</t>
        </is>
      </c>
      <c r="B314" t="inlineStr">
        <is>
          <t>M10</t>
        </is>
      </c>
      <c r="C314" t="inlineStr">
        <is>
          <t>YX-ATS</t>
        </is>
      </c>
      <c r="D314" t="inlineStr">
        <is>
          <t>6+</t>
        </is>
      </c>
      <c r="E314" s="5" t="inlineStr">
        <is>
          <t>Client contacts see only their own client's jobs, submissions, placements, invoices and tickets (Q8).</t>
        </is>
      </c>
      <c r="F314" t="inlineStr">
        <is>
          <t>Not started</t>
        </is>
      </c>
      <c r="H314">
        <f>IF(G314&lt;&gt;"",G314,F314)</f>
        <v/>
      </c>
      <c r="I314" t="n">
        <v>0</v>
      </c>
      <c r="J314" t="n">
        <v>0</v>
      </c>
      <c r="K314" t="n">
        <v>0</v>
      </c>
      <c r="L314" s="5" t="inlineStr"/>
      <c r="M314" s="5" t="n"/>
    </row>
    <row r="315">
      <c r="A315" t="inlineStr">
        <is>
          <t>YX-ATS-12</t>
        </is>
      </c>
      <c r="B315" t="inlineStr">
        <is>
          <t>M10</t>
        </is>
      </c>
      <c r="C315" t="inlineStr">
        <is>
          <t>YX-ATS</t>
        </is>
      </c>
      <c r="D315" t="inlineStr">
        <is>
          <t>6+</t>
        </is>
      </c>
      <c r="E315" s="5" t="inlineStr">
        <is>
          <t>Referral bonus eligibility (e.g. the referred person completes 90 days) triggers a one-time pay in M03 automatically.</t>
        </is>
      </c>
      <c r="F315" t="inlineStr">
        <is>
          <t>Tested, code not linked</t>
        </is>
      </c>
      <c r="H315">
        <f>IF(G315&lt;&gt;"",G315,F315)</f>
        <v/>
      </c>
      <c r="I315" t="n">
        <v>0</v>
      </c>
      <c r="J315" t="n">
        <v>2</v>
      </c>
      <c r="K315" t="n">
        <v>2</v>
      </c>
      <c r="L315" s="5" t="inlineStr">
        <is>
          <t>exam-app-org:packages/yx-ui/src/screens/hiring/hiring.test.tsx
exam-app-ws:packages/yx-ui/src/screens/hiring/hiring.test.tsx</t>
        </is>
      </c>
      <c r="M315" s="5" t="n"/>
    </row>
    <row r="316">
      <c r="A316" t="inlineStr">
        <is>
          <t>YX-ATS-13</t>
        </is>
      </c>
      <c r="B316" t="inlineStr">
        <is>
          <t>M10</t>
        </is>
      </c>
      <c r="C316" t="inlineStr">
        <is>
          <t>YX-ATS</t>
        </is>
      </c>
      <c r="D316" t="inlineStr">
        <is>
          <t>6+</t>
        </is>
      </c>
      <c r="E316" s="5" t="inlineStr">
        <is>
          <t>An internal hire marks the requisition filled (and draws the plan line) on acceptance without creating an employee or employment; the move is a P06 change on the existing record, effective on the release date agreed with the current manager.</t>
        </is>
      </c>
      <c r="F316" t="inlineStr">
        <is>
          <t>Not started</t>
        </is>
      </c>
      <c r="H316">
        <f>IF(G316&lt;&gt;"",G316,F316)</f>
        <v/>
      </c>
      <c r="I316" t="n">
        <v>0</v>
      </c>
      <c r="J316" t="n">
        <v>0</v>
      </c>
      <c r="K316" t="n">
        <v>0</v>
      </c>
      <c r="L316" s="5" t="inlineStr"/>
      <c r="M316" s="5" t="n"/>
    </row>
    <row r="317">
      <c r="A317" t="inlineStr">
        <is>
          <t>YX-ATS-14</t>
        </is>
      </c>
      <c r="B317" t="inlineStr">
        <is>
          <t>M10</t>
        </is>
      </c>
      <c r="C317" t="inlineStr">
        <is>
          <t>YX-ATS</t>
        </is>
      </c>
      <c r="D317" t="inlineStr">
        <is>
          <t>6+</t>
        </is>
      </c>
      <c r="E317" s="5" t="inlineStr">
        <is>
          <t>An offer that is reneged, not joined or withdrawn after acceptance (withdrawal is manual, with a mandatory reason and a P05 letter) triggers the M01 pre-boarding unwind (YX-LC-12): the headcount-plan line is released and the requisition reopens with its pipeline intact. Every decline, renege or withdrawal records a reason from the fixed decline-reason list.</t>
        </is>
      </c>
      <c r="F317" t="inlineStr">
        <is>
          <t>Not started</t>
        </is>
      </c>
      <c r="H317">
        <f>IF(G317&lt;&gt;"",G317,F317)</f>
        <v/>
      </c>
      <c r="I317" t="n">
        <v>0</v>
      </c>
      <c r="J317" t="n">
        <v>0</v>
      </c>
      <c r="K317" t="n">
        <v>0</v>
      </c>
      <c r="L317" s="5" t="inlineStr"/>
      <c r="M317" s="5" t="n"/>
    </row>
    <row r="318">
      <c r="A318" t="inlineStr">
        <is>
          <t>YX-ATS-15</t>
        </is>
      </c>
      <c r="B318" t="inlineStr">
        <is>
          <t>M10</t>
        </is>
      </c>
      <c r="C318" t="inlineStr">
        <is>
          <t>YX-ATS</t>
        </is>
      </c>
      <c r="D318" t="inlineStr">
        <is>
          <t>6+</t>
        </is>
      </c>
      <c r="E318" s="5" t="inlineStr">
        <is>
          <t>Placement lifecycle (E17). Placement extension and early end are dated changes (P06) with a reason; the client's contract-end notice (date received, notice days) is recorded and the placement end alerts the account team N days ahead. On end, ats.placement.ended fires and the contractor moves to bench status. Bench follows the company's bench policy (D17; YukthiX ships a labelled starter template only): bench pay % (fed to M03), max bench days, then redeploy or an exit review (never an automatic exit). Redeploy from bench starts a new placement on the same employment.</t>
        </is>
      </c>
      <c r="F318" t="inlineStr">
        <is>
          <t>UI prototype only</t>
        </is>
      </c>
      <c r="H318">
        <f>IF(G318&lt;&gt;"",G318,F318)</f>
        <v/>
      </c>
      <c r="I318" t="n">
        <v>0</v>
      </c>
      <c r="J318" t="n">
        <v>0</v>
      </c>
      <c r="K318" t="n">
        <v>2</v>
      </c>
      <c r="L318" s="5" t="inlineStr"/>
      <c r="M318" s="5" t="n"/>
    </row>
    <row r="319">
      <c r="A319" t="inlineStr">
        <is>
          <t>YX-ATS-16</t>
        </is>
      </c>
      <c r="B319" t="inlineStr">
        <is>
          <t>M10</t>
        </is>
      </c>
      <c r="C319" t="inlineStr">
        <is>
          <t>YX-ATS</t>
        </is>
      </c>
      <c r="D319" t="inlineStr">
        <is>
          <t>6+</t>
        </is>
      </c>
      <c r="E319" s="5" t="inlineStr">
        <is>
          <t>Collections (E17). Each client has a receivables ledger with ageing buckets (company-defined; starter template 0–30 / 31–60 / 61–90 / 90+). Dunning reminders go to the client's billing contacts on the company's schedule. Receipts can be part payments allocated across invoices. Client-side TDS (194C / 194J, rate from P07) deducted by the client is recorded as TDS receivable and reconciled against 26AS; unmatched amounts are flagged. Disputes and short payments are logged per invoice line with a reason; credit notes are matched to the invoice they correct. The client can add a PO number to an in</t>
        </is>
      </c>
      <c r="F319" t="inlineStr">
        <is>
          <t>Not started</t>
        </is>
      </c>
      <c r="H319">
        <f>IF(G319&lt;&gt;"",G319,F319)</f>
        <v/>
      </c>
      <c r="I319" t="n">
        <v>0</v>
      </c>
      <c r="J319" t="n">
        <v>0</v>
      </c>
      <c r="K319" t="n">
        <v>0</v>
      </c>
      <c r="L319" s="5" t="inlineStr"/>
      <c r="M319" s="5" t="n"/>
    </row>
    <row r="320">
      <c r="A320" t="inlineStr">
        <is>
          <t>YX-ATS-17</t>
        </is>
      </c>
      <c r="B320" t="inlineStr">
        <is>
          <t>M10</t>
        </is>
      </c>
      <c r="C320" t="inlineStr">
        <is>
          <t>YX-ATS</t>
        </is>
      </c>
      <c r="D320" t="inlineStr">
        <is>
          <t>6+</t>
        </is>
      </c>
      <c r="E320" s="5" t="inlineStr">
        <is>
          <t>Offer versions (E18). A revised offer is a new version that supersedes the previous one; if the CTC or grade changed, it goes through approval again (YX-ATS-06). The superseded letter is withdrawn in P05 and can't be accepted. Declines use the decline-reason list (§3, D3).</t>
        </is>
      </c>
      <c r="F320" t="inlineStr">
        <is>
          <t>UI prototype only</t>
        </is>
      </c>
      <c r="H320">
        <f>IF(G320&lt;&gt;"",G320,F320)</f>
        <v/>
      </c>
      <c r="I320" t="n">
        <v>0</v>
      </c>
      <c r="J320" t="n">
        <v>0</v>
      </c>
      <c r="K320" t="n">
        <v>4</v>
      </c>
      <c r="L320" s="5" t="inlineStr"/>
      <c r="M320" s="5" t="n"/>
    </row>
    <row r="321">
      <c r="A321" t="inlineStr">
        <is>
          <t>YX-ATS-18</t>
        </is>
      </c>
      <c r="B321" t="inlineStr">
        <is>
          <t>M10</t>
        </is>
      </c>
      <c r="C321" t="inlineStr">
        <is>
          <t>YX-ATS</t>
        </is>
      </c>
      <c r="D321" t="inlineStr">
        <is>
          <t>6+</t>
        </is>
      </c>
      <c r="E321" s="5" t="inlineStr">
        <is>
          <t>Campus offers (E18). A campus hire can get an LOI (letter of intent) first and the offer later, or the offer months ahead. Long pre-boarding is a candidate state (not an employee, not billed) with scheduled touchpoints; campus hires are grouped into a joining batch with one joining date that can be moved for the whole batch.</t>
        </is>
      </c>
      <c r="F321" t="inlineStr">
        <is>
          <t>Not started</t>
        </is>
      </c>
      <c r="H321">
        <f>IF(G321&lt;&gt;"",G321,F321)</f>
        <v/>
      </c>
      <c r="I321" t="n">
        <v>0</v>
      </c>
      <c r="J321" t="n">
        <v>0</v>
      </c>
      <c r="K321" t="n">
        <v>0</v>
      </c>
      <c r="L321" s="5" t="inlineStr"/>
      <c r="M321" s="5" t="n"/>
    </row>
    <row r="322">
      <c r="A322" t="inlineStr">
        <is>
          <t>YX-ATS-19</t>
        </is>
      </c>
      <c r="B322" t="inlineStr">
        <is>
          <t>M10</t>
        </is>
      </c>
      <c r="C322" t="inlineStr">
        <is>
          <t>YX-ATS</t>
        </is>
      </c>
      <c r="D322" t="inlineStr">
        <is>
          <t>6+</t>
        </is>
      </c>
      <c r="E322" s="5" t="inlineStr">
        <is>
          <t>Minors (law; DPDP s.9; E16). Every candidate gives a date of birth. An under-18 candidate needs verifiable parental / guardian consent before processing continues; there is no AI interview (YX-ATS-05) and no profiling (AI fit score, semantic ranking, behavioural signals) for them. The same gate applies to assessments in T05 (YX-EVAL-13). This is a legal rule and can't be switched off.</t>
        </is>
      </c>
      <c r="F322" t="inlineStr">
        <is>
          <t>Not started</t>
        </is>
      </c>
      <c r="H322">
        <f>IF(G322&lt;&gt;"",G322,F322)</f>
        <v/>
      </c>
      <c r="I322" t="n">
        <v>0</v>
      </c>
      <c r="J322" t="n">
        <v>0</v>
      </c>
      <c r="K322" t="n">
        <v>0</v>
      </c>
      <c r="L322" s="5" t="inlineStr"/>
      <c r="M322" s="5" t="n"/>
    </row>
    <row r="323">
      <c r="A323" t="inlineStr">
        <is>
          <t>YX-ATS-20</t>
        </is>
      </c>
      <c r="B323" t="inlineStr">
        <is>
          <t>M10</t>
        </is>
      </c>
      <c r="C323" t="inlineStr">
        <is>
          <t>YX-ATS</t>
        </is>
      </c>
      <c r="D323" t="inlineStr">
        <is>
          <t>6+</t>
        </is>
      </c>
      <c r="E323" s="5" t="inlineStr">
        <is>
          <t>Campaigns and nurture sequences (B8). A message goes to a candidate only if they hold a current nurture consent for that channel (email or WhatsApp opt-in, recorded with source, time and text version; WhatsApp uses approved templates on the company's own number, P04). Opt-out (unsubscribe link, "STOP") takes effect at once for that channel and is honoured by every campaign. A sequence stops for a candidate on reply, application, hire, opt-out or retention end. Under-18 candidates are never enrolled (YX-ATS-19). Sending limits and quiet hours follow P04. WhatsApp / SMS message charges are pass-</t>
        </is>
      </c>
      <c r="F323" t="inlineStr">
        <is>
          <t>Tested, code not linked</t>
        </is>
      </c>
      <c r="H323">
        <f>IF(G323&lt;&gt;"",G323,F323)</f>
        <v/>
      </c>
      <c r="I323" t="n">
        <v>0</v>
      </c>
      <c r="J323" t="n">
        <v>2</v>
      </c>
      <c r="K323" t="n">
        <v>4</v>
      </c>
      <c r="L323" s="5" t="inlineStr">
        <is>
          <t>exam-app-org:packages/yx-ui/src/screens/hiring/hiring.test.tsx
exam-app-ws:packages/yx-ui/src/screens/hiring/hiring.test.tsx</t>
        </is>
      </c>
      <c r="M323" s="5" t="n"/>
    </row>
    <row r="324">
      <c r="A324" t="inlineStr">
        <is>
          <t>YX-ATS-21</t>
        </is>
      </c>
      <c r="B324" t="inlineStr">
        <is>
          <t>M10</t>
        </is>
      </c>
      <c r="C324" t="inlineStr">
        <is>
          <t>YX-ATS</t>
        </is>
      </c>
      <c r="D324" t="inlineStr">
        <is>
          <t>6+</t>
        </is>
      </c>
      <c r="E324" s="5" t="inlineStr">
        <is>
          <t>Pools and hotlists (B8). Dynamic pools re-evaluate their saved search nightly; membership never extends a candidate's retention. Before retention ends the consent-renewal email (Q6) is sent; renewal keeps the candidate in their pools, otherwise they are anonymised and leave every pool and sequence (YX-ATS-09).</t>
        </is>
      </c>
      <c r="F324" t="inlineStr">
        <is>
          <t>Not started</t>
        </is>
      </c>
      <c r="H324">
        <f>IF(G324&lt;&gt;"",G324,F324)</f>
        <v/>
      </c>
      <c r="I324" t="n">
        <v>0</v>
      </c>
      <c r="J324" t="n">
        <v>0</v>
      </c>
      <c r="K324" t="n">
        <v>0</v>
      </c>
      <c r="L324" s="5" t="inlineStr"/>
      <c r="M324" s="5" t="n"/>
    </row>
    <row r="325">
      <c r="A325" t="inlineStr">
        <is>
          <t>YX-ATS-22</t>
        </is>
      </c>
      <c r="B325" t="inlineStr">
        <is>
          <t>M10</t>
        </is>
      </c>
      <c r="C325" t="inlineStr">
        <is>
          <t>YX-ATS</t>
        </is>
      </c>
      <c r="D325" t="inlineStr">
        <is>
          <t>6+</t>
        </is>
      </c>
      <c r="E325" s="5" t="inlineStr">
        <is>
          <t xml:space="preserve">Sourcing browser extension (B8). A Chrome / Edge extension captures one profile per explicit recruiter click from the page the recruiter is viewing in their own logged-in LinkedIn or Naukri session; no bulk crawling or background scraping, and the company is responsible for its use under the site's terms. The capture is dedup-checked (YX-ATS-03) and saved as sourced – pending consent: only a first recruiter outreach carrying the privacy notice is allowed; no AI scoring, semantic ranking, campaigns or submission until the candidate consents. With no consent within the company's window (starter </t>
        </is>
      </c>
      <c r="F325" t="inlineStr">
        <is>
          <t>Not started</t>
        </is>
      </c>
      <c r="H325">
        <f>IF(G325&lt;&gt;"",G325,F325)</f>
        <v/>
      </c>
      <c r="I325" t="n">
        <v>0</v>
      </c>
      <c r="J325" t="n">
        <v>0</v>
      </c>
      <c r="K325" t="n">
        <v>0</v>
      </c>
      <c r="L325" s="5" t="inlineStr"/>
      <c r="M325" s="5" t="n"/>
    </row>
    <row r="326">
      <c r="A326" t="inlineStr">
        <is>
          <t>YX-ATS-23</t>
        </is>
      </c>
      <c r="B326" t="inlineStr">
        <is>
          <t>M10</t>
        </is>
      </c>
      <c r="C326" t="inlineStr">
        <is>
          <t>YX-ATS</t>
        </is>
      </c>
      <c r="D326" t="inlineStr">
        <is>
          <t>6+</t>
        </is>
      </c>
      <c r="E326" s="5" t="inlineStr">
        <is>
          <t xml:space="preserve">Job-board connectors (B8; D18). Naukri, Shine, Foundit, LinkedIn and Indeed connect with the company's own board accounts; posting fees, job slots and credits are the company's contract with the board (the connector is included). A job can be posted, refreshed and closed from YukthiX; closing or filling the requisition closes every live posting. Applicants are pulled into the pipeline with the board as source, dedup-checked, and shown the standard privacy notice and consent on first contact. Board costs are entered (or imported where the board provides them) into recruiting_costs for cost per </t>
        </is>
      </c>
      <c r="F326" t="inlineStr">
        <is>
          <t>UI prototype only</t>
        </is>
      </c>
      <c r="H326">
        <f>IF(G326&lt;&gt;"",G326,F326)</f>
        <v/>
      </c>
      <c r="I326" t="n">
        <v>0</v>
      </c>
      <c r="J326" t="n">
        <v>0</v>
      </c>
      <c r="K326" t="n">
        <v>2</v>
      </c>
      <c r="L326" s="5" t="inlineStr"/>
      <c r="M326" s="5" t="n"/>
    </row>
    <row r="327">
      <c r="A327" t="inlineStr">
        <is>
          <t>YX-ATS-24</t>
        </is>
      </c>
      <c r="B327" t="inlineStr">
        <is>
          <t>M10</t>
        </is>
      </c>
      <c r="C327" t="inlineStr">
        <is>
          <t>YX-ATS</t>
        </is>
      </c>
      <c r="D327" t="inlineStr">
        <is>
          <t>6+</t>
        </is>
      </c>
      <c r="E327" s="5" t="inlineStr">
        <is>
          <t>Panel auto-slotting (B8). For a round, YukthiX reads free / busy for every panel member (P10 calendar connector) and finds common slots within the company's rules: working hours and time zone of each person, buffer between interviews, maximum interviews per interviewer per day / week, required vs optional panelists, and the candidate's stated availability. It proposes the best N slots; the recruiter confirms one or offers them to the candidate for self-booking. Availability is re-checked at booking; the meeting and invites are created through the connector. A panelist who declines triggers a r</t>
        </is>
      </c>
      <c r="F327" t="inlineStr">
        <is>
          <t>Tested, code not linked</t>
        </is>
      </c>
      <c r="H327">
        <f>IF(G327&lt;&gt;"",G327,F327)</f>
        <v/>
      </c>
      <c r="I327" t="n">
        <v>0</v>
      </c>
      <c r="J327" t="n">
        <v>2</v>
      </c>
      <c r="K327" t="n">
        <v>2</v>
      </c>
      <c r="L327" s="5" t="inlineStr">
        <is>
          <t>exam-app-org:packages/yx-ui/src/screens/hiring/hiring.test.tsx
exam-app-ws:packages/yx-ui/src/screens/hiring/hiring.test.tsx</t>
        </is>
      </c>
      <c r="M327" s="5" t="n"/>
    </row>
    <row r="328">
      <c r="A328" t="inlineStr">
        <is>
          <t>YX-ATS-25</t>
        </is>
      </c>
      <c r="B328" t="inlineStr">
        <is>
          <t>M10</t>
        </is>
      </c>
      <c r="C328" t="inlineStr">
        <is>
          <t>YX-ATS</t>
        </is>
      </c>
      <c r="D328" t="inlineStr">
        <is>
          <t>6+</t>
        </is>
      </c>
      <c r="E328" s="5" t="inlineStr">
        <is>
          <t>Vendor register and portal (C7). A vendor is active only with a signed agreement (P05), PAN, verified bank account (P10) and TDS section, held once in the M03 consultant register (firm type) so payouts reuse M03 (YX-PAY-37). Vendor contacts log in through the limited external login (P02 §4.7: OTP, not billed seats, expiring, audited, YX-SEC-21) and see only their own vendor's job shares, submissions and their statuses, placements, timesheets, invoices, payments and scorecard. They never see other vendors, candidates submitted by others, bill rates or margins. A vendor cannot re-share a job.</t>
        </is>
      </c>
      <c r="F328" t="inlineStr">
        <is>
          <t>UI prototype only</t>
        </is>
      </c>
      <c r="H328">
        <f>IF(G328&lt;&gt;"",G328,F328)</f>
        <v/>
      </c>
      <c r="I328" t="n">
        <v>0</v>
      </c>
      <c r="J328" t="n">
        <v>0</v>
      </c>
      <c r="K328" t="n">
        <v>2</v>
      </c>
      <c r="L328" s="5" t="inlineStr"/>
      <c r="M328" s="5" t="n"/>
    </row>
    <row r="329">
      <c r="A329" t="inlineStr">
        <is>
          <t>YX-ATS-26</t>
        </is>
      </c>
      <c r="B329" t="inlineStr">
        <is>
          <t>M10</t>
        </is>
      </c>
      <c r="C329" t="inlineStr">
        <is>
          <t>YX-ATS</t>
        </is>
      </c>
      <c r="D329" t="inlineStr">
        <is>
          <t>6+</t>
        </is>
      </c>
      <c r="E329" s="5" t="inlineStr">
        <is>
          <t>Job sharing with rate caps (C7). A recruiter shares a job with named vendors, setting a rate cap (maximum vendor rate; suggested as bill rate − target margin from the company's margin policy, D17), a maximum number of submissions per vendor and an expiry. The vendor sees only the shared fields (client name masked if chosen). A submission quoting above the cap is blocked unless the recruiter approves an exception with a reason (P03). Withdrawing or filling the job closes all shares and notifies the vendors.</t>
        </is>
      </c>
      <c r="F329" t="inlineStr">
        <is>
          <t>Tested, code not linked</t>
        </is>
      </c>
      <c r="H329">
        <f>IF(G329&lt;&gt;"",G329,F329)</f>
        <v/>
      </c>
      <c r="I329" t="n">
        <v>0</v>
      </c>
      <c r="J329" t="n">
        <v>2</v>
      </c>
      <c r="K329" t="n">
        <v>2</v>
      </c>
      <c r="L329" s="5" t="inlineStr">
        <is>
          <t>exam-app-org:packages/yx-ui/src/screens/hiring/hiring.test.tsx
exam-app-ws:packages/yx-ui/src/screens/hiring/hiring.test.tsx</t>
        </is>
      </c>
      <c r="M329" s="5" t="n"/>
    </row>
    <row r="330">
      <c r="A330" t="inlineStr">
        <is>
          <t>YX-ATS-27</t>
        </is>
      </c>
      <c r="B330" t="inlineStr">
        <is>
          <t>M10</t>
        </is>
      </c>
      <c r="C330" t="inlineStr">
        <is>
          <t>YX-ATS</t>
        </is>
      </c>
      <c r="D330" t="inlineStr">
        <is>
          <t>6+</t>
        </is>
      </c>
      <c r="E330" s="5" t="inlineStr">
        <is>
          <t>Vendor submissions and duplicate check (C7). Each submission needs the vendor's right-to-represent confirmation and the candidate's consent (captured by a candidate link, P02). It is checked against all candidates (email, phone, embedding similarity, YX-ATS-03). If the candidate is already in the job's pipeline or was submitted for it by anyone (own recruiter or another vendor) within the ownership window (company sets; starter template 90 days), the submission is marked duplicate and ownership stays with the first valid source; the vendor sees "duplicate — not accepted" without learning who h</t>
        </is>
      </c>
      <c r="F330" t="inlineStr">
        <is>
          <t>Not started</t>
        </is>
      </c>
      <c r="H330">
        <f>IF(G330&lt;&gt;"",G330,F330)</f>
        <v/>
      </c>
      <c r="I330" t="n">
        <v>0</v>
      </c>
      <c r="J330" t="n">
        <v>0</v>
      </c>
      <c r="K330" t="n">
        <v>0</v>
      </c>
      <c r="L330" s="5" t="inlineStr"/>
      <c r="M330" s="5" t="n"/>
    </row>
    <row r="331">
      <c r="A331" t="inlineStr">
        <is>
          <t>YX-ATS-28</t>
        </is>
      </c>
      <c r="B331" t="inlineStr">
        <is>
          <t>M10</t>
        </is>
      </c>
      <c r="C331" t="inlineStr">
        <is>
          <t>YX-ATS</t>
        </is>
      </c>
      <c r="D331" t="inlineStr">
        <is>
          <t>6+</t>
        </is>
      </c>
      <c r="E331" s="5" t="inlineStr">
        <is>
          <t>Vendor rate cards and margins (C7). A vendor-supplied placement takes the vendor rate from the vendor rate card (or the accepted quote within the cap) as a dated value (P06). It creates no HRMS employment and no payroll: the worker is a vendor_worker with a limited timesheet login (or the vendor contact enters timesheets), and the client approves them as for any placement (YX-ATS-11). The client invoice is unchanged (YX-ATS-10); margin for these placements = bill − vendor rate (no statutory cost), shown in the same margin report. Contract-labour (CLRA) compliance for vendor workers is out of t</t>
        </is>
      </c>
      <c r="F331" t="inlineStr">
        <is>
          <t>Not started</t>
        </is>
      </c>
      <c r="H331">
        <f>IF(G331&lt;&gt;"",G331,F331)</f>
        <v/>
      </c>
      <c r="I331" t="n">
        <v>0</v>
      </c>
      <c r="J331" t="n">
        <v>0</v>
      </c>
      <c r="K331" t="n">
        <v>0</v>
      </c>
      <c r="L331" s="5" t="inlineStr"/>
      <c r="M331" s="5" t="n"/>
    </row>
    <row r="332">
      <c r="A332" t="inlineStr">
        <is>
          <t>YX-ATS-29</t>
        </is>
      </c>
      <c r="B332" t="inlineStr">
        <is>
          <t>M10</t>
        </is>
      </c>
      <c r="C332" t="inlineStr">
        <is>
          <t>YX-ATS</t>
        </is>
      </c>
      <c r="D332" t="inlineStr">
        <is>
          <t>6+</t>
        </is>
      </c>
      <c r="E332" s="5" t="inlineStr">
        <is>
          <t>Vendor invoices and payouts (C7). Each period YukthiX proposes the vendor invoice from client-approved hours × vendor rate per placement; the vendor confirms it and adds its invoice number and GST details in the portal (or uploads its own, which must not exceed the approved amount without a recruiter-approved exception). The approved vendor invoice becomes an M03 consultant invoice (YX-PAY-38): TDS 194C or 194J per the vendor's section (YX-TAX-16), P03 approval, payment in the bank file / payout, 26Q and Form 16A (YX-TAX-17), payment advice in the vendor portal. An optional company pay-when-pa</t>
        </is>
      </c>
      <c r="F332" t="inlineStr">
        <is>
          <t>Not started</t>
        </is>
      </c>
      <c r="H332">
        <f>IF(G332&lt;&gt;"",G332,F332)</f>
        <v/>
      </c>
      <c r="I332" t="n">
        <v>0</v>
      </c>
      <c r="J332" t="n">
        <v>0</v>
      </c>
      <c r="K332" t="n">
        <v>0</v>
      </c>
      <c r="L332" s="5" t="inlineStr"/>
      <c r="M332" s="5" t="n"/>
    </row>
    <row r="333">
      <c r="A333" t="inlineStr">
        <is>
          <t>YX-ATS-30</t>
        </is>
      </c>
      <c r="B333" t="inlineStr">
        <is>
          <t>M10</t>
        </is>
      </c>
      <c r="C333" t="inlineStr">
        <is>
          <t>YX-ATS</t>
        </is>
      </c>
      <c r="D333" t="inlineStr">
        <is>
          <t>6+</t>
        </is>
      </c>
      <c r="E333" s="5" t="inlineStr">
        <is>
          <t>Vendor performance scorecards (C7). Per vendor and period (P09 metrics): submissions, duplicate rate, submission → interview, interview → offer, placements, time to first submission, early-exit rate (placement ended within a company-set window), rate-cap exceptions, invoice disputes and document validity (agreement, GST). The recruiter team sees all scorecards; each vendor sees only its own. Scorecards inform manual vendor tiering and share decisions; nothing is suspended automatically.</t>
        </is>
      </c>
      <c r="F333" t="inlineStr">
        <is>
          <t>Not started</t>
        </is>
      </c>
      <c r="H333">
        <f>IF(G333&lt;&gt;"",G333,F333)</f>
        <v/>
      </c>
      <c r="I333" t="n">
        <v>0</v>
      </c>
      <c r="J333" t="n">
        <v>0</v>
      </c>
      <c r="K333" t="n">
        <v>0</v>
      </c>
      <c r="L333" s="5" t="inlineStr"/>
      <c r="M333" s="5" t="n"/>
    </row>
    <row r="334">
      <c r="A334" t="inlineStr">
        <is>
          <t>YX-ATS-31</t>
        </is>
      </c>
      <c r="B334" t="inlineStr">
        <is>
          <t>M10</t>
        </is>
      </c>
      <c r="C334" t="inlineStr">
        <is>
          <t>YX-ATS</t>
        </is>
      </c>
      <c r="D334" t="inlineStr">
        <is>
          <t>6+</t>
        </is>
      </c>
      <c r="E334" s="5" t="inlineStr">
        <is>
          <t>Candidate promises (G12; G13 decided no). After a résumé upload the candidate never re-types what was parsed: parsed fields are shown for confirmation and edit only, and the same parsing prefills every later application within that company. The candidate portal shows the application's status at every stage using a company-editable status label set (D17; YukthiX ships a labelled starter set mapped to the pipeline stages). When the company enables it (per job or company-wide), a candidate who is not progressing receives a "not selected" notice or the plain reason the recruiter picked from the de</t>
        </is>
      </c>
      <c r="F334" t="inlineStr">
        <is>
          <t>Not started</t>
        </is>
      </c>
      <c r="H334">
        <f>IF(G334&lt;&gt;"",G334,F334)</f>
        <v/>
      </c>
      <c r="I334" t="n">
        <v>0</v>
      </c>
      <c r="J334" t="n">
        <v>0</v>
      </c>
      <c r="K334" t="n">
        <v>0</v>
      </c>
      <c r="L334" s="5" t="inlineStr"/>
      <c r="M334" s="5" t="n"/>
    </row>
    <row r="335">
      <c r="A335" t="inlineStr">
        <is>
          <t>YX-ATS-32</t>
        </is>
      </c>
      <c r="B335" t="inlineStr">
        <is>
          <t>M10</t>
        </is>
      </c>
      <c r="C335" t="inlineStr">
        <is>
          <t>YX-ATS</t>
        </is>
      </c>
      <c r="D335" t="inlineStr">
        <is>
          <t>6+</t>
        </is>
      </c>
      <c r="E335" s="5" t="inlineStr">
        <is>
          <t>Identity chain hooks (T10). A company may add an optional application verification step (ID + selfie with consent), which is the first capture point for the person record (P01 persons) when it runs (T04 YX-PROC-19). The AI interview and the live interview (T07 interview room, built-in video) each match the candidate against that record; where face detection is off, consent is refused or the interview runs on Teams / Meet, the interviewer attests identity against the ID. When the company has the add-on, the partner deepfake / voice-clone check runs on the interview video / audio (T04 YX-PROC-20</t>
        </is>
      </c>
      <c r="F335" t="inlineStr">
        <is>
          <t>Tested, code not linked</t>
        </is>
      </c>
      <c r="H335">
        <f>IF(G335&lt;&gt;"",G335,F335)</f>
        <v/>
      </c>
      <c r="I335" t="n">
        <v>0</v>
      </c>
      <c r="J335" t="n">
        <v>2</v>
      </c>
      <c r="K335" t="n">
        <v>6</v>
      </c>
      <c r="L335" s="5" t="inlineStr">
        <is>
          <t>exam-app-org:packages/yx-ui/src/screens/hiring/hiring.test.tsx
exam-app-ws:packages/yx-ui/src/screens/hiring/hiring.test.tsx</t>
        </is>
      </c>
      <c r="M335" s="5" t="n"/>
    </row>
    <row r="336">
      <c r="A336" t="inlineStr">
        <is>
          <t>YX-ATS-33</t>
        </is>
      </c>
      <c r="B336" t="inlineStr">
        <is>
          <t>M10</t>
        </is>
      </c>
      <c r="C336" t="inlineStr">
        <is>
          <t>YX-ATS</t>
        </is>
      </c>
      <c r="D336" t="inlineStr">
        <is>
          <t>6+</t>
        </is>
      </c>
      <c r="E336" s="5" t="inlineStr">
        <is>
          <t>Candidates are persons; ex-employees flagged at application (Validation pass 3 Must follow-up, 28 Sep 2026). Every candidate, referral and campus registrant links to one P01 persons row of the same tenant (YX-ORG-26, matching per YX-ORG-27; no match = new person). When that person has a past employment or alumnus role, the application shows "Ex-employee" from the first screen and through screening per M01 YX-LC-29: recruiter and HR see exit date, exit type and rehire eligibility; the hiring manager sees only "Ex-employee" and rehire-eligible yes / no; a rehire-ineligible flag alerts the recrui</t>
        </is>
      </c>
      <c r="F336" t="inlineStr">
        <is>
          <t>UI prototype only</t>
        </is>
      </c>
      <c r="H336">
        <f>IF(G336&lt;&gt;"",G336,F336)</f>
        <v/>
      </c>
      <c r="I336" t="n">
        <v>0</v>
      </c>
      <c r="J336" t="n">
        <v>0</v>
      </c>
      <c r="K336" t="n">
        <v>2</v>
      </c>
      <c r="L336" s="5" t="inlineStr"/>
      <c r="M336" s="5" t="n"/>
    </row>
    <row r="337">
      <c r="A337" t="inlineStr">
        <is>
          <t>YX-ATS-34</t>
        </is>
      </c>
      <c r="B337" t="inlineStr">
        <is>
          <t>M10</t>
        </is>
      </c>
      <c r="C337" t="inlineStr">
        <is>
          <t>YX-ATS</t>
        </is>
      </c>
      <c r="D337" t="inlineStr">
        <is>
          <t>6+</t>
        </is>
      </c>
      <c r="E337" s="5" t="inlineStr">
        <is>
          <t>T4 + R10 + R11 (hiring side). Every company can show a salary range on job ads and careers pages. Where the job's work location has a pay-transparency law (list held in P07 rules-as-data, not code), the range is mandatory and publishing is blocked without it; elsewhere it is a company setting with the starter template on. The pay-history question on application forms is blocked where the law bans it and off by default elsewhere (company may switch it on).</t>
        </is>
      </c>
      <c r="F337" t="inlineStr">
        <is>
          <t>Tested, code not linked</t>
        </is>
      </c>
      <c r="H337">
        <f>IF(G337&lt;&gt;"",G337,F337)</f>
        <v/>
      </c>
      <c r="I337" t="n">
        <v>0</v>
      </c>
      <c r="J337" t="n">
        <v>2</v>
      </c>
      <c r="K337" t="n">
        <v>2</v>
      </c>
      <c r="L337" s="5" t="inlineStr">
        <is>
          <t>exam-app-org:packages/yx-ui/src/screens/hiring/hiring.test.tsx
exam-app-ws:packages/yx-ui/src/screens/hiring/hiring.test.tsx</t>
        </is>
      </c>
      <c r="M337" s="5" t="n"/>
    </row>
    <row r="338">
      <c r="A338" t="inlineStr">
        <is>
          <t>YX-ATS-35</t>
        </is>
      </c>
      <c r="B338" t="inlineStr">
        <is>
          <t>M10</t>
        </is>
      </c>
      <c r="C338" t="inlineStr">
        <is>
          <t>YX-ATS</t>
        </is>
      </c>
      <c r="D338" t="inlineStr">
        <is>
          <t>6+</t>
        </is>
      </c>
      <c r="E338" s="5" t="inlineStr">
        <is>
          <t>R13 + R14 + R15. Before any automated screening, AI interview or AI scoring, the candidate sees a plain notice of what is automated and why, and gives consent (recorded with notice version and time). A candidate may ask for an alternative (human) process at no disadvantage; the request routes to the recruiter. A candidate may ask for deletion of the application data; it is completed within 30 days unless a legal hold applies (reason shown). Bias audit maths and export stay in T05 YX-EVAL-32.</t>
        </is>
      </c>
      <c r="F338" t="inlineStr">
        <is>
          <t>UI prototype only</t>
        </is>
      </c>
      <c r="H338">
        <f>IF(G338&lt;&gt;"",G338,F338)</f>
        <v/>
      </c>
      <c r="I338" t="n">
        <v>0</v>
      </c>
      <c r="J338" t="n">
        <v>0</v>
      </c>
      <c r="K338" t="n">
        <v>2</v>
      </c>
      <c r="L338" s="5" t="inlineStr"/>
      <c r="M338" s="5" t="n"/>
    </row>
    <row r="339">
      <c r="A339" t="inlineStr">
        <is>
          <t>YX-ATS-36</t>
        </is>
      </c>
      <c r="B339" t="inlineStr">
        <is>
          <t>M10</t>
        </is>
      </c>
      <c r="C339" t="inlineStr">
        <is>
          <t>YX-ATS</t>
        </is>
      </c>
      <c r="D339" t="inlineStr">
        <is>
          <t>6+</t>
        </is>
      </c>
      <c r="E339" s="5" t="inlineStr">
        <is>
          <t>T8. A candidate can apply and answer knockout / screening questions via WhatsApp or the careers-site chatbot. Channel consent is captured first and opt-out is instant; answers land on the same application as the web form (P01 person match, no duplicate candidate). A knockout outcome is a recommendation to the recruiter, never an automatic rejection without the R14 alternative-process option.</t>
        </is>
      </c>
      <c r="F339" t="inlineStr">
        <is>
          <t>UI prototype only</t>
        </is>
      </c>
      <c r="H339">
        <f>IF(G339&lt;&gt;"",G339,F339)</f>
        <v/>
      </c>
      <c r="I339" t="n">
        <v>0</v>
      </c>
      <c r="J339" t="n">
        <v>0</v>
      </c>
      <c r="K339" t="n">
        <v>2</v>
      </c>
      <c r="L339" s="5" t="inlineStr"/>
      <c r="M339" s="5" t="n"/>
    </row>
    <row r="340">
      <c r="A340" t="inlineStr">
        <is>
          <t>YX-ATS-37</t>
        </is>
      </c>
      <c r="B340" t="inlineStr">
        <is>
          <t>M10</t>
        </is>
      </c>
      <c r="C340" t="inlineStr">
        <is>
          <t>YX-ATS</t>
        </is>
      </c>
      <c r="D340" t="inlineStr">
        <is>
          <t>6+</t>
        </is>
      </c>
      <c r="E340" s="5" t="inlineStr">
        <is>
          <t>T9. The interview notetaker records and transcribes only after every participant has consented (consent recorded; no consent = no recording, the interview continues). AI drafts scorecard notes from the transcript; the draft is not submitted until the interviewer edits / confirms each rating. Recordings follow the retention policy.</t>
        </is>
      </c>
      <c r="F340" t="inlineStr">
        <is>
          <t>Not started</t>
        </is>
      </c>
      <c r="H340">
        <f>IF(G340&lt;&gt;"",G340,F340)</f>
        <v/>
      </c>
      <c r="I340" t="n">
        <v>0</v>
      </c>
      <c r="J340" t="n">
        <v>0</v>
      </c>
      <c r="K340" t="n">
        <v>0</v>
      </c>
      <c r="L340" s="5" t="inlineStr"/>
      <c r="M340" s="5" t="n"/>
    </row>
    <row r="341">
      <c r="A341" t="inlineStr">
        <is>
          <t>YX-ATS-38</t>
        </is>
      </c>
      <c r="B341" t="inlineStr">
        <is>
          <t>M10</t>
        </is>
      </c>
      <c r="C341" t="inlineStr">
        <is>
          <t>YX-ATS</t>
        </is>
      </c>
      <c r="D341" t="inlineStr">
        <is>
          <t>6+</t>
        </is>
      </c>
      <c r="E341" s="5" t="inlineStr">
        <is>
          <t>T11. The recruiter triggers reference requests after the candidate supplies referees and consents. Referees get a secure link to a structured questionnaire; responses are visible to the recruiter and hiring panel only; reminders and expiry follow a template. Fraud signals (referee email domain equals the candidate's, same device) are flagged for review, never auto-decided.</t>
        </is>
      </c>
      <c r="F341" t="inlineStr">
        <is>
          <t>UI prototype only</t>
        </is>
      </c>
      <c r="H341">
        <f>IF(G341&lt;&gt;"",G341,F341)</f>
        <v/>
      </c>
      <c r="I341" t="n">
        <v>0</v>
      </c>
      <c r="J341" t="n">
        <v>0</v>
      </c>
      <c r="K341" t="n">
        <v>2</v>
      </c>
      <c r="L341" s="5" t="inlineStr"/>
      <c r="M341" s="5" t="n"/>
    </row>
    <row r="342">
      <c r="A342" t="inlineStr">
        <is>
          <t>YX-ATS-39</t>
        </is>
      </c>
      <c r="B342" t="inlineStr">
        <is>
          <t>M10</t>
        </is>
      </c>
      <c r="C342" t="inlineStr">
        <is>
          <t>YX-ATS</t>
        </is>
      </c>
      <c r="D342" t="inlineStr">
        <is>
          <t>6+</t>
        </is>
      </c>
      <c r="E342" s="5" t="inlineStr">
        <is>
          <t>T12. When a requisition opens, the system suggests past candidates and talent-pool members (silver medallists, nurture-consented) matched on skills and location. Only candidates whose retention period and consent are still valid are shown; outreach follows the B8 nurture-consent rules.</t>
        </is>
      </c>
      <c r="F342" t="inlineStr">
        <is>
          <t>Not started</t>
        </is>
      </c>
      <c r="H342">
        <f>IF(G342&lt;&gt;"",G342,F342)</f>
        <v/>
      </c>
      <c r="I342" t="n">
        <v>0</v>
      </c>
      <c r="J342" t="n">
        <v>0</v>
      </c>
      <c r="K342" t="n">
        <v>0</v>
      </c>
      <c r="L342" s="5" t="inlineStr"/>
      <c r="M342" s="5" t="n"/>
    </row>
    <row r="343">
      <c r="A343" t="inlineStr">
        <is>
          <t>YX-ATS-40</t>
        </is>
      </c>
      <c r="B343" t="inlineStr">
        <is>
          <t>M10</t>
        </is>
      </c>
      <c r="C343" t="inlineStr">
        <is>
          <t>YX-ATS</t>
        </is>
      </c>
      <c r="D343" t="inlineStr">
        <is>
          <t>6+</t>
        </is>
      </c>
      <c r="E343" s="5" t="inlineStr">
        <is>
          <t>J9. A campus drive can schedule a bulk interview day (slots, panels, rooms, auto-assignment) and issue offers in bulk from one template with per-candidate fields; each offer still gets its own headcount-plan approval check and its own e-sign envelope (P05).</t>
        </is>
      </c>
      <c r="F343" t="inlineStr">
        <is>
          <t>Tested, code not linked</t>
        </is>
      </c>
      <c r="H343">
        <f>IF(G343&lt;&gt;"",G343,F343)</f>
        <v/>
      </c>
      <c r="I343" t="n">
        <v>0</v>
      </c>
      <c r="J343" t="n">
        <v>2</v>
      </c>
      <c r="K343" t="n">
        <v>2</v>
      </c>
      <c r="L343" s="5" t="inlineStr">
        <is>
          <t>exam-app-org:packages/yx-ui/src/screens/hiring/hiring.test.tsx
exam-app-ws:packages/yx-ui/src/screens/hiring/hiring.test.tsx</t>
        </is>
      </c>
      <c r="M343" s="5" t="n"/>
    </row>
    <row r="344">
      <c r="A344" t="inlineStr">
        <is>
          <t>YX-ATS-41</t>
        </is>
      </c>
      <c r="B344" t="inlineStr">
        <is>
          <t>M10</t>
        </is>
      </c>
      <c r="C344" t="inlineStr">
        <is>
          <t>YX-ATS</t>
        </is>
      </c>
      <c r="D344" t="inlineStr">
        <is>
          <t>6+</t>
        </is>
      </c>
      <c r="E344" s="5" t="inlineStr">
        <is>
          <t>J10. An offer can carry conditions (background check, documents, degree completion) with due dates. An unmet condition or unsigned offer auto-lapses at its deadline after a reminder; lapse or withdrawal unwinds pre-boarding (M01 tasks cancelled, accounts not created, headcount slot released) with an audit entry.</t>
        </is>
      </c>
      <c r="F344" t="inlineStr">
        <is>
          <t>Tested, code not linked</t>
        </is>
      </c>
      <c r="H344">
        <f>IF(G344&lt;&gt;"",G344,F344)</f>
        <v/>
      </c>
      <c r="I344" t="n">
        <v>0</v>
      </c>
      <c r="J344" t="n">
        <v>2</v>
      </c>
      <c r="K344" t="n">
        <v>2</v>
      </c>
      <c r="L344" s="5" t="inlineStr">
        <is>
          <t>exam-app-org:packages/yx-ui/src/screens/hiring/hiring.test.tsx
exam-app-ws:packages/yx-ui/src/screens/hiring/hiring.test.tsx</t>
        </is>
      </c>
      <c r="M344" s="5" t="n"/>
    </row>
    <row r="345">
      <c r="A345" t="inlineStr">
        <is>
          <t>YX-ATS-42</t>
        </is>
      </c>
      <c r="B345" t="inlineStr">
        <is>
          <t>M10</t>
        </is>
      </c>
      <c r="C345" t="inlineStr">
        <is>
          <t>YX-ATS</t>
        </is>
      </c>
      <c r="D345" t="inlineStr">
        <is>
          <t>6+</t>
        </is>
      </c>
      <c r="E345" s="5" t="inlineStr">
        <is>
          <t>J13. A test taken for an internal application is linked to that application; the result is visible to the new job's hiring manager and HR and hidden from the applicant's current manager (T03 YX-DLV-23).</t>
        </is>
      </c>
      <c r="F345" t="inlineStr">
        <is>
          <t>Not started</t>
        </is>
      </c>
      <c r="H345">
        <f>IF(G345&lt;&gt;"",G345,F345)</f>
        <v/>
      </c>
      <c r="I345" t="n">
        <v>0</v>
      </c>
      <c r="J345" t="n">
        <v>0</v>
      </c>
      <c r="K345" t="n">
        <v>0</v>
      </c>
      <c r="L345" s="5" t="inlineStr"/>
      <c r="M345" s="5" t="n"/>
    </row>
    <row r="346">
      <c r="A346" t="inlineStr">
        <is>
          <t>YX-ATS-43</t>
        </is>
      </c>
      <c r="B346" t="inlineStr">
        <is>
          <t>M10</t>
        </is>
      </c>
      <c r="C346" t="inlineStr">
        <is>
          <t>YX-ATS</t>
        </is>
      </c>
      <c r="D346" t="inlineStr">
        <is>
          <t>6+</t>
        </is>
      </c>
      <c r="E346" s="5" t="inlineStr">
        <is>
          <t>J18. The staffing desk supports permanent placement fees (fixed or % of CTC), contract-to-hire conversion fees (per contract, tapering by months served) and a replacement guarantee period: if the placed person leaves inside it, the client gets a free replacement or a pro-rated credit note, per contract.</t>
        </is>
      </c>
      <c r="F346" t="inlineStr">
        <is>
          <t>Tested, code not linked</t>
        </is>
      </c>
      <c r="H346">
        <f>IF(G346&lt;&gt;"",G346,F346)</f>
        <v/>
      </c>
      <c r="I346" t="n">
        <v>0</v>
      </c>
      <c r="J346" t="n">
        <v>2</v>
      </c>
      <c r="K346" t="n">
        <v>2</v>
      </c>
      <c r="L346" s="5" t="inlineStr">
        <is>
          <t>exam-app-org:packages/yx-ui/src/screens/hiring/hiring.test.tsx
exam-app-ws:packages/yx-ui/src/screens/hiring/hiring.test.tsx</t>
        </is>
      </c>
      <c r="M346" s="5" t="n"/>
    </row>
    <row r="347">
      <c r="A347" t="inlineStr">
        <is>
          <t>YX-ATS-44</t>
        </is>
      </c>
      <c r="B347" t="inlineStr">
        <is>
          <t>M10</t>
        </is>
      </c>
      <c r="C347" t="inlineStr">
        <is>
          <t>YX-ATS</t>
        </is>
      </c>
      <c r="D347" t="inlineStr">
        <is>
          <t>6+</t>
        </is>
      </c>
      <c r="E347" s="5" t="inlineStr">
        <is>
          <t>R20. For a legal entity at or above the e-invoice reporting threshold (AATO value held in P07 rules-as-data; verify the current threshold before go-live), a staffing invoice dated more than 30 days ago cannot be sent for IRN: warning from day 25, blocked after day 30 with the fix path shown.</t>
        </is>
      </c>
      <c r="F347" t="inlineStr">
        <is>
          <t>Tested, code not linked</t>
        </is>
      </c>
      <c r="H347">
        <f>IF(G347&lt;&gt;"",G347,F347)</f>
        <v/>
      </c>
      <c r="I347" t="n">
        <v>0</v>
      </c>
      <c r="J347" t="n">
        <v>2</v>
      </c>
      <c r="K347" t="n">
        <v>4</v>
      </c>
      <c r="L347" s="5" t="inlineStr">
        <is>
          <t>exam-app-org:packages/yx-ui/src/screens/hiring/hiring.test.tsx
exam-app-ws:packages/yx-ui/src/screens/hiring/hiring.test.tsx</t>
        </is>
      </c>
      <c r="M347" s="5" t="n"/>
    </row>
    <row r="348">
      <c r="A348" t="inlineStr">
        <is>
          <t>YX-ATS-45</t>
        </is>
      </c>
      <c r="B348" t="inlineStr">
        <is>
          <t>M10</t>
        </is>
      </c>
      <c r="C348" t="inlineStr">
        <is>
          <t>YX-ATS</t>
        </is>
      </c>
      <c r="D348" t="inlineStr">
        <is>
          <t>6+</t>
        </is>
      </c>
      <c r="E348" s="5" t="inlineStr">
        <is>
          <t>S9. Each public job page emits JobPosting structured data (title, description, location, employment type, date posted, valid through, salary range when shown) and is listed in the careers-site sitemap; closed jobs are removed or marked expired within one day.</t>
        </is>
      </c>
      <c r="F348" t="inlineStr">
        <is>
          <t>Not started</t>
        </is>
      </c>
      <c r="H348">
        <f>IF(G348&lt;&gt;"",G348,F348)</f>
        <v/>
      </c>
      <c r="I348" t="n">
        <v>0</v>
      </c>
      <c r="J348" t="n">
        <v>0</v>
      </c>
      <c r="K348" t="n">
        <v>0</v>
      </c>
      <c r="L348" s="5" t="inlineStr"/>
      <c r="M348" s="5" t="n"/>
    </row>
    <row r="349">
      <c r="A349" t="inlineStr">
        <is>
          <t>YX-BEN-01</t>
        </is>
      </c>
      <c r="B349" t="inlineStr">
        <is>
          <t>M11</t>
        </is>
      </c>
      <c r="C349" t="inlineStr">
        <is>
          <t>YX-BEN</t>
        </is>
      </c>
      <c r="D349" t="inlineStr">
        <is>
          <t>6+</t>
        </is>
      </c>
      <c r="E349" s="5" t="inlineStr">
        <is>
          <t>Eligibility, cost sharing, options, windows and FBP heads / limits are company policies (D17) with starter templates; legal caps from P07 can't be exceeded.</t>
        </is>
      </c>
      <c r="F349" t="inlineStr">
        <is>
          <t>Not started</t>
        </is>
      </c>
      <c r="H349">
        <f>IF(G349&lt;&gt;"",G349,F349)</f>
        <v/>
      </c>
      <c r="I349" t="n">
        <v>0</v>
      </c>
      <c r="J349" t="n">
        <v>0</v>
      </c>
      <c r="K349" t="n">
        <v>0</v>
      </c>
      <c r="L349" s="5" t="inlineStr"/>
      <c r="M349" s="5" t="n"/>
    </row>
    <row r="350">
      <c r="A350" t="inlineStr">
        <is>
          <t>YX-BEN-02</t>
        </is>
      </c>
      <c r="B350" t="inlineStr">
        <is>
          <t>M11</t>
        </is>
      </c>
      <c r="C350" t="inlineStr">
        <is>
          <t>YX-BEN</t>
        </is>
      </c>
      <c r="D350" t="inlineStr">
        <is>
          <t>6+</t>
        </is>
      </c>
      <c r="E350" s="5" t="inlineStr">
        <is>
          <t>Enrolment is only possible inside a window (open enrolment, joining, or a life event with its deadline). Outside a window, only HR can change it, with a reason.</t>
        </is>
      </c>
      <c r="F350" t="inlineStr">
        <is>
          <t>Not started</t>
        </is>
      </c>
      <c r="H350">
        <f>IF(G350&lt;&gt;"",G350,F350)</f>
        <v/>
      </c>
      <c r="I350" t="n">
        <v>0</v>
      </c>
      <c r="J350" t="n">
        <v>0</v>
      </c>
      <c r="K350" t="n">
        <v>0</v>
      </c>
      <c r="L350" s="5" t="inlineStr"/>
      <c r="M350" s="5" t="n"/>
    </row>
    <row r="351">
      <c r="A351" t="inlineStr">
        <is>
          <t>YX-BEN-03</t>
        </is>
      </c>
      <c r="B351" t="inlineStr">
        <is>
          <t>M11</t>
        </is>
      </c>
      <c r="C351" t="inlineStr">
        <is>
          <t>YX-BEN</t>
        </is>
      </c>
      <c r="D351" t="inlineStr">
        <is>
          <t>6+</t>
        </is>
      </c>
      <c r="E351" s="5" t="inlineStr">
        <is>
          <t>Joining and exit create endorsements automatically (add on joining / enrolment, delete at the last working day + plan grace). Life events create an endorsement when the employee submits the event with proof.</t>
        </is>
      </c>
      <c r="F351" t="inlineStr">
        <is>
          <t>Not started</t>
        </is>
      </c>
      <c r="H351">
        <f>IF(G351&lt;&gt;"",G351,F351)</f>
        <v/>
      </c>
      <c r="I351" t="n">
        <v>0</v>
      </c>
      <c r="J351" t="n">
        <v>0</v>
      </c>
      <c r="K351" t="n">
        <v>0</v>
      </c>
      <c r="L351" s="5" t="inlineStr"/>
      <c r="M351" s="5" t="n"/>
    </row>
    <row r="352">
      <c r="A352" t="inlineStr">
        <is>
          <t>YX-BEN-04</t>
        </is>
      </c>
      <c r="B352" t="inlineStr">
        <is>
          <t>M11</t>
        </is>
      </c>
      <c r="C352" t="inlineStr">
        <is>
          <t>YX-BEN</t>
        </is>
      </c>
      <c r="D352" t="inlineStr">
        <is>
          <t>6+</t>
        </is>
      </c>
      <c r="E352" s="5" t="inlineStr">
        <is>
          <t>The employee's premium share and top-ups become payroll deductions (M03). 80D-eligible amounts flow to the tax workspace automatically; employer-paid group premiums are not taxable to the employee.</t>
        </is>
      </c>
      <c r="F352" t="inlineStr">
        <is>
          <t>Not started</t>
        </is>
      </c>
      <c r="H352">
        <f>IF(G352&lt;&gt;"",G352,F352)</f>
        <v/>
      </c>
      <c r="I352" t="n">
        <v>0</v>
      </c>
      <c r="J352" t="n">
        <v>0</v>
      </c>
      <c r="K352" t="n">
        <v>0</v>
      </c>
      <c r="L352" s="5" t="inlineStr"/>
      <c r="M352" s="5" t="n"/>
    </row>
    <row r="353">
      <c r="A353" t="inlineStr">
        <is>
          <t>YX-BEN-05</t>
        </is>
      </c>
      <c r="B353" t="inlineStr">
        <is>
          <t>M11</t>
        </is>
      </c>
      <c r="C353" t="inlineStr">
        <is>
          <t>YX-BEN</t>
        </is>
      </c>
      <c r="D353" t="inlineStr">
        <is>
          <t>6+</t>
        </is>
      </c>
      <c r="E353" s="5" t="inlineStr">
        <is>
          <t>The FBP basket is funded from the compensation (M03 template). Allocations may be changed only in the company's allocation window. The sum of allocations never exceeds the basket (server-validated, fixes D-D6).</t>
        </is>
      </c>
      <c r="F353" t="inlineStr">
        <is>
          <t>Not started</t>
        </is>
      </c>
      <c r="H353">
        <f>IF(G353&lt;&gt;"",G353,F353)</f>
        <v/>
      </c>
      <c r="I353" t="n">
        <v>0</v>
      </c>
      <c r="J353" t="n">
        <v>0</v>
      </c>
      <c r="K353" t="n">
        <v>0</v>
      </c>
      <c r="L353" s="5" t="inlineStr"/>
      <c r="M353" s="5" t="n"/>
    </row>
    <row r="354">
      <c r="A354" t="inlineStr">
        <is>
          <t>YX-BEN-06</t>
        </is>
      </c>
      <c r="B354" t="inlineStr">
        <is>
          <t>M11</t>
        </is>
      </c>
      <c r="C354" t="inlineStr">
        <is>
          <t>YX-BEN</t>
        </is>
      </c>
      <c r="D354" t="inlineStr">
        <is>
          <t>6+</t>
        </is>
      </c>
      <c r="E354" s="5" t="inlineStr">
        <is>
          <t>FBP claims are verified against bills and head limits on the server. Accrual stops once the yearly head total is reached (fixes D-D7). Unclaimed or unproven amounts are paid as taxable salary in the year-end sweep or F&amp;F (M01).</t>
        </is>
      </c>
      <c r="F354" t="inlineStr">
        <is>
          <t>Not started</t>
        </is>
      </c>
      <c r="H354">
        <f>IF(G354&lt;&gt;"",G354,F354)</f>
        <v/>
      </c>
      <c r="I354" t="n">
        <v>0</v>
      </c>
      <c r="J354" t="n">
        <v>0</v>
      </c>
      <c r="K354" t="n">
        <v>0</v>
      </c>
      <c r="L354" s="5" t="inlineStr"/>
      <c r="M354" s="5" t="n"/>
    </row>
    <row r="355">
      <c r="A355" t="inlineStr">
        <is>
          <t>YX-BEN-07</t>
        </is>
      </c>
      <c r="B355" t="inlineStr">
        <is>
          <t>M11</t>
        </is>
      </c>
      <c r="C355" t="inlineStr">
        <is>
          <t>YX-BEN</t>
        </is>
      </c>
      <c r="D355" t="inlineStr">
        <is>
          <t>6+</t>
        </is>
      </c>
      <c r="E355" s="5" t="inlineStr">
        <is>
          <t>The tax treatment of each FBP head follows P07 per regime. The employee sees the tax effect under both regimes before allocating (Q2).</t>
        </is>
      </c>
      <c r="F355" t="inlineStr">
        <is>
          <t>Not started</t>
        </is>
      </c>
      <c r="H355">
        <f>IF(G355&lt;&gt;"",G355,F355)</f>
        <v/>
      </c>
      <c r="I355" t="n">
        <v>0</v>
      </c>
      <c r="J355" t="n">
        <v>0</v>
      </c>
      <c r="K355" t="n">
        <v>0</v>
      </c>
      <c r="L355" s="5" t="inlineStr"/>
      <c r="M355" s="5" t="n"/>
    </row>
    <row r="356">
      <c r="A356" t="inlineStr">
        <is>
          <t>YX-BEN-08</t>
        </is>
      </c>
      <c r="B356" t="inlineStr">
        <is>
          <t>M11</t>
        </is>
      </c>
      <c r="C356" t="inlineStr">
        <is>
          <t>YX-BEN</t>
        </is>
      </c>
      <c r="D356" t="inlineStr">
        <is>
          <t>6+</t>
        </is>
      </c>
      <c r="E356" s="5" t="inlineStr">
        <is>
          <t>Employer NPS contribution stays within the P07 80CCD(2) limit for the employee's regime; any excess is taxable. Contribution files / API calls reconcile to payroll every month.</t>
        </is>
      </c>
      <c r="F356" t="inlineStr">
        <is>
          <t>Not started</t>
        </is>
      </c>
      <c r="H356">
        <f>IF(G356&lt;&gt;"",G356,F356)</f>
        <v/>
      </c>
      <c r="I356" t="n">
        <v>0</v>
      </c>
      <c r="J356" t="n">
        <v>0</v>
      </c>
      <c r="K356" t="n">
        <v>0</v>
      </c>
      <c r="L356" s="5" t="inlineStr"/>
      <c r="M356" s="5" t="n"/>
    </row>
    <row r="357">
      <c r="A357" t="inlineStr">
        <is>
          <t>YX-BEN-09</t>
        </is>
      </c>
      <c r="B357" t="inlineStr">
        <is>
          <t>M11</t>
        </is>
      </c>
      <c r="C357" t="inlineStr">
        <is>
          <t>YX-BEN</t>
        </is>
      </c>
      <c r="D357" t="inlineStr">
        <is>
          <t>6+</t>
        </is>
      </c>
      <c r="E357" s="5" t="inlineStr">
        <is>
          <t>Health and dependant data are Special class: visible to the employee and benefits admins in scope only, never to managers; sent to providers only as needed for coverage (P10 / D18 connector).</t>
        </is>
      </c>
      <c r="F357" t="inlineStr">
        <is>
          <t>Not started</t>
        </is>
      </c>
      <c r="H357">
        <f>IF(G357&lt;&gt;"",G357,F357)</f>
        <v/>
      </c>
      <c r="I357" t="n">
        <v>0</v>
      </c>
      <c r="J357" t="n">
        <v>0</v>
      </c>
      <c r="K357" t="n">
        <v>0</v>
      </c>
      <c r="L357" s="5" t="inlineStr"/>
      <c r="M357" s="5" t="n"/>
    </row>
    <row r="358">
      <c r="A358" t="inlineStr">
        <is>
          <t>YX-BEN-10</t>
        </is>
      </c>
      <c r="B358" t="inlineStr">
        <is>
          <t>M11</t>
        </is>
      </c>
      <c r="C358" t="inlineStr">
        <is>
          <t>YX-BEN</t>
        </is>
      </c>
      <c r="D358" t="inlineStr">
        <is>
          <t>6+</t>
        </is>
      </c>
      <c r="E358" s="5" t="inlineStr">
        <is>
          <t>Provider integrations (insurer, broker, meal card, NPS POP) are third-party add-ons (D18). Without one, the same data is exported as the provider's file format for manual upload.</t>
        </is>
      </c>
      <c r="F358" t="inlineStr">
        <is>
          <t>Not started</t>
        </is>
      </c>
      <c r="H358">
        <f>IF(G358&lt;&gt;"",G358,F358)</f>
        <v/>
      </c>
      <c r="I358" t="n">
        <v>0</v>
      </c>
      <c r="J358" t="n">
        <v>0</v>
      </c>
      <c r="K358" t="n">
        <v>0</v>
      </c>
      <c r="L358" s="5" t="inlineStr"/>
      <c r="M358" s="5" t="n"/>
    </row>
    <row r="359">
      <c r="A359" t="inlineStr">
        <is>
          <t>YX-BEN-11</t>
        </is>
      </c>
      <c r="B359" t="inlineStr">
        <is>
          <t>M11</t>
        </is>
      </c>
      <c r="C359" t="inlineStr">
        <is>
          <t>YX-BEN</t>
        </is>
      </c>
      <c r="D359" t="inlineStr">
        <is>
          <t>6+</t>
        </is>
      </c>
      <c r="E359" s="5" t="inlineStr">
        <is>
          <t>Companies can create their own benefits in a generic benefit catalogue (type *other*), each with eligibility, cost sharing, payroll / claim / vendor-payment treatment and tax treatment chosen from P07 categories; custom benefits appear in enrolment, the benefit statement and cost reports like built-in ones.</t>
        </is>
      </c>
      <c r="F359" t="inlineStr">
        <is>
          <t>Not started</t>
        </is>
      </c>
      <c r="H359">
        <f>IF(G359&lt;&gt;"",G359,F359)</f>
        <v/>
      </c>
      <c r="I359" t="n">
        <v>0</v>
      </c>
      <c r="J359" t="n">
        <v>0</v>
      </c>
      <c r="K359" t="n">
        <v>0</v>
      </c>
      <c r="L359" s="5" t="inlineStr"/>
      <c r="M359" s="5" t="n"/>
    </row>
    <row r="360">
      <c r="A360" t="inlineStr">
        <is>
          <t>YX-PRJ-01</t>
        </is>
      </c>
      <c r="B360" t="inlineStr">
        <is>
          <t>M12</t>
        </is>
      </c>
      <c r="C360" t="inlineStr">
        <is>
          <t>YX-PRJ</t>
        </is>
      </c>
      <c r="D360" t="inlineStr">
        <is>
          <t>6+</t>
        </is>
      </c>
      <c r="E360" s="5" t="inlineStr">
        <is>
          <t>A project code is unique per legal entity; a project needs a PM, an entity and a cost centre; a billable project needs a client and a billing model; a closed project accepts no new time or costs (late entries go through YX-PRJ-05).</t>
        </is>
      </c>
      <c r="F360" t="inlineStr">
        <is>
          <t>UI prototype only</t>
        </is>
      </c>
      <c r="H360">
        <f>IF(G360&lt;&gt;"",G360,F360)</f>
        <v/>
      </c>
      <c r="I360" t="n">
        <v>0</v>
      </c>
      <c r="J360" t="n">
        <v>0</v>
      </c>
      <c r="K360" t="n">
        <v>2</v>
      </c>
      <c r="L360" s="5" t="inlineStr"/>
      <c r="M360" s="5" t="n"/>
    </row>
    <row r="361">
      <c r="A361" t="inlineStr">
        <is>
          <t>YX-PRJ-02</t>
        </is>
      </c>
      <c r="B361" t="inlineStr">
        <is>
          <t>M12</t>
        </is>
      </c>
      <c r="C361" t="inlineStr">
        <is>
          <t>YX-PRJ</t>
        </is>
      </c>
      <c r="D361" t="inlineStr">
        <is>
          <t>6+</t>
        </is>
      </c>
      <c r="E361" s="5" t="inlineStr">
        <is>
          <t>Time can be booked only to active projects and tasks, within the project dates, by people allocated on that date (company setting: block, or allow with PM approval; starter block); internal non-project codes (training, bench, admin) are always available per company list.</t>
        </is>
      </c>
      <c r="F361" t="inlineStr">
        <is>
          <t>UI prototype only</t>
        </is>
      </c>
      <c r="H361">
        <f>IF(G361&lt;&gt;"",G361,F361)</f>
        <v/>
      </c>
      <c r="I361" t="n">
        <v>0</v>
      </c>
      <c r="J361" t="n">
        <v>0</v>
      </c>
      <c r="K361" t="n">
        <v>2</v>
      </c>
      <c r="L361" s="5" t="inlineStr"/>
      <c r="M361" s="5" t="n"/>
    </row>
    <row r="362">
      <c r="A362" t="inlineStr">
        <is>
          <t>YX-PRJ-03</t>
        </is>
      </c>
      <c r="B362" t="inlineStr">
        <is>
          <t>M12</t>
        </is>
      </c>
      <c r="C362" t="inlineStr">
        <is>
          <t>YX-PRJ</t>
        </is>
      </c>
      <c r="D362" t="inlineStr">
        <is>
          <t>6+</t>
        </is>
      </c>
      <c r="E362" s="5" t="inlineStr">
        <is>
          <t>A timesheet is one week per employee; per-day hours above the company daily maximum (starter: warn above the shift's expected hours, block above 24) are refused; notes are required where the project or activity requires them; billable defaults from the task, then the project; a submitted week cannot be edited until it is sent back. Placement lines and project lines share the week and the M02 §B7 screens.</t>
        </is>
      </c>
      <c r="F362" t="inlineStr">
        <is>
          <t>UI prototype only</t>
        </is>
      </c>
      <c r="H362">
        <f>IF(G362&lt;&gt;"",G362,F362)</f>
        <v/>
      </c>
      <c r="I362" t="n">
        <v>0</v>
      </c>
      <c r="J362" t="n">
        <v>0</v>
      </c>
      <c r="K362" t="n">
        <v>2</v>
      </c>
      <c r="L362" s="5" t="inlineStr"/>
      <c r="M362" s="5" t="n"/>
    </row>
    <row r="363">
      <c r="A363" t="inlineStr">
        <is>
          <t>YX-PRJ-04</t>
        </is>
      </c>
      <c r="B363" t="inlineStr">
        <is>
          <t>M12</t>
        </is>
      </c>
      <c r="C363" t="inlineStr">
        <is>
          <t>YX-PRJ</t>
        </is>
      </c>
      <c r="D363" t="inlineStr">
        <is>
          <t>6+</t>
        </is>
      </c>
      <c r="E363" s="5" t="inlineStr">
        <is>
          <t>Each line is approved by the resolver of its project (starter: PM; the PM's manager when the PM is the submitter; the account manager when the PM is absent past the SLA) and, where the project has client approval, by the client contact in the portal after the PM; placement lines keep the M02 §B7 resolver. Approvers may approve, reject or reduce hours with a reason (shown to the employee); client contacts see only their client's projects and the lines billed to them.</t>
        </is>
      </c>
      <c r="F363" t="inlineStr">
        <is>
          <t>UI prototype only</t>
        </is>
      </c>
      <c r="H363">
        <f>IF(G363&lt;&gt;"",G363,F363)</f>
        <v/>
      </c>
      <c r="I363" t="n">
        <v>0</v>
      </c>
      <c r="J363" t="n">
        <v>0</v>
      </c>
      <c r="K363" t="n">
        <v>4</v>
      </c>
      <c r="L363" s="5" t="inlineStr"/>
      <c r="M363" s="5" t="n"/>
    </row>
    <row r="364">
      <c r="A364" t="inlineStr">
        <is>
          <t>YX-PRJ-05</t>
        </is>
      </c>
      <c r="B364" t="inlineStr">
        <is>
          <t>M12</t>
        </is>
      </c>
      <c r="C364" t="inlineStr">
        <is>
          <t>YX-PRJ</t>
        </is>
      </c>
      <c r="D364" t="inlineStr">
        <is>
          <t>6+</t>
        </is>
      </c>
      <c r="E364" s="5" t="inlineStr">
        <is>
          <t>Approved lines are immutable; a correction is an adjustment line in an open week that references the original, approved like any line. Timesheet periods freeze and lock with the P08 attendance / payroll lock; invoiced lines can be corrected only through a credit note (M10) plus an adjustment line.</t>
        </is>
      </c>
      <c r="F364" t="inlineStr">
        <is>
          <t>Not started</t>
        </is>
      </c>
      <c r="H364">
        <f>IF(G364&lt;&gt;"",G364,F364)</f>
        <v/>
      </c>
      <c r="I364" t="n">
        <v>0</v>
      </c>
      <c r="J364" t="n">
        <v>0</v>
      </c>
      <c r="K364" t="n">
        <v>0</v>
      </c>
      <c r="L364" s="5" t="inlineStr"/>
      <c r="M364" s="5" t="n"/>
    </row>
    <row r="365">
      <c r="A365" t="inlineStr">
        <is>
          <t>YX-PRJ-06</t>
        </is>
      </c>
      <c r="B365" t="inlineStr">
        <is>
          <t>M12</t>
        </is>
      </c>
      <c r="C365" t="inlineStr">
        <is>
          <t>YX-PRJ</t>
        </is>
      </c>
      <c r="D365" t="inlineStr">
        <is>
          <t>6+</t>
        </is>
      </c>
      <c r="E365" s="5" t="inlineStr">
        <is>
          <t>Utilisation = approved billable hours ÷ available hours (M02 expected hours minus leave and holidays); capacity = available − allocated hours; both are P09 metrics per person, team, project role and skill, with small-group suppression for non-HR viewers (P02). The utilisation target is a company setting per designation (starter 75 % for billable roles).</t>
        </is>
      </c>
      <c r="F365" t="inlineStr">
        <is>
          <t>Tested, code not linked</t>
        </is>
      </c>
      <c r="H365">
        <f>IF(G365&lt;&gt;"",G365,F365)</f>
        <v/>
      </c>
      <c r="I365" t="n">
        <v>0</v>
      </c>
      <c r="J365" t="n">
        <v>2</v>
      </c>
      <c r="K365" t="n">
        <v>4</v>
      </c>
      <c r="L365" s="5" t="inlineStr">
        <is>
          <t>exam-app-org:packages/yx-ui/src/screens/hiring/hiring.test.tsx
exam-app-ws:packages/yx-ui/src/screens/hiring/hiring.test.tsx</t>
        </is>
      </c>
      <c r="M365" s="5" t="n"/>
    </row>
    <row r="366">
      <c r="A366" t="inlineStr">
        <is>
          <t>YX-PRJ-07</t>
        </is>
      </c>
      <c r="B366" t="inlineStr">
        <is>
          <t>M12</t>
        </is>
      </c>
      <c r="C366" t="inlineStr">
        <is>
          <t>YX-PRJ</t>
        </is>
      </c>
      <c r="D366" t="inlineStr">
        <is>
          <t>6+</t>
        </is>
      </c>
      <c r="E366" s="5" t="inlineStr">
        <is>
          <t>Project cost = Σ approved hours × the employee's cost rate for that month (M03 YX-PAY-42; provisional until the month's payroll is paid, then final) + project-tagged approved expenses (M05) + other cost lines entered by finance; budget burn alerts fire at the project's thresholds (starter 80 % and 100 % of hours, cost and fee) to the PM and account manager.</t>
        </is>
      </c>
      <c r="F366" t="inlineStr">
        <is>
          <t>Tested, code not linked</t>
        </is>
      </c>
      <c r="H366">
        <f>IF(G366&lt;&gt;"",G366,F366)</f>
        <v/>
      </c>
      <c r="I366" t="n">
        <v>0</v>
      </c>
      <c r="J366" t="n">
        <v>2</v>
      </c>
      <c r="K366" t="n">
        <v>2</v>
      </c>
      <c r="L366" s="5" t="inlineStr">
        <is>
          <t>exam-app-org:packages/yx-ui/src/screens/hiring/hiring.test.tsx
exam-app-ws:packages/yx-ui/src/screens/hiring/hiring.test.tsx</t>
        </is>
      </c>
      <c r="M366" s="5" t="n"/>
    </row>
    <row r="367">
      <c r="A367" t="inlineStr">
        <is>
          <t>YX-PRJ-08</t>
        </is>
      </c>
      <c r="B367" t="inlineStr">
        <is>
          <t>M12</t>
        </is>
      </c>
      <c r="C367" t="inlineStr">
        <is>
          <t>YX-PRJ</t>
        </is>
      </c>
      <c r="D367" t="inlineStr">
        <is>
          <t>6+</t>
        </is>
      </c>
      <c r="E367" s="5" t="inlineStr">
        <is>
          <t>Individual cost rates are visible only to payroll / finance scope; PMs and account managers see project cost, margin and burn as totals, and a cost figure that would reveal one person's rate (one person on the project or task in that month) is suppressed for them.</t>
        </is>
      </c>
      <c r="F367" t="inlineStr">
        <is>
          <t>UI prototype only</t>
        </is>
      </c>
      <c r="H367">
        <f>IF(G367&lt;&gt;"",G367,F367)</f>
        <v/>
      </c>
      <c r="I367" t="n">
        <v>0</v>
      </c>
      <c r="J367" t="n">
        <v>0</v>
      </c>
      <c r="K367" t="n">
        <v>4</v>
      </c>
      <c r="L367" s="5" t="inlineStr"/>
      <c r="M367" s="5" t="n"/>
    </row>
    <row r="368">
      <c r="A368" t="inlineStr">
        <is>
          <t>YX-PRJ-09</t>
        </is>
      </c>
      <c r="B368" t="inlineStr">
        <is>
          <t>M12</t>
        </is>
      </c>
      <c r="C368" t="inlineStr">
        <is>
          <t>YX-PRJ</t>
        </is>
      </c>
      <c r="D368" t="inlineStr">
        <is>
          <t>6+</t>
        </is>
      </c>
      <c r="E368" s="5" t="inlineStr">
        <is>
          <t>Time &amp; material billing: an invoice line = approved (and, where required, client-approved) billable hours × the bill rate valid on the work date (person override &gt; project role &gt; project default), grouped as the project's invoice layout says (by person, role or task); unapproved, non-billable or already-invoiced hours are never billed; the WIP view lists everything billable not yet invoiced.</t>
        </is>
      </c>
      <c r="F368" t="inlineStr">
        <is>
          <t>Tested, code not linked</t>
        </is>
      </c>
      <c r="H368">
        <f>IF(G368&lt;&gt;"",G368,F368)</f>
        <v/>
      </c>
      <c r="I368" t="n">
        <v>0</v>
      </c>
      <c r="J368" t="n">
        <v>2</v>
      </c>
      <c r="K368" t="n">
        <v>4</v>
      </c>
      <c r="L368" s="5" t="inlineStr">
        <is>
          <t>exam-app-org:packages/yx-ui/src/screens/hiring/hiring.test.tsx
exam-app-ws:packages/yx-ui/src/screens/hiring/hiring.test.tsx</t>
        </is>
      </c>
      <c r="M368" s="5" t="n"/>
    </row>
    <row r="369">
      <c r="A369" t="inlineStr">
        <is>
          <t>YX-PRJ-10</t>
        </is>
      </c>
      <c r="B369" t="inlineStr">
        <is>
          <t>M12</t>
        </is>
      </c>
      <c r="C369" t="inlineStr">
        <is>
          <t>YX-PRJ</t>
        </is>
      </c>
      <c r="D369" t="inlineStr">
        <is>
          <t>6+</t>
        </is>
      </c>
      <c r="E369" s="5" t="inlineStr">
        <is>
          <t>Fixed-fee billing: milestone amounts must add up to the contract value (warning when not); a milestone becomes billable only when completed by the PM (and accepted by the client where the project needs it); a retainer bills its monthly amount on the company's billing day; effort on fixed-fee projects is costed (YX-PRJ-07) but never billed per hour.</t>
        </is>
      </c>
      <c r="F369" t="inlineStr">
        <is>
          <t>Tested, code not linked</t>
        </is>
      </c>
      <c r="H369">
        <f>IF(G369&lt;&gt;"",G369,F369)</f>
        <v/>
      </c>
      <c r="I369" t="n">
        <v>0</v>
      </c>
      <c r="J369" t="n">
        <v>2</v>
      </c>
      <c r="K369" t="n">
        <v>2</v>
      </c>
      <c r="L369" s="5" t="inlineStr">
        <is>
          <t>exam-app-org:packages/yx-ui/src/screens/hiring/hiring.test.tsx
exam-app-ws:packages/yx-ui/src/screens/hiring/hiring.test.tsx</t>
        </is>
      </c>
      <c r="M369" s="5" t="n"/>
    </row>
    <row r="370">
      <c r="A370" t="inlineStr">
        <is>
          <t>YX-PRJ-11</t>
        </is>
      </c>
      <c r="B370" t="inlineStr">
        <is>
          <t>M12</t>
        </is>
      </c>
      <c r="C370" t="inlineStr">
        <is>
          <t>YX-PRJ</t>
        </is>
      </c>
      <c r="D370" t="inlineStr">
        <is>
          <t>6+</t>
        </is>
      </c>
      <c r="E370" s="5" t="inlineStr">
        <is>
          <t>Invoices for services projects are produced by the shared M10 invoice engine: same numbering per entity / GSTIN, GST (place of supply from client GSTIN), credit notes, PO number, e-invoicing via the GSP add-on, receivables and collections (YX-ATS-16); an invoice is created as a draft from WIP, approved (P03, starter: account manager → finance) and then issued; issued invoices are never edited.</t>
        </is>
      </c>
      <c r="F370" t="inlineStr">
        <is>
          <t>Not started</t>
        </is>
      </c>
      <c r="H370">
        <f>IF(G370&lt;&gt;"",G370,F370)</f>
        <v/>
      </c>
      <c r="I370" t="n">
        <v>0</v>
      </c>
      <c r="J370" t="n">
        <v>0</v>
      </c>
      <c r="K370" t="n">
        <v>0</v>
      </c>
      <c r="L370" s="5" t="inlineStr"/>
      <c r="M370" s="5" t="n"/>
    </row>
    <row r="371">
      <c r="A371" t="inlineStr">
        <is>
          <t>YX-PRJ-12</t>
        </is>
      </c>
      <c r="B371" t="inlineStr">
        <is>
          <t>M12</t>
        </is>
      </c>
      <c r="C371" t="inlineStr">
        <is>
          <t>YX-PRJ</t>
        </is>
      </c>
      <c r="D371" t="inlineStr">
        <is>
          <t>6+</t>
        </is>
      </c>
      <c r="E371" s="5" t="inlineStr">
        <is>
          <t>Accounting export (P10 Q7): issued invoices, receipts and credit notes with the project dimension; a monthly project cost journal (reclassifying payroll cost from cost centre to project, from project_cost_postings); WIP and fixed-fee progress as a report for finance's revenue recognition. Exports are idempotent per period and version.</t>
        </is>
      </c>
      <c r="F371" t="inlineStr">
        <is>
          <t>Not started</t>
        </is>
      </c>
      <c r="H371">
        <f>IF(G371&lt;&gt;"",G371,F371)</f>
        <v/>
      </c>
      <c r="I371" t="n">
        <v>0</v>
      </c>
      <c r="J371" t="n">
        <v>0</v>
      </c>
      <c r="K371" t="n">
        <v>0</v>
      </c>
      <c r="L371" s="5" t="inlineStr"/>
      <c r="M371" s="5" t="n"/>
    </row>
    <row r="372">
      <c r="A372" t="inlineStr">
        <is>
          <t>YX-PRJ-13</t>
        </is>
      </c>
      <c r="B372" t="inlineStr">
        <is>
          <t>M12</t>
        </is>
      </c>
      <c r="C372" t="inlineStr">
        <is>
          <t>YX-PRJ</t>
        </is>
      </c>
      <c r="D372" t="inlineStr">
        <is>
          <t>6+</t>
        </is>
      </c>
      <c r="E372" s="5" t="inlineStr">
        <is>
          <t>Payroll reads project hours only for employees whose attendance mode is Timesheet (M02 D1) or whose pay basis is rate-based (M03 YX-PAY-24), through the unchanged M02 §B6 feed; for Punch and Assumed-present employees project hours drive costing and billing only, and a difference between timesheet hours and attendance worked hours is flagged to the PM, never auto-corrected.</t>
        </is>
      </c>
      <c r="F372" t="inlineStr">
        <is>
          <t>Not started</t>
        </is>
      </c>
      <c r="H372">
        <f>IF(G372&lt;&gt;"",G372,F372)</f>
        <v/>
      </c>
      <c r="I372" t="n">
        <v>0</v>
      </c>
      <c r="J372" t="n">
        <v>0</v>
      </c>
      <c r="K372" t="n">
        <v>0</v>
      </c>
      <c r="L372" s="5" t="inlineStr"/>
      <c r="M372" s="5" t="n"/>
    </row>
    <row r="373">
      <c r="A373" t="inlineStr">
        <is>
          <t>YX-PRJ-14</t>
        </is>
      </c>
      <c r="B373" t="inlineStr">
        <is>
          <t>M12</t>
        </is>
      </c>
      <c r="C373" t="inlineStr">
        <is>
          <t>YX-PRJ</t>
        </is>
      </c>
      <c r="D373" t="inlineStr">
        <is>
          <t>6+</t>
        </is>
      </c>
      <c r="E373" s="5" t="inlineStr">
        <is>
          <t>Every project, timesheet and billing policy (allocation rule, daily maximum, notes, approval chain, client approval, utilisation targets, alert thresholds, invoice grouping, billing day) is a company setting from a labelled starter template (D17); the company can override per project where the setting allows.</t>
        </is>
      </c>
      <c r="F373" t="inlineStr">
        <is>
          <t>Not started</t>
        </is>
      </c>
      <c r="H373">
        <f>IF(G373&lt;&gt;"",G373,F373)</f>
        <v/>
      </c>
      <c r="I373" t="n">
        <v>0</v>
      </c>
      <c r="J373" t="n">
        <v>0</v>
      </c>
      <c r="K373" t="n">
        <v>0</v>
      </c>
      <c r="L373" s="5" t="inlineStr"/>
      <c r="M373" s="5" t="n"/>
    </row>
    <row r="374">
      <c r="A374" t="inlineStr">
        <is>
          <t>YX-PRJ-15</t>
        </is>
      </c>
      <c r="B374" t="inlineStr">
        <is>
          <t>M12</t>
        </is>
      </c>
      <c r="C374" t="inlineStr">
        <is>
          <t>YX-PRJ</t>
        </is>
      </c>
      <c r="D374" t="inlineStr">
        <is>
          <t>6+</t>
        </is>
      </c>
      <c r="E374" s="5" t="inlineStr">
        <is>
          <t>J19. A correction to approved time that is already invoiced creates a credit note (or supplementary invoice) linked to the original invoice. By company policy it is linked to a pay recovery in M03 or to none; project margin is restated for the affected period and the change is audited (P08 period locks respected).</t>
        </is>
      </c>
      <c r="F374" t="inlineStr">
        <is>
          <t>Tested, code not linked</t>
        </is>
      </c>
      <c r="H374">
        <f>IF(G374&lt;&gt;"",G374,F374)</f>
        <v/>
      </c>
      <c r="I374" t="n">
        <v>0</v>
      </c>
      <c r="J374" t="n">
        <v>2</v>
      </c>
      <c r="K374" t="n">
        <v>2</v>
      </c>
      <c r="L374" s="5" t="inlineStr">
        <is>
          <t>exam-app-org:packages/yx-ui/src/screens/hiring/hiring.test.tsx
exam-app-ws:packages/yx-ui/src/screens/hiring/hiring.test.tsx</t>
        </is>
      </c>
      <c r="M374" s="5" t="n"/>
    </row>
    <row r="375">
      <c r="A375" t="inlineStr">
        <is>
          <t>YX-PRJ-16</t>
        </is>
      </c>
      <c r="B375" t="inlineStr">
        <is>
          <t>M12</t>
        </is>
      </c>
      <c r="C375" t="inlineStr">
        <is>
          <t>YX-PRJ</t>
        </is>
      </c>
      <c r="D375" t="inlineStr">
        <is>
          <t>6+</t>
        </is>
      </c>
      <c r="E375" s="5" t="inlineStr">
        <is>
          <t>R20. Same guard as M10: for an entity at or above the e-invoice threshold (AATO in P07; verify the current threshold), a project invoice dated more than 30 days ago cannot be sent for IRN: warning from day 25, blocked after day 30.</t>
        </is>
      </c>
      <c r="F375" t="inlineStr">
        <is>
          <t>Tested, code not linked</t>
        </is>
      </c>
      <c r="H375">
        <f>IF(G375&lt;&gt;"",G375,F375)</f>
        <v/>
      </c>
      <c r="I375" t="n">
        <v>0</v>
      </c>
      <c r="J375" t="n">
        <v>2</v>
      </c>
      <c r="K375" t="n">
        <v>4</v>
      </c>
      <c r="L375" s="5" t="inlineStr">
        <is>
          <t>exam-app-org:packages/yx-ui/src/screens/hiring/hiring.test.tsx
exam-app-ws:packages/yx-ui/src/screens/hiring/hiring.test.tsx</t>
        </is>
      </c>
      <c r="M375" s="5" t="n"/>
    </row>
    <row r="376">
      <c r="A376" t="inlineStr">
        <is>
          <t>YX-PRJ-17</t>
        </is>
      </c>
      <c r="B376" t="inlineStr">
        <is>
          <t>M12</t>
        </is>
      </c>
      <c r="C376" t="inlineStr">
        <is>
          <t>YX-PRJ</t>
        </is>
      </c>
      <c r="D376" t="inlineStr">
        <is>
          <t>6+</t>
        </is>
      </c>
      <c r="E376" s="5" t="inlineStr">
        <is>
          <t>V18. Each employee has a bench status (allocated / partly allocated / bench) derived from allocations, with bench ageing in days. A PM raises a resource request (skills, level, dates, % allocation); the system matches on skills from the M06 skills library (YX-PERF-20) and availability, ranks bench people first, and the resource manager confirms the allocation.</t>
        </is>
      </c>
      <c r="F376" t="inlineStr">
        <is>
          <t>Tested, code not linked</t>
        </is>
      </c>
      <c r="H376">
        <f>IF(G376&lt;&gt;"",G376,F376)</f>
        <v/>
      </c>
      <c r="I376" t="n">
        <v>0</v>
      </c>
      <c r="J376" t="n">
        <v>2</v>
      </c>
      <c r="K376" t="n">
        <v>2</v>
      </c>
      <c r="L376" s="5" t="inlineStr">
        <is>
          <t>exam-app-org:packages/yx-ui/src/screens/hiring/hiring.test.tsx
exam-app-ws:packages/yx-ui/src/screens/hiring/hiring.test.tsx</t>
        </is>
      </c>
      <c r="M376" s="5" t="n"/>
    </row>
    <row r="377">
      <c r="A377" t="inlineStr">
        <is>
          <t>YX-CLRA-01</t>
        </is>
      </c>
      <c r="B377" t="inlineStr">
        <is>
          <t>M13</t>
        </is>
      </c>
      <c r="C377" t="inlineStr">
        <is>
          <t>YX-CLRA</t>
        </is>
      </c>
      <c r="D377" t="inlineStr">
        <is>
          <t>6+</t>
        </is>
      </c>
      <c r="E377" s="5" t="inlineStr">
        <is>
          <t>Applicability: an establishment's contract-worker count (active deployments) is compared with the dated IN.CLRA thresholds for its state; crossing a threshold without a valid registration certificate raises a liability alert to the compliance owner.</t>
        </is>
      </c>
      <c r="F377" t="inlineStr">
        <is>
          <t>Not started</t>
        </is>
      </c>
      <c r="H377">
        <f>IF(G377&lt;&gt;"",G377,F377)</f>
        <v/>
      </c>
      <c r="I377" t="n">
        <v>0</v>
      </c>
      <c r="J377" t="n">
        <v>0</v>
      </c>
      <c r="K377" t="n">
        <v>0</v>
      </c>
      <c r="L377" s="5" t="inlineStr"/>
      <c r="M377" s="5" t="n"/>
    </row>
    <row r="378">
      <c r="A378" t="inlineStr">
        <is>
          <t>YX-CLRA-02</t>
        </is>
      </c>
      <c r="B378" t="inlineStr">
        <is>
          <t>M13</t>
        </is>
      </c>
      <c r="C378" t="inlineStr">
        <is>
          <t>YX-CLRA</t>
        </is>
      </c>
      <c r="D378" t="inlineStr">
        <is>
          <t>6+</t>
        </is>
      </c>
      <c r="E378" s="5" t="inlineStr">
        <is>
          <t>Licence and RC limits: a worker can be deployed only through a contractor with a licence valid for that establishment on the deployment date, and only while the contractor's active deployments stay within the licence and RC maximums; the check runs at deployment and daily. Licence and RC expiry alerts fire at the company's lead times (starter: 60 / 30 / 7 days).</t>
        </is>
      </c>
      <c r="F378" t="inlineStr">
        <is>
          <t>UI prototype only</t>
        </is>
      </c>
      <c r="H378">
        <f>IF(G378&lt;&gt;"",G378,F378)</f>
        <v/>
      </c>
      <c r="I378" t="n">
        <v>0</v>
      </c>
      <c r="J378" t="n">
        <v>0</v>
      </c>
      <c r="K378" t="n">
        <v>4</v>
      </c>
      <c r="L378" s="5" t="inlineStr"/>
      <c r="M378" s="5" t="n"/>
    </row>
    <row r="379">
      <c r="A379" t="inlineStr">
        <is>
          <t>YX-CLRA-03</t>
        </is>
      </c>
      <c r="B379" t="inlineStr">
        <is>
          <t>M13</t>
        </is>
      </c>
      <c r="C379" t="inlineStr">
        <is>
          <t>YX-CLRA</t>
        </is>
      </c>
      <c r="D379" t="inlineStr">
        <is>
          <t>6+</t>
        </is>
      </c>
      <c r="E379" s="5" t="inlineStr">
        <is>
          <t>Worker register: every deployed worker has name, photo, masked ID, DOB (deployment blocked under 18), gender, skill category, wage rate and deployment dates; the contract-worker register for the establishment is generated from these records in the IN.REGISTERS format valid on the period date.</t>
        </is>
      </c>
      <c r="F379" t="inlineStr">
        <is>
          <t>Not started</t>
        </is>
      </c>
      <c r="H379">
        <f>IF(G379&lt;&gt;"",G379,F379)</f>
        <v/>
      </c>
      <c r="I379" t="n">
        <v>0</v>
      </c>
      <c r="J379" t="n">
        <v>0</v>
      </c>
      <c r="K379" t="n">
        <v>0</v>
      </c>
      <c r="L379" s="5" t="inlineStr"/>
      <c r="M379" s="5" t="n"/>
    </row>
    <row r="380">
      <c r="A380" t="inlineStr">
        <is>
          <t>YX-CLRA-04</t>
        </is>
      </c>
      <c r="B380" t="inlineStr">
        <is>
          <t>M13</t>
        </is>
      </c>
      <c r="C380" t="inlineStr">
        <is>
          <t>YX-CLRA</t>
        </is>
      </c>
      <c r="D380" t="inlineStr">
        <is>
          <t>6+</t>
        </is>
      </c>
      <c r="E380" s="5" t="inlineStr">
        <is>
          <t>Site attendance: contract workers check in only with a valid gate pass, through the M02 kiosk or a mapped biometric device; their punches carry person_type = contract_worker, never create employee exceptions or payroll inputs, and give the days on site used to check the contractor's wage register.</t>
        </is>
      </c>
      <c r="F380" t="inlineStr">
        <is>
          <t>Not started</t>
        </is>
      </c>
      <c r="H380">
        <f>IF(G380&lt;&gt;"",G380,F380)</f>
        <v/>
      </c>
      <c r="I380" t="n">
        <v>0</v>
      </c>
      <c r="J380" t="n">
        <v>0</v>
      </c>
      <c r="K380" t="n">
        <v>0</v>
      </c>
      <c r="L380" s="5" t="inlineStr"/>
      <c r="M380" s="5" t="n"/>
    </row>
    <row r="381">
      <c r="A381" t="inlineStr">
        <is>
          <t>YX-CLRA-05</t>
        </is>
      </c>
      <c r="B381" t="inlineStr">
        <is>
          <t>M13</t>
        </is>
      </c>
      <c r="C381" t="inlineStr">
        <is>
          <t>YX-CLRA</t>
        </is>
      </c>
      <c r="D381" t="inlineStr">
        <is>
          <t>6+</t>
        </is>
      </c>
      <c r="E381" s="5" t="inlineStr">
        <is>
          <t>Monthly compliance pack: for each contractor × establishment × wage month, the proofs required by company policy (starter: PF ECR + challan, ESI challan, wage register, wage-payment proof) are due by the policy date (starter: 15th of the following month, never later than the statutory dates in IN.CLRA / IN.CAL); missing proofs after the due date raise an overdue alert.</t>
        </is>
      </c>
      <c r="F381" t="inlineStr">
        <is>
          <t>Not started</t>
        </is>
      </c>
      <c r="H381">
        <f>IF(G381&lt;&gt;"",G381,F381)</f>
        <v/>
      </c>
      <c r="I381" t="n">
        <v>0</v>
      </c>
      <c r="J381" t="n">
        <v>0</v>
      </c>
      <c r="K381" t="n">
        <v>0</v>
      </c>
      <c r="L381" s="5" t="inlineStr"/>
      <c r="M381" s="5" t="n"/>
    </row>
    <row r="382">
      <c r="A382" t="inlineStr">
        <is>
          <t>YX-CLRA-06</t>
        </is>
      </c>
      <c r="B382" t="inlineStr">
        <is>
          <t>M13</t>
        </is>
      </c>
      <c r="C382" t="inlineStr">
        <is>
          <t>YX-CLRA</t>
        </is>
      </c>
      <c r="D382" t="inlineStr">
        <is>
          <t>6+</t>
        </is>
      </c>
      <c r="E382" s="5" t="inlineStr">
        <is>
          <t>Verification: each proof is verified by a holder of clra.proof.verify (never the person who uploaded it) with automatic checks: challan period and establishment code match the contractor, workers covered ≥ workers with site attendance, amounts consistent with declared wages, wages per worker ≥ the P07 minimum wage for the state, zone and skill category, days paid ≥ days on site. Each failed check is a discrepancy the contractor must answer.</t>
        </is>
      </c>
      <c r="F382" t="inlineStr">
        <is>
          <t>UI prototype only</t>
        </is>
      </c>
      <c r="H382">
        <f>IF(G382&lt;&gt;"",G382,F382)</f>
        <v/>
      </c>
      <c r="I382" t="n">
        <v>0</v>
      </c>
      <c r="J382" t="n">
        <v>0</v>
      </c>
      <c r="K382" t="n">
        <v>2</v>
      </c>
      <c r="L382" s="5" t="inlineStr"/>
      <c r="M382" s="5" t="n"/>
    </row>
    <row r="383">
      <c r="A383" t="inlineStr">
        <is>
          <t>YX-CLRA-07</t>
        </is>
      </c>
      <c r="B383" t="inlineStr">
        <is>
          <t>M13</t>
        </is>
      </c>
      <c r="C383" t="inlineStr">
        <is>
          <t>YX-CLRA</t>
        </is>
      </c>
      <c r="D383" t="inlineStr">
        <is>
          <t>6+</t>
        </is>
      </c>
      <c r="E383" s="5" t="inlineStr">
        <is>
          <t>Liability alerts: unpaid wages (no payment proof by the statutory wage date), wages below minimum, missing or short PF / ESI challans, expired licence / RC, over-limit deployment or an underage worker each raise an alert to the compliance owner and site HR with the principal employer's potential liability estimated; alerts stay open until resolved with a note (audited).</t>
        </is>
      </c>
      <c r="F383" t="inlineStr">
        <is>
          <t>Not started</t>
        </is>
      </c>
      <c r="H383">
        <f>IF(G383&lt;&gt;"",G383,F383)</f>
        <v/>
      </c>
      <c r="I383" t="n">
        <v>0</v>
      </c>
      <c r="J383" t="n">
        <v>0</v>
      </c>
      <c r="K383" t="n">
        <v>0</v>
      </c>
      <c r="L383" s="5" t="inlineStr"/>
      <c r="M383" s="5" t="n"/>
    </row>
    <row r="384">
      <c r="A384" t="inlineStr">
        <is>
          <t>YX-CLRA-08</t>
        </is>
      </c>
      <c r="B384" t="inlineStr">
        <is>
          <t>M13</t>
        </is>
      </c>
      <c r="C384" t="inlineStr">
        <is>
          <t>YX-CLRA</t>
        </is>
      </c>
      <c r="D384" t="inlineStr">
        <is>
          <t>6+</t>
        </is>
      </c>
      <c r="E384" s="5" t="inlineStr">
        <is>
          <t>Payment hold: under the company's policy (starter: hold the contractor's bill payment while the month's pack has unresolved overdue or discrepancy items, with override by the compliance owner giving a reason), M03 marks the invoice held; payment of wages directly by the principal employer, when needed, is recorded and recovered from the contractor's next bills.</t>
        </is>
      </c>
      <c r="F384" t="inlineStr">
        <is>
          <t>Not started</t>
        </is>
      </c>
      <c r="H384">
        <f>IF(G384&lt;&gt;"",G384,F384)</f>
        <v/>
      </c>
      <c r="I384" t="n">
        <v>0</v>
      </c>
      <c r="J384" t="n">
        <v>0</v>
      </c>
      <c r="K384" t="n">
        <v>0</v>
      </c>
      <c r="L384" s="5" t="inlineStr"/>
      <c r="M384" s="5" t="n"/>
    </row>
    <row r="385">
      <c r="A385" t="inlineStr">
        <is>
          <t>YX-CLRA-09</t>
        </is>
      </c>
      <c r="B385" t="inlineStr">
        <is>
          <t>M13</t>
        </is>
      </c>
      <c r="C385" t="inlineStr">
        <is>
          <t>YX-CLRA</t>
        </is>
      </c>
      <c r="D385" t="inlineStr">
        <is>
          <t>6+</t>
        </is>
      </c>
      <c r="E385" s="5" t="inlineStr">
        <is>
          <t>Contractor payments: contractor bills are consultant / vendor invoices in M03 (YX-PAY-38) with TDS s.194C (YX-TAX-16) and GST captured; the invoice links to its work order and month's pack.</t>
        </is>
      </c>
      <c r="F385" t="inlineStr">
        <is>
          <t>Not started</t>
        </is>
      </c>
      <c r="H385">
        <f>IF(G385&lt;&gt;"",G385,F385)</f>
        <v/>
      </c>
      <c r="I385" t="n">
        <v>0</v>
      </c>
      <c r="J385" t="n">
        <v>0</v>
      </c>
      <c r="K385" t="n">
        <v>0</v>
      </c>
      <c r="L385" s="5" t="inlineStr"/>
      <c r="M385" s="5" t="n"/>
    </row>
    <row r="386">
      <c r="A386" t="inlineStr">
        <is>
          <t>YX-CLRA-10</t>
        </is>
      </c>
      <c r="B386" t="inlineStr">
        <is>
          <t>M13</t>
        </is>
      </c>
      <c r="C386" t="inlineStr">
        <is>
          <t>YX-CLRA</t>
        </is>
      </c>
      <c r="D386" t="inlineStr">
        <is>
          <t>6+</t>
        </is>
      </c>
      <c r="E386" s="5" t="inlineStr">
        <is>
          <t>Registers &amp; returns: principal-employer registers (e.g. register of contractors) and returns (e.g. annual return) are generated in the dated IN.REGISTERS / IN.CLRA formats, frozen on the period lock, DSC-signed (as M03 YX-PAY-39) and tracked in the compliance calendar.</t>
        </is>
      </c>
      <c r="F386" t="inlineStr">
        <is>
          <t>Not started</t>
        </is>
      </c>
      <c r="H386">
        <f>IF(G386&lt;&gt;"",G386,F386)</f>
        <v/>
      </c>
      <c r="I386" t="n">
        <v>0</v>
      </c>
      <c r="J386" t="n">
        <v>0</v>
      </c>
      <c r="K386" t="n">
        <v>0</v>
      </c>
      <c r="L386" s="5" t="inlineStr"/>
      <c r="M386" s="5" t="n"/>
    </row>
    <row r="387">
      <c r="A387" t="inlineStr">
        <is>
          <t>YX-CLRA-11</t>
        </is>
      </c>
      <c r="B387" t="inlineStr">
        <is>
          <t>M13</t>
        </is>
      </c>
      <c r="C387" t="inlineStr">
        <is>
          <t>YX-CLRA</t>
        </is>
      </c>
      <c r="D387" t="inlineStr">
        <is>
          <t>6+</t>
        </is>
      </c>
      <c r="E387" s="5" t="inlineStr">
        <is>
          <t>Contractor login: a contractor's representative uses the Contractor (vendor) external login (P02 §4.7: OTP, own records only, not a billed seat, expires when the contractor is deactivated) to maintain worker lists, upload proofs and bills, and answer discrepancies.</t>
        </is>
      </c>
      <c r="F387" t="inlineStr">
        <is>
          <t>Not started</t>
        </is>
      </c>
      <c r="H387">
        <f>IF(G387&lt;&gt;"",G387,F387)</f>
        <v/>
      </c>
      <c r="I387" t="n">
        <v>0</v>
      </c>
      <c r="J387" t="n">
        <v>0</v>
      </c>
      <c r="K387" t="n">
        <v>0</v>
      </c>
      <c r="L387" s="5" t="inlineStr"/>
      <c r="M387" s="5" t="n"/>
    </row>
    <row r="388">
      <c r="A388" t="inlineStr">
        <is>
          <t>YX-CLRA-12</t>
        </is>
      </c>
      <c r="B388" t="inlineStr">
        <is>
          <t>M13</t>
        </is>
      </c>
      <c r="C388" t="inlineStr">
        <is>
          <t>YX-CLRA</t>
        </is>
      </c>
      <c r="D388" t="inlineStr">
        <is>
          <t>6+</t>
        </is>
      </c>
      <c r="E388" s="5" t="inlineStr">
        <is>
          <t>Billing: each contract worker with site attendance in the month counts as one HRMS billable unit for that legal entity (amended 28 Sep 2026, J15: once per person, and not again if the same person is also a billable employee or consultant that month, P14 YX-BILL-02) (as consultants, P14 YX-BILL-10); a registered worker with no attendance that month is not counted; the Contractor login is never billed.</t>
        </is>
      </c>
      <c r="F388" t="inlineStr">
        <is>
          <t>Not started</t>
        </is>
      </c>
      <c r="H388">
        <f>IF(G388&lt;&gt;"",G388,F388)</f>
        <v/>
      </c>
      <c r="I388" t="n">
        <v>0</v>
      </c>
      <c r="J388" t="n">
        <v>0</v>
      </c>
      <c r="K388" t="n">
        <v>0</v>
      </c>
      <c r="L388" s="5" t="inlineStr"/>
      <c r="M388" s="5" t="n"/>
    </row>
    <row r="389">
      <c r="A389" t="inlineStr">
        <is>
          <t>YX-CLRA-13</t>
        </is>
      </c>
      <c r="B389" t="inlineStr">
        <is>
          <t>M13</t>
        </is>
      </c>
      <c r="C389" t="inlineStr">
        <is>
          <t>YX-CLRA</t>
        </is>
      </c>
      <c r="D389" t="inlineStr">
        <is>
          <t>6+</t>
        </is>
      </c>
      <c r="E389" s="5" t="inlineStr">
        <is>
          <t>OSH Code mapping (C1): for dates from 21 Nov 2025, IN.CLRA parameters (thresholds, registration, licence scope and validity, registers, returns) come from the OSH Code contract-labour chapter in P07 IN.OSH; CLRA 1970 values apply before that date and, after it, only as transitional values for a state whose OSH rules are not notified (P07 flag per state). A registration row is the establishment's single OSH Code registration (family = OSH Code); a contractor licence may cover several establishments or states (scope), and YX-CLRA-02 checks the deployment's establishment against it. Threshold num</t>
        </is>
      </c>
      <c r="F389" t="inlineStr">
        <is>
          <t>Not started</t>
        </is>
      </c>
      <c r="H389">
        <f>IF(G389&lt;&gt;"",G389,F389)</f>
        <v/>
      </c>
      <c r="I389" t="n">
        <v>0</v>
      </c>
      <c r="J389" t="n">
        <v>0</v>
      </c>
      <c r="K389" t="n">
        <v>0</v>
      </c>
      <c r="L389" s="5" t="inlineStr"/>
      <c r="M389" s="5" t="n"/>
    </row>
    <row r="390">
      <c r="A390" t="inlineStr">
        <is>
          <t>YX-CLRA-14</t>
        </is>
      </c>
      <c r="B390" t="inlineStr">
        <is>
          <t>M13</t>
        </is>
      </c>
      <c r="C390" t="inlineStr">
        <is>
          <t>YX-CLRA</t>
        </is>
      </c>
      <c r="D390" t="inlineStr">
        <is>
          <t>6+</t>
        </is>
      </c>
      <c r="E390" s="5" t="inlineStr">
        <is>
          <t>Contract workers are persons (J15, J8). Every contract worker links to a P01 persons record (YX-ORG-27 matching; the duplicate check across contractors runs on the person); the biometric / kiosk device_user_map is keyed by the person, so when the worker converts to employee (M01 YX-LC-30) the same enrolment keeps working and punches from the conversion date carry person_type = employee; earlier punches, deployments and register rows stay as contract-worker records.</t>
        </is>
      </c>
      <c r="F390" t="inlineStr">
        <is>
          <t>Not started</t>
        </is>
      </c>
      <c r="H390">
        <f>IF(G390&lt;&gt;"",G390,F390)</f>
        <v/>
      </c>
      <c r="I390" t="n">
        <v>0</v>
      </c>
      <c r="J390" t="n">
        <v>0</v>
      </c>
      <c r="K390" t="n">
        <v>0</v>
      </c>
      <c r="L390" s="5" t="inlineStr"/>
      <c r="M390" s="5" t="n"/>
    </row>
    <row r="391">
      <c r="A391" t="inlineStr">
        <is>
          <t>YX-CLRA-15</t>
        </is>
      </c>
      <c r="B391" t="inlineStr">
        <is>
          <t>M13</t>
        </is>
      </c>
      <c r="C391" t="inlineStr">
        <is>
          <t>YX-CLRA</t>
        </is>
      </c>
      <c r="D391" t="inlineStr">
        <is>
          <t>6+</t>
        </is>
      </c>
      <c r="E391" s="5" t="inlineStr">
        <is>
          <t>Tenant as contractor (J17). When a legal entity is flagged as a contractor, deploying its employees to a client establishment needs a valid licence covering that establishment (per client establishment, or a single OSH Code licence whose scope covers it, verify) with headroom under its maximum; each wage month it builds a compliance pack per client establishment from M02 / M03 (wage register, muster, PF ECR / TRRN, ESI challan, wage-payment proof, PT / LWF) by the client's due date (D17), and HR records the portal upload (date, reference, acknowledgement document); an overdue or missing upload</t>
        </is>
      </c>
      <c r="F391" t="inlineStr">
        <is>
          <t>Not started</t>
        </is>
      </c>
      <c r="H391">
        <f>IF(G391&lt;&gt;"",G391,F391)</f>
        <v/>
      </c>
      <c r="I391" t="n">
        <v>0</v>
      </c>
      <c r="J391" t="n">
        <v>0</v>
      </c>
      <c r="K391" t="n">
        <v>0</v>
      </c>
      <c r="L391" s="5" t="inlineStr"/>
      <c r="M391" s="5" t="n"/>
    </row>
    <row r="392">
      <c r="A392" t="inlineStr">
        <is>
          <t>YX-ORG-01</t>
        </is>
      </c>
      <c r="B392" t="inlineStr">
        <is>
          <t>P01</t>
        </is>
      </c>
      <c r="C392" t="inlineStr">
        <is>
          <t>YX-ORG</t>
        </is>
      </c>
      <c r="D392" t="inlineStr">
        <is>
          <t>0, 2</t>
        </is>
      </c>
      <c r="E392" s="5" t="inlineStr">
        <is>
          <t>A tenant has at least one legal entity; exactly one is marked default.</t>
        </is>
      </c>
      <c r="F392" t="inlineStr">
        <is>
          <t>Built + tested</t>
        </is>
      </c>
      <c r="H392">
        <f>IF(G392&lt;&gt;"",G392,F392)</f>
        <v/>
      </c>
      <c r="I392" t="n">
        <v>4</v>
      </c>
      <c r="J392" t="n">
        <v>2</v>
      </c>
      <c r="K392" t="n">
        <v>1</v>
      </c>
      <c r="L392" s="5" t="inlineStr">
        <is>
          <t>exam-app-org:apps/api/prisma/migrations/20261007000000_org_structure/migration.sql
exam-app-org:apps/api/prisma/seed-org-structure.ts
exam-app-org:apps/api/src/org-structure/org-structure.service.ts</t>
        </is>
      </c>
      <c r="M392" s="5" t="n"/>
    </row>
    <row r="393">
      <c r="A393" t="inlineStr">
        <is>
          <t>YX-ORG-02</t>
        </is>
      </c>
      <c r="B393" t="inlineStr">
        <is>
          <t>P01</t>
        </is>
      </c>
      <c r="C393" t="inlineStr">
        <is>
          <t>YX-ORG</t>
        </is>
      </c>
      <c r="D393" t="inlineStr">
        <is>
          <t>0, 2</t>
        </is>
      </c>
      <c r="E393" s="5" t="inlineStr">
        <is>
          <t>A location belongs to exactly one legal entity; its state and timezone are mandatory.</t>
        </is>
      </c>
      <c r="F393" t="inlineStr">
        <is>
          <t>Built + tested</t>
        </is>
      </c>
      <c r="H393">
        <f>IF(G393&lt;&gt;"",G393,F393)</f>
        <v/>
      </c>
      <c r="I393" t="n">
        <v>4</v>
      </c>
      <c r="J393" t="n">
        <v>3</v>
      </c>
      <c r="K393" t="n">
        <v>1</v>
      </c>
      <c r="L393" s="5" t="inlineStr">
        <is>
          <t>exam-app-org:apps/api/prisma/migrations/20261007000000_org_structure/migration.sql
exam-app-org:apps/api/prisma/seed-org-structure.ts
exam-app-org:apps/api/src/org-structure/dto.ts</t>
        </is>
      </c>
      <c r="M393" s="5" t="n"/>
    </row>
    <row r="394">
      <c r="A394" t="inlineStr">
        <is>
          <t>YX-ORG-03</t>
        </is>
      </c>
      <c r="B394" t="inlineStr">
        <is>
          <t>P01</t>
        </is>
      </c>
      <c r="C394" t="inlineStr">
        <is>
          <t>YX-ORG</t>
        </is>
      </c>
      <c r="D394" t="inlineStr">
        <is>
          <t>0, 2</t>
        </is>
      </c>
      <c r="E394" s="5" t="inlineStr">
        <is>
          <t>Department parent chains cannot form cycles; moving a department moves its subtree.</t>
        </is>
      </c>
      <c r="F394" t="inlineStr">
        <is>
          <t>Built + tested</t>
        </is>
      </c>
      <c r="H394">
        <f>IF(G394&lt;&gt;"",G394,F394)</f>
        <v/>
      </c>
      <c r="I394" t="n">
        <v>3</v>
      </c>
      <c r="J394" t="n">
        <v>2</v>
      </c>
      <c r="K394" t="n">
        <v>1</v>
      </c>
      <c r="L394" s="5" t="inlineStr">
        <is>
          <t>exam-app-org:apps/api/prisma/migrations/20261007000000_org_structure/migration.sql
exam-app-org:apps/api/prisma/seed-org-structure.ts
exam-app-org:apps/api/src/org-structure/org-structure.service.ts</t>
        </is>
      </c>
      <c r="M394" s="5" t="n"/>
    </row>
    <row r="395">
      <c r="A395" t="inlineStr">
        <is>
          <t>YX-ORG-04</t>
        </is>
      </c>
      <c r="B395" t="inlineStr">
        <is>
          <t>P01</t>
        </is>
      </c>
      <c r="C395" t="inlineStr">
        <is>
          <t>YX-ORG</t>
        </is>
      </c>
      <c r="D395" t="inlineStr">
        <is>
          <t>0, 2</t>
        </is>
      </c>
      <c r="E395" s="5" t="inlineStr">
        <is>
          <t>A master record that is referenced (department, designation, grade, location, cost centre, type) can only be archived, not deleted. Archived masters can't be chosen for new assignments.</t>
        </is>
      </c>
      <c r="F395" t="inlineStr">
        <is>
          <t>Built + tested</t>
        </is>
      </c>
      <c r="H395">
        <f>IF(G395&lt;&gt;"",G395,F395)</f>
        <v/>
      </c>
      <c r="I395" t="n">
        <v>3</v>
      </c>
      <c r="J395" t="n">
        <v>3</v>
      </c>
      <c r="K395" t="n">
        <v>3</v>
      </c>
      <c r="L395" s="5" t="inlineStr">
        <is>
          <t>exam-app-org:apps/api/prisma/migrations/20261007000000_org_structure/migration.sql
exam-app-org:apps/api/src/employee-history/employee-history.service.ts
exam-app-org:apps/api/src/org-structure/org-structure.service.ts</t>
        </is>
      </c>
      <c r="M395" s="5" t="n"/>
    </row>
    <row r="396">
      <c r="A396" t="inlineStr">
        <is>
          <t>YX-ORG-05</t>
        </is>
      </c>
      <c r="B396" t="inlineStr">
        <is>
          <t>P01</t>
        </is>
      </c>
      <c r="C396" t="inlineStr">
        <is>
          <t>YX-ORG</t>
        </is>
      </c>
      <c r="D396" t="inlineStr">
        <is>
          <t>0, 2</t>
        </is>
      </c>
      <c r="E396" s="5" t="inlineStr">
        <is>
          <t>Codes are unique within the record's scope (shared → tenant, entity-only → entity, YX-ORG-15; cost centres per legal entity); employee codes follow YX-ORG-16 (per entity or per tenant, customer choice). Codes are system-generated when blank.</t>
        </is>
      </c>
      <c r="F396" t="inlineStr">
        <is>
          <t>Built + tested</t>
        </is>
      </c>
      <c r="H396">
        <f>IF(G396&lt;&gt;"",G396,F396)</f>
        <v/>
      </c>
      <c r="I396" t="n">
        <v>4</v>
      </c>
      <c r="J396" t="n">
        <v>3</v>
      </c>
      <c r="K396" t="n">
        <v>1</v>
      </c>
      <c r="L396" s="5" t="inlineStr">
        <is>
          <t>exam-app-org:apps/api/prisma/migrations/20261007000000_org_structure/migration.sql
exam-app-org:apps/api/src/org-structure/dto.ts
exam-app-org:apps/api/src/org-structure/org-structure.service.ts</t>
        </is>
      </c>
      <c r="M396" s="5" t="n"/>
    </row>
    <row r="397">
      <c r="A397" t="inlineStr">
        <is>
          <t>YX-ORG-06</t>
        </is>
      </c>
      <c r="B397" t="inlineStr">
        <is>
          <t>P01</t>
        </is>
      </c>
      <c r="C397" t="inlineStr">
        <is>
          <t>YX-ORG</t>
        </is>
      </c>
      <c r="D397" t="inlineStr">
        <is>
          <t>0, 2</t>
        </is>
      </c>
      <c r="E397" s="5" t="inlineStr">
        <is>
          <t>An employee has at most one open employment per legal entity; and, unless the tenant allows concurrent employment (Q6), at most one open employment in the tenant.</t>
        </is>
      </c>
      <c r="F397" t="inlineStr">
        <is>
          <t>Built, no test cites it</t>
        </is>
      </c>
      <c r="H397">
        <f>IF(G397&lt;&gt;"",G397,F397)</f>
        <v/>
      </c>
      <c r="I397" t="n">
        <v>1</v>
      </c>
      <c r="J397" t="n">
        <v>0</v>
      </c>
      <c r="K397" t="n">
        <v>0</v>
      </c>
      <c r="L397" s="5" t="inlineStr">
        <is>
          <t>exam-app-org:apps/api/prisma/migrations/20261008000000_employee_history/migration.sql</t>
        </is>
      </c>
      <c r="M397" s="5" t="n"/>
    </row>
    <row r="398">
      <c r="A398" t="inlineStr">
        <is>
          <t>YX-ORG-07</t>
        </is>
      </c>
      <c r="B398" t="inlineStr">
        <is>
          <t>P01</t>
        </is>
      </c>
      <c r="C398" t="inlineStr">
        <is>
          <t>YX-ORG</t>
        </is>
      </c>
      <c r="D398" t="inlineStr">
        <is>
          <t>0, 2</t>
        </is>
      </c>
      <c r="E398" s="5" t="inlineStr">
        <is>
          <t>Within an employment, assignments cover every day from joined_on to exited_on with no gaps and no overlaps.</t>
        </is>
      </c>
      <c r="F398" t="inlineStr">
        <is>
          <t>Built + tested</t>
        </is>
      </c>
      <c r="H398">
        <f>IF(G398&lt;&gt;"",G398,F398)</f>
        <v/>
      </c>
      <c r="I398" t="n">
        <v>1</v>
      </c>
      <c r="J398" t="n">
        <v>1</v>
      </c>
      <c r="K398" t="n">
        <v>0</v>
      </c>
      <c r="L398" s="5" t="inlineStr">
        <is>
          <t>exam-app-org:apps/api/src/employee-history/employee-history.service.ts
exam-app-org:apps/api/test/employee-history.e2e-spec.ts</t>
        </is>
      </c>
      <c r="M398" s="5" t="n"/>
    </row>
    <row r="399">
      <c r="A399" t="inlineStr">
        <is>
          <t>YX-ORG-08</t>
        </is>
      </c>
      <c r="B399" t="inlineStr">
        <is>
          <t>P01</t>
        </is>
      </c>
      <c r="C399" t="inlineStr">
        <is>
          <t>YX-ORG</t>
        </is>
      </c>
      <c r="D399" t="inlineStr">
        <is>
          <t>0, 2</t>
        </is>
      </c>
      <c r="E399" s="5" t="inlineStr">
        <is>
          <t>An assignment's location and cost centres must belong to the employment's legal entity.</t>
        </is>
      </c>
      <c r="F399" t="inlineStr">
        <is>
          <t>Built + tested</t>
        </is>
      </c>
      <c r="H399">
        <f>IF(G399&lt;&gt;"",G399,F399)</f>
        <v/>
      </c>
      <c r="I399" t="n">
        <v>3</v>
      </c>
      <c r="J399" t="n">
        <v>3</v>
      </c>
      <c r="K399" t="n">
        <v>1</v>
      </c>
      <c r="L399" s="5" t="inlineStr">
        <is>
          <t>exam-app-org:apps/api/prisma/migrations/20261008000000_employee_history/migration.sql
exam-app-org:apps/api/src/employee-history/employee-history.service.ts
exam-app-org:apps/api/src/org-structure/org-structure.service.ts</t>
        </is>
      </c>
      <c r="M399" s="5" t="n"/>
    </row>
    <row r="400">
      <c r="A400" t="inlineStr">
        <is>
          <t>YX-ORG-09</t>
        </is>
      </c>
      <c r="B400" t="inlineStr">
        <is>
          <t>P01</t>
        </is>
      </c>
      <c r="C400" t="inlineStr">
        <is>
          <t>YX-ORG</t>
        </is>
      </c>
      <c r="D400" t="inlineStr">
        <is>
          <t>0, 2</t>
        </is>
      </c>
      <c r="E400" s="5" t="inlineStr">
        <is>
          <t>A manager must be an employee with an active employment on the assignment dates, in the same tenant. Reporting chains cannot form cycles.</t>
        </is>
      </c>
      <c r="F400" t="inlineStr">
        <is>
          <t>Built + tested</t>
        </is>
      </c>
      <c r="H400">
        <f>IF(G400&lt;&gt;"",G400,F400)</f>
        <v/>
      </c>
      <c r="I400" t="n">
        <v>3</v>
      </c>
      <c r="J400" t="n">
        <v>2</v>
      </c>
      <c r="K400" t="n">
        <v>0</v>
      </c>
      <c r="L400" s="5" t="inlineStr">
        <is>
          <t>exam-app-org:apps/api/prisma/migrations/20261008000000_employee_history/migration.sql
exam-app-org:apps/api/src/employee-history/employee-history.service.ts
exam-app-org:apps/api/src/people/people.service.ts</t>
        </is>
      </c>
      <c r="M400" s="5" t="n"/>
    </row>
    <row r="401">
      <c r="A401" t="inlineStr">
        <is>
          <t>YX-ORG-10</t>
        </is>
      </c>
      <c r="B401" t="inlineStr">
        <is>
          <t>P01</t>
        </is>
      </c>
      <c r="C401" t="inlineStr">
        <is>
          <t>YX-ORG</t>
        </is>
      </c>
      <c r="D401" t="inlineStr">
        <is>
          <t>0, 2</t>
        </is>
      </c>
      <c r="E401" s="5" t="inlineStr">
        <is>
          <t>Future-dated assignments are allowed (scheduled promotions and transfers). Past-dated changes follow P06 YX-HIS-12 tiered correction rights; changes reaching a locked period don't reopen it: arrears / recoveries post in the next payroll run (P06 Q4/Q5, P08 Q3).</t>
        </is>
      </c>
      <c r="F401" t="inlineStr">
        <is>
          <t>Verify (step done, not linked)</t>
        </is>
      </c>
      <c r="H401">
        <f>IF(G401&lt;&gt;"",G401,F401)</f>
        <v/>
      </c>
      <c r="I401" t="n">
        <v>0</v>
      </c>
      <c r="J401" t="n">
        <v>0</v>
      </c>
      <c r="K401" t="n">
        <v>0</v>
      </c>
      <c r="L401" s="5" t="inlineStr"/>
      <c r="M401" s="5" t="n"/>
    </row>
    <row r="402">
      <c r="A402" t="inlineStr">
        <is>
          <t>YX-ORG-11</t>
        </is>
      </c>
      <c r="B402" t="inlineStr">
        <is>
          <t>P01</t>
        </is>
      </c>
      <c r="C402" t="inlineStr">
        <is>
          <t>YX-ORG</t>
        </is>
      </c>
      <c r="D402" t="inlineStr">
        <is>
          <t>0, 2</t>
        </is>
      </c>
      <c r="E402" s="5" t="inlineStr">
        <is>
          <t>Moving an employee to another legal entity closes the current employment and opens a new one (new employer for PF/ESI/TDS), linked as a transfer. The person, documents and history remain one employee (Q5).</t>
        </is>
      </c>
      <c r="F402" t="inlineStr">
        <is>
          <t>Verify (step done, not linked)</t>
        </is>
      </c>
      <c r="H402">
        <f>IF(G402&lt;&gt;"",G402,F402)</f>
        <v/>
      </c>
      <c r="I402" t="n">
        <v>0</v>
      </c>
      <c r="J402" t="n">
        <v>0</v>
      </c>
      <c r="K402" t="n">
        <v>0</v>
      </c>
      <c r="L402" s="5" t="inlineStr"/>
      <c r="M402" s="5" t="n"/>
    </row>
    <row r="403">
      <c r="A403" t="inlineStr">
        <is>
          <t>YX-ORG-12</t>
        </is>
      </c>
      <c r="B403" t="inlineStr">
        <is>
          <t>P01</t>
        </is>
      </c>
      <c r="C403" t="inlineStr">
        <is>
          <t>YX-ORG</t>
        </is>
      </c>
      <c r="D403" t="inlineStr">
        <is>
          <t>0, 2</t>
        </is>
      </c>
      <c r="E403" s="5" t="inlineStr">
        <is>
          <t>Settings resolve most-specific-scope-first; every setting shown in the UI states its source scope.</t>
        </is>
      </c>
      <c r="F403" t="inlineStr">
        <is>
          <t>Built + tested</t>
        </is>
      </c>
      <c r="H403">
        <f>IF(G403&lt;&gt;"",G403,F403)</f>
        <v/>
      </c>
      <c r="I403" t="n">
        <v>3</v>
      </c>
      <c r="J403" t="n">
        <v>3</v>
      </c>
      <c r="K403" t="n">
        <v>5</v>
      </c>
      <c r="L403" s="5" t="inlineStr">
        <is>
          <t>exam-app-org:apps/api/prisma/migrations/20261007000000_org_structure/migration.sql
exam-app-org:apps/api/src/org-structure/org-settings.service.ts
exam-app-org:apps/api/src/org-structure/org-structure.spec.ts</t>
        </is>
      </c>
      <c r="M403" s="5" t="n"/>
    </row>
    <row r="404">
      <c r="A404" t="inlineStr">
        <is>
          <t>YX-ORG-13</t>
        </is>
      </c>
      <c r="B404" t="inlineStr">
        <is>
          <t>P01</t>
        </is>
      </c>
      <c r="C404" t="inlineStr">
        <is>
          <t>YX-ORG</t>
        </is>
      </c>
      <c r="D404" t="inlineStr">
        <is>
          <t>0, 2</t>
        </is>
      </c>
      <c r="E404" s="5" t="inlineStr">
        <is>
          <t>Every aggregate screen shows its scope (entity · location · period). The default scope is all entities the user may see, never a hidden default company (U1, U96).</t>
        </is>
      </c>
      <c r="F404" t="inlineStr">
        <is>
          <t>Verify (step done, not linked)</t>
        </is>
      </c>
      <c r="H404">
        <f>IF(G404&lt;&gt;"",G404,F404)</f>
        <v/>
      </c>
      <c r="I404" t="n">
        <v>0</v>
      </c>
      <c r="J404" t="n">
        <v>0</v>
      </c>
      <c r="K404" t="n">
        <v>2</v>
      </c>
      <c r="L404" s="5" t="inlineStr"/>
      <c r="M404" s="5" t="n"/>
    </row>
    <row r="405">
      <c r="A405" t="inlineStr">
        <is>
          <t>YX-ORG-14</t>
        </is>
      </c>
      <c r="B405" t="inlineStr">
        <is>
          <t>P01</t>
        </is>
      </c>
      <c r="C405" t="inlineStr">
        <is>
          <t>YX-ORG</t>
        </is>
      </c>
      <c r="D405" t="inlineStr">
        <is>
          <t>0, 2</t>
        </is>
      </c>
      <c r="E405" s="5" t="inlineStr">
        <is>
          <t>Every tenant table has organization_id NOT NULL + forced RLS. A CI check fails the build if a new model lacks either.</t>
        </is>
      </c>
      <c r="F405" t="inlineStr">
        <is>
          <t>Built + tested</t>
        </is>
      </c>
      <c r="H405">
        <f>IF(G405&lt;&gt;"",G405,F405)</f>
        <v/>
      </c>
      <c r="I405" t="n">
        <v>4</v>
      </c>
      <c r="J405" t="n">
        <v>1</v>
      </c>
      <c r="K405" t="n">
        <v>0</v>
      </c>
      <c r="L405" s="5" t="inlineStr">
        <is>
          <t>exam-app-org:apps/api/prisma/migrations/20261007000000_org_structure/migration.sql
exam-app-org:apps/api/prisma/migrations/20261008000000_employee_history/migration.sql
exam-app-org:apps/api/prisma/migrations/20261009000000_people_core/migration.sql</t>
        </is>
      </c>
      <c r="M405" s="5" t="n"/>
    </row>
    <row r="406">
      <c r="A406" t="inlineStr">
        <is>
          <t>YX-ORG-15</t>
        </is>
      </c>
      <c r="B406" t="inlineStr">
        <is>
          <t>P01</t>
        </is>
      </c>
      <c r="C406" t="inlineStr">
        <is>
          <t>YX-ORG</t>
        </is>
      </c>
      <c r="D406" t="inlineStr">
        <is>
          <t>0, 2</t>
        </is>
      </c>
      <c r="E406" s="5" t="inlineStr">
        <is>
          <t>A structure master (department, designation, grade, employment type) is either shared (tenant-wide, optionally limited to listed entities) or entity-only. An assignment may only use masters available to its employment's legal entity.</t>
        </is>
      </c>
      <c r="F406" t="inlineStr">
        <is>
          <t>Built + tested</t>
        </is>
      </c>
      <c r="H406">
        <f>IF(G406&lt;&gt;"",G406,F406)</f>
        <v/>
      </c>
      <c r="I406" t="n">
        <v>6</v>
      </c>
      <c r="J406" t="n">
        <v>4</v>
      </c>
      <c r="K406" t="n">
        <v>6</v>
      </c>
      <c r="L406" s="5" t="inlineStr">
        <is>
          <t>exam-app-org:apps/api/prisma/migrations/20261007000000_org_structure/migration.sql
exam-app-org:apps/api/prisma/seed-org-structure.ts
exam-app-org:apps/api/src/employee-history/employee-history.service.ts</t>
        </is>
      </c>
      <c r="M406" s="5" t="n"/>
    </row>
    <row r="407">
      <c r="A407" t="inlineStr">
        <is>
          <t>YX-ORG-16</t>
        </is>
      </c>
      <c r="B407" t="inlineStr">
        <is>
          <t>P01</t>
        </is>
      </c>
      <c r="C407" t="inlineStr">
        <is>
          <t>YX-ORG</t>
        </is>
      </c>
      <c r="D407" t="inlineStr">
        <is>
          <t>0, 2</t>
        </is>
      </c>
      <c r="E407" s="5" t="inlineStr">
        <is>
          <t>Employee codes are unique per legal entity (default) or per tenant, by tenant setting. Switching from per-entity to per-tenant is allowed only when no duplicates would result; the screen lists clashes to fix first. Codes can be edited until the employee's first payroll is locked; afterwards only with a correction reason (audited).</t>
        </is>
      </c>
      <c r="F407" t="inlineStr">
        <is>
          <t>Built + tested</t>
        </is>
      </c>
      <c r="H407">
        <f>IF(G407&lt;&gt;"",G407,F407)</f>
        <v/>
      </c>
      <c r="I407" t="n">
        <v>6</v>
      </c>
      <c r="J407" t="n">
        <v>2</v>
      </c>
      <c r="K407" t="n">
        <v>3</v>
      </c>
      <c r="L407" s="5" t="inlineStr">
        <is>
          <t>exam-app-org:apps/api/prisma/migrations/20261008000000_employee_history/migration.sql
exam-app-org:apps/api/src/employee-history/dto.ts
exam-app-org:apps/api/src/employee-history/employee-history.service.ts</t>
        </is>
      </c>
      <c r="M407" s="5" t="n"/>
    </row>
    <row r="408">
      <c r="A408" t="inlineStr">
        <is>
          <t>YX-ORG-17</t>
        </is>
      </c>
      <c r="B408" t="inlineStr">
        <is>
          <t>P01</t>
        </is>
      </c>
      <c r="C408" t="inlineStr">
        <is>
          <t>YX-ORG</t>
        </is>
      </c>
      <c r="D408" t="inlineStr">
        <is>
          <t>0, 2</t>
        </is>
      </c>
      <c r="E408" s="5" t="inlineStr">
        <is>
          <t>An inter-entity transfer applies five transfer policies, defaulted from tenant/entity settings and changeable per transfer by HR: (1) leave balance: carry over / encash at old entity / lapse; (2) service continuity for gratuity, seniority and notice: continue from original joining date / restart; (3) employee code: keep / new in the target series; (4) settlement at the old entity: full F&amp;F / none (amounts move over); (5) salary structure: keep / assign new. The chosen options are stored on the transfer record and shown in its impact preview before confirmation.</t>
        </is>
      </c>
      <c r="F408" t="inlineStr">
        <is>
          <t>Verify (step done, not linked)</t>
        </is>
      </c>
      <c r="H408">
        <f>IF(G408&lt;&gt;"",G408,F408)</f>
        <v/>
      </c>
      <c r="I408" t="n">
        <v>0</v>
      </c>
      <c r="J408" t="n">
        <v>0</v>
      </c>
      <c r="K408" t="n">
        <v>2</v>
      </c>
      <c r="L408" s="5" t="inlineStr"/>
      <c r="M408" s="5" t="n"/>
    </row>
    <row r="409">
      <c r="A409" t="inlineStr">
        <is>
          <t>YX-ORG-18</t>
        </is>
      </c>
      <c r="B409" t="inlineStr">
        <is>
          <t>P01</t>
        </is>
      </c>
      <c r="C409" t="inlineStr">
        <is>
          <t>YX-ORG</t>
        </is>
      </c>
      <c r="D409" t="inlineStr">
        <is>
          <t>0, 2</t>
        </is>
      </c>
      <c r="E409" s="5" t="inlineStr">
        <is>
          <t>Settings scopes are tenant, legal entity, pay group, location, department, employment type, grade, designation and employee; resolution order is employee &gt; designation &gt; grade &gt; employment type &gt; department &gt; location &gt; pay group &gt; entity &gt; tenant &gt; product default, using the assignment in force on the as-of date. A setting registered dated: true must carry valid_from and is resolved as of the period or date being processed (payroll runs and re-runs, arrears, leave-year, protected net, statutory / legal options), never as of today.</t>
        </is>
      </c>
      <c r="F409" t="inlineStr">
        <is>
          <t>Built + tested</t>
        </is>
      </c>
      <c r="H409">
        <f>IF(G409&lt;&gt;"",G409,F409)</f>
        <v/>
      </c>
      <c r="I409" t="n">
        <v>6</v>
      </c>
      <c r="J409" t="n">
        <v>3</v>
      </c>
      <c r="K409" t="n">
        <v>1</v>
      </c>
      <c r="L409" s="5" t="inlineStr">
        <is>
          <t>exam-app-org:apps/api/prisma/migrations/20261007000000_org_structure/migration.sql
exam-app-org:apps/api/prisma/seed-org-structure.ts
exam-app-org:apps/api/src/org-structure/dto.ts</t>
        </is>
      </c>
      <c r="M409" s="5" t="n"/>
    </row>
    <row r="410">
      <c r="A410" t="inlineStr">
        <is>
          <t>YX-ORG-19</t>
        </is>
      </c>
      <c r="B410" t="inlineStr">
        <is>
          <t>P01</t>
        </is>
      </c>
      <c r="C410" t="inlineStr">
        <is>
          <t>YX-ORG</t>
        </is>
      </c>
      <c r="D410" t="inlineStr">
        <is>
          <t>0, 2</t>
        </is>
      </c>
      <c r="E410" s="5" t="inlineStr">
        <is>
          <t>Rehiring an ex-employee opens a new employment on the existing employee record (rehire_of = the previous employment). Five rehire options, defaulted from tenant/entity settings and changeable per rehire by HR, mirror YX-ORG-17: (1) service continuity for gratuity, seniority and notice: continue from original joining date / restart; (2) leave balance: restore the closing balance / start fresh; (3) gratuity service: add previous service / restart (subject to P07 rules and whether gratuity was paid at exit); (4) employee code: reuse previous / new in the series; (5) probation: again / waived. The</t>
        </is>
      </c>
      <c r="F410" t="inlineStr">
        <is>
          <t>Verify (step done, not linked)</t>
        </is>
      </c>
      <c r="H410">
        <f>IF(G410&lt;&gt;"",G410,F410)</f>
        <v/>
      </c>
      <c r="I410" t="n">
        <v>0</v>
      </c>
      <c r="J410" t="n">
        <v>0</v>
      </c>
      <c r="K410" t="n">
        <v>0</v>
      </c>
      <c r="L410" s="5" t="inlineStr"/>
      <c r="M410" s="5" t="n"/>
    </row>
    <row r="411">
      <c r="A411" t="inlineStr">
        <is>
          <t>YX-ORG-20</t>
        </is>
      </c>
      <c r="B411" t="inlineStr">
        <is>
          <t>P01</t>
        </is>
      </c>
      <c r="C411" t="inlineStr">
        <is>
          <t>YX-ORG</t>
        </is>
      </c>
      <c r="D411" t="inlineStr">
        <is>
          <t>0, 2</t>
        </is>
      </c>
      <c r="E411" s="5" t="inlineStr">
        <is>
          <t>Each employment-type category (permanent, probation, fixed-term, intern, apprentice, consultant, deployed contractor, retired re-employed) has a statutory default matrix (PF, ESI, PT, LWF, bonus, gratuity applicability) taken from P07; the company may override a default only where the law allows the choice. Fixed-term, intern and apprentice employments carry contract_end_on; extension or conversion to permanent is a dated P06 change.</t>
        </is>
      </c>
      <c r="F411" t="inlineStr">
        <is>
          <t>Built, no test cites it</t>
        </is>
      </c>
      <c r="H411">
        <f>IF(G411&lt;&gt;"",G411,F411)</f>
        <v/>
      </c>
      <c r="I411" t="n">
        <v>2</v>
      </c>
      <c r="J411" t="n">
        <v>0</v>
      </c>
      <c r="K411" t="n">
        <v>0</v>
      </c>
      <c r="L411" s="5" t="inlineStr">
        <is>
          <t>exam-app-org:apps/api/prisma/migrations/20261007000000_org_structure/migration.sql
exam-app-org:apps/api/prisma/seed-org-structure.ts</t>
        </is>
      </c>
      <c r="M411" s="5" t="n"/>
    </row>
    <row r="412">
      <c r="A412" t="inlineStr">
        <is>
          <t>YX-ORG-21</t>
        </is>
      </c>
      <c r="B412" t="inlineStr">
        <is>
          <t>P01</t>
        </is>
      </c>
      <c r="C412" t="inlineStr">
        <is>
          <t>YX-ORG</t>
        </is>
      </c>
      <c r="D412" t="inlineStr">
        <is>
          <t>0, 2</t>
        </is>
      </c>
      <c r="E412" s="5" t="inlineStr">
        <is>
          <t>A deputation / secondment / client-site posting is recorded on the assignment (host entity or client, host location, recharge flag) without changing the employing entity. While a host location is set, it drives the holiday calendar, PT state and geofence; statutory registrations (PF / ESI / TDS) stay with the employing entity; cross-entity recharge is exported for accounting when flagged.</t>
        </is>
      </c>
      <c r="F412" t="inlineStr">
        <is>
          <t>Verify (step done, not linked)</t>
        </is>
      </c>
      <c r="H412">
        <f>IF(G412&lt;&gt;"",G412,F412)</f>
        <v/>
      </c>
      <c r="I412" t="n">
        <v>0</v>
      </c>
      <c r="J412" t="n">
        <v>0</v>
      </c>
      <c r="K412" t="n">
        <v>2</v>
      </c>
      <c r="L412" s="5" t="inlineStr"/>
      <c r="M412" s="5" t="n"/>
    </row>
    <row r="413">
      <c r="A413" t="inlineStr">
        <is>
          <t>YX-ORG-22</t>
        </is>
      </c>
      <c r="B413" t="inlineStr">
        <is>
          <t>P01</t>
        </is>
      </c>
      <c r="C413" t="inlineStr">
        <is>
          <t>YX-ORG</t>
        </is>
      </c>
      <c r="D413" t="inlineStr">
        <is>
          <t>0, 2</t>
        </is>
      </c>
      <c r="E413" s="5" t="inlineStr">
        <is>
          <t>Bulk restructure: merging or closing a legal entity (or location) runs a bulk transfer wizard that moves all open employments to the target entity, applying the YX-ORG-17 transfer options as defaults for the batch (changeable per person), with one impact preview and one approval; the closed entity is archived (YX-ORG-04) only when no open employment remains.</t>
        </is>
      </c>
      <c r="F413" t="inlineStr">
        <is>
          <t>Verify (step done, not linked)</t>
        </is>
      </c>
      <c r="H413">
        <f>IF(G413&lt;&gt;"",G413,F413)</f>
        <v/>
      </c>
      <c r="I413" t="n">
        <v>0</v>
      </c>
      <c r="J413" t="n">
        <v>0</v>
      </c>
      <c r="K413" t="n">
        <v>0</v>
      </c>
      <c r="L413" s="5" t="inlineStr"/>
      <c r="M413" s="5" t="n"/>
    </row>
    <row r="414">
      <c r="A414" t="inlineStr">
        <is>
          <t>YX-ORG-26</t>
        </is>
      </c>
      <c r="B414" t="inlineStr">
        <is>
          <t>P01</t>
        </is>
      </c>
      <c r="C414" t="inlineStr">
        <is>
          <t>YX-ORG</t>
        </is>
      </c>
      <c r="D414" t="inlineStr">
        <is>
          <t>0, 2</t>
        </is>
      </c>
      <c r="E414" s="5" t="inlineStr">
        <is>
          <t>One person across roles (J15). Every role record in a tenant (candidate, campus registrant, test-taker, employee, alumnus, nominee, consultant, contract worker, vendor worker, external login) links to exactly one persons row of the same tenant; persons are never shared or matched across tenants. A conversion (contract worker → employee, candidate → employee, alumnus → candidate, consultant → employee) adds a role to the same person and ends the old role; the old role's records and history are kept unchanged. The total-workforce headcount and directory filter, and P14 billing (YX-BILL-02), coun</t>
        </is>
      </c>
      <c r="F414" t="inlineStr">
        <is>
          <t>Built + tested</t>
        </is>
      </c>
      <c r="H414">
        <f>IF(G414&lt;&gt;"",G414,F414)</f>
        <v/>
      </c>
      <c r="I414" t="n">
        <v>3</v>
      </c>
      <c r="J414" t="n">
        <v>2</v>
      </c>
      <c r="K414" t="n">
        <v>6</v>
      </c>
      <c r="L414" s="5" t="inlineStr">
        <is>
          <t>exam-app-org:apps/api/prisma/migrations/20261009000000_people_core/migration.sql
exam-app-org:apps/api/src/employee-history/employee-history.service.ts
exam-app-org:apps/api/src/people/persons.ts</t>
        </is>
      </c>
      <c r="M414" s="5" t="n"/>
    </row>
    <row r="415">
      <c r="A415" t="inlineStr">
        <is>
          <t>YX-ORG-27</t>
        </is>
      </c>
      <c r="B415" t="inlineStr">
        <is>
          <t>P01</t>
        </is>
      </c>
      <c r="C415" t="inlineStr">
        <is>
          <t>YX-ORG</t>
        </is>
      </c>
      <c r="D415" t="inlineStr">
        <is>
          <t>0, 2</t>
        </is>
      </c>
      <c r="E415" s="5" t="inlineStr">
        <is>
          <t>Person matching, merge and unmerge (J15). Verified email, verified phone, PAN and UAN auto-link a new role to the existing person; conflicting deterministic keys, name + DOB similarity, or a face match (only with the person's recorded consent) raise a proposal that HR confirms or rejects; a name match alone never links or merges. Every link, merge and unmerge is written to person_link_log with basis, actor and reason, and is reversible: unmerge restores each role and its records to the original person.</t>
        </is>
      </c>
      <c r="F415" t="inlineStr">
        <is>
          <t>Built + tested</t>
        </is>
      </c>
      <c r="H415">
        <f>IF(G415&lt;&gt;"",G415,F415)</f>
        <v/>
      </c>
      <c r="I415" t="n">
        <v>4</v>
      </c>
      <c r="J415" t="n">
        <v>2</v>
      </c>
      <c r="K415" t="n">
        <v>3</v>
      </c>
      <c r="L415" s="5" t="inlineStr">
        <is>
          <t>exam-app-org:apps/api/prisma/migrations/20261009000000_people_core/migration.sql
exam-app-org:apps/api/prisma/schema.prisma
exam-app-org:apps/api/src/employee-history/dto.ts</t>
        </is>
      </c>
      <c r="M415" s="5" t="n"/>
    </row>
    <row r="416">
      <c r="A416" t="inlineStr">
        <is>
          <t>YX-ORG-28</t>
        </is>
      </c>
      <c r="B416" t="inlineStr">
        <is>
          <t>P01</t>
        </is>
      </c>
      <c r="C416" t="inlineStr">
        <is>
          <t>YX-ORG</t>
        </is>
      </c>
      <c r="D416" t="inlineStr">
        <is>
          <t>0, 2</t>
        </is>
      </c>
      <c r="E416" s="5" t="inlineStr">
        <is>
          <t>Names, addresses and phones (G3). Person names are stored as parts (given, family, optional patronymic and grandfather's name) with a name order and an optional native-script legal name beside the Latin one; screens, letters and search (P17) use the locale's display format and match both scripts. Addresses are structured: ISO 3166-1 country, ISO 3166-2 subdivision, and the required lines and postal-code pattern of that country's template (P07 pack data). Phones are validated and stored in E.164 and shown in national format. Statutory files use the name and address form the receiver requires.</t>
        </is>
      </c>
      <c r="F416" t="inlineStr">
        <is>
          <t>Built + tested</t>
        </is>
      </c>
      <c r="H416">
        <f>IF(G416&lt;&gt;"",G416,F416)</f>
        <v/>
      </c>
      <c r="I416" t="n">
        <v>6</v>
      </c>
      <c r="J416" t="n">
        <v>1</v>
      </c>
      <c r="K416" t="n">
        <v>2</v>
      </c>
      <c r="L416" s="5" t="inlineStr">
        <is>
          <t>exam-app-org:apps/api/prisma/migrations/20261007000000_org_structure/migration.sql
exam-app-org:apps/api/prisma/migrations/20261009000000_people_core/migration.sql
exam-app-org:apps/api/prisma/migrations/20261010000000_access_privacy/migration.sql</t>
        </is>
      </c>
      <c r="M416" s="5" t="n"/>
    </row>
    <row r="417">
      <c r="A417" t="inlineStr">
        <is>
          <t>YX-ORG-29</t>
        </is>
      </c>
      <c r="B417" t="inlineStr">
        <is>
          <t>P01</t>
        </is>
      </c>
      <c r="C417" t="inlineStr">
        <is>
          <t>YX-ORG</t>
        </is>
      </c>
      <c r="D417" t="inlineStr">
        <is>
          <t>0, 2</t>
        </is>
      </c>
      <c r="E417" s="5" t="inlineStr">
        <is>
          <t>Gender list (R7). Gender is chosen from a tenant-editable list whose starter values are female, male, transgender, non-binary and prefer not to say; each value maps to the categories each statutory report needs (e.g. India Board's report headcount by female / male / transgender, R7). The employee self-declares through a P02 §4.5 change; the field is Personal class and headcount by gender follows small-group suppression (YX-SEC-14).</t>
        </is>
      </c>
      <c r="F417" t="inlineStr">
        <is>
          <t>Built, no test cites it</t>
        </is>
      </c>
      <c r="H417">
        <f>IF(G417&lt;&gt;"",G417,F417)</f>
        <v/>
      </c>
      <c r="I417" t="n">
        <v>1</v>
      </c>
      <c r="J417" t="n">
        <v>0</v>
      </c>
      <c r="K417" t="n">
        <v>0</v>
      </c>
      <c r="L417" s="5" t="inlineStr">
        <is>
          <t>exam-app-org:apps/api/prisma/migrations/20261010000000_access_privacy/migration.sql</t>
        </is>
      </c>
      <c r="M417" s="5" t="n"/>
    </row>
    <row r="418">
      <c r="A418" t="inlineStr">
        <is>
          <t>YX-ORG-30</t>
        </is>
      </c>
      <c r="B418" t="inlineStr">
        <is>
          <t>P01</t>
        </is>
      </c>
      <c r="C418" t="inlineStr">
        <is>
          <t>YX-ORG</t>
        </is>
      </c>
      <c r="D418" t="inlineStr">
        <is>
          <t>0, 2</t>
        </is>
      </c>
      <c r="E418" s="5" t="inlineStr">
        <is>
          <t>Region catalogue (G9 + S16). Every tenant has a home region and every legal entity a data_region from the platform region catalogue (IN, ME-AE, ME-SA, EU, US, SG; P21 §3); the region must be live and serve the entity's country, and the country's gate must be green (YX-GLB-01). The data region is fixed at creation and changes only through a region move (P21 YX-GLB-11). Residency and privacy rules: P02 YX-SEC-37 / 38.</t>
        </is>
      </c>
      <c r="F418" t="inlineStr">
        <is>
          <t>Built + tested</t>
        </is>
      </c>
      <c r="H418">
        <f>IF(G418&lt;&gt;"",G418,F418)</f>
        <v/>
      </c>
      <c r="I418" t="n">
        <v>4</v>
      </c>
      <c r="J418" t="n">
        <v>2</v>
      </c>
      <c r="K418" t="n">
        <v>2</v>
      </c>
      <c r="L418" s="5" t="inlineStr">
        <is>
          <t>exam-app-org:apps/api/prisma/migrations/20261007000000_org_structure/migration.sql
exam-app-org:apps/api/src/org-structure/dto.ts
exam-app-org:apps/api/src/org-structure/org-structure.service.ts</t>
        </is>
      </c>
      <c r="M418" s="5" t="n"/>
    </row>
    <row r="419">
      <c r="A419" t="inlineStr">
        <is>
          <t>YX-SEC-01</t>
        </is>
      </c>
      <c r="B419" t="inlineStr">
        <is>
          <t>P02</t>
        </is>
      </c>
      <c r="C419" t="inlineStr">
        <is>
          <t>YX-SEC</t>
        </is>
      </c>
      <c r="D419" t="inlineStr">
        <is>
          <t>2</t>
        </is>
      </c>
      <c r="E419" s="5" t="inlineStr">
        <is>
          <t>Every API endpoint, report column, export and AI tool declares a permission; unannotated HR endpoints fail CI.</t>
        </is>
      </c>
      <c r="F419" t="inlineStr">
        <is>
          <t>Built + tested</t>
        </is>
      </c>
      <c r="H419">
        <f>IF(G419&lt;&gt;"",G419,F419)</f>
        <v/>
      </c>
      <c r="I419" t="n">
        <v>3</v>
      </c>
      <c r="J419" t="n">
        <v>3</v>
      </c>
      <c r="K419" t="n">
        <v>0</v>
      </c>
      <c r="L419" s="5" t="inlineStr">
        <is>
          <t>exam-app-org:apps/api/src/access/endpoint-permissions.spec.ts
exam-app-org:apps/api/src/employee-history/employee-history.controller.ts
exam-app-org:apps/api/src/org-structure/org-structure.controller.ts</t>
        </is>
      </c>
      <c r="M419" s="5" t="n"/>
    </row>
    <row r="420">
      <c r="A420" t="inlineStr">
        <is>
          <t>YX-SEC-02</t>
        </is>
      </c>
      <c r="B420" t="inlineStr">
        <is>
          <t>P02</t>
        </is>
      </c>
      <c r="C420" t="inlineStr">
        <is>
          <t>YX-SEC</t>
        </is>
      </c>
      <c r="D420" t="inlineStr">
        <is>
          <t>2</t>
        </is>
      </c>
      <c r="E420" s="5" t="inlineStr">
        <is>
          <t>Roles are data (tenant-editable templates + custom roles); no role names are hard-coded in business logic, which checks permissions only.</t>
        </is>
      </c>
      <c r="F420" t="inlineStr">
        <is>
          <t>Built + tested</t>
        </is>
      </c>
      <c r="H420">
        <f>IF(G420&lt;&gt;"",G420,F420)</f>
        <v/>
      </c>
      <c r="I420" t="n">
        <v>5</v>
      </c>
      <c r="J420" t="n">
        <v>3</v>
      </c>
      <c r="K420" t="n">
        <v>1</v>
      </c>
      <c r="L420" s="5" t="inlineStr">
        <is>
          <t>exam-app-org:apps/api/prisma/migrations/20261010000000_access_privacy/migration.sql
exam-app-org:apps/api/src/access/access.service.ts
exam-app-org:apps/api/src/access/role-templates.ts</t>
        </is>
      </c>
      <c r="M420" s="5" t="n"/>
    </row>
    <row r="421">
      <c r="A421" t="inlineStr">
        <is>
          <t>YX-SEC-03</t>
        </is>
      </c>
      <c r="B421" t="inlineStr">
        <is>
          <t>P02</t>
        </is>
      </c>
      <c r="C421" t="inlineStr">
        <is>
          <t>YX-SEC</t>
        </is>
      </c>
      <c r="D421" t="inlineStr">
        <is>
          <t>2</t>
        </is>
      </c>
      <c r="E421" s="5" t="inlineStr">
        <is>
          <t>A user may hold several role grants; each grant has a scope and optional validity dates; effective rights = union of grants.</t>
        </is>
      </c>
      <c r="F421" t="inlineStr">
        <is>
          <t>Built + tested</t>
        </is>
      </c>
      <c r="H421">
        <f>IF(G421&lt;&gt;"",G421,F421)</f>
        <v/>
      </c>
      <c r="I421" t="n">
        <v>6</v>
      </c>
      <c r="J421" t="n">
        <v>3</v>
      </c>
      <c r="K421" t="n">
        <v>0</v>
      </c>
      <c r="L421" s="5" t="inlineStr">
        <is>
          <t>exam-app-org:apps/api/prisma/migrations/20261010000000_access_privacy/migration.sql
exam-app-org:apps/api/prisma/schema.prisma
exam-app-org:apps/api/src/access/scope.ts</t>
        </is>
      </c>
      <c r="M421" s="5" t="n"/>
    </row>
    <row r="422">
      <c r="A422" t="inlineStr">
        <is>
          <t>YX-SEC-04</t>
        </is>
      </c>
      <c r="B422" t="inlineStr">
        <is>
          <t>P02</t>
        </is>
      </c>
      <c r="C422" t="inlineStr">
        <is>
          <t>YX-SEC</t>
        </is>
      </c>
      <c r="D422" t="inlineStr">
        <is>
          <t>2</t>
        </is>
      </c>
      <c r="E422" s="5" t="inlineStr">
        <is>
          <t>Employee, Manager and Department-head grants are implicit and recomputed when assignments change (P01, P06).</t>
        </is>
      </c>
      <c r="F422" t="inlineStr">
        <is>
          <t>Built + tested</t>
        </is>
      </c>
      <c r="H422">
        <f>IF(G422&lt;&gt;"",G422,F422)</f>
        <v/>
      </c>
      <c r="I422" t="n">
        <v>13</v>
      </c>
      <c r="J422" t="n">
        <v>3</v>
      </c>
      <c r="K422" t="n">
        <v>0</v>
      </c>
      <c r="L422" s="5" t="inlineStr">
        <is>
          <t>exam-app-org:apps/api/prisma/migrations/20261010000000_access_privacy/migration.sql
exam-app-org:apps/api/prisma/migrations/20261011000000_review_hardening/migration.sql
exam-app-org:apps/api/prisma/schema.prisma</t>
        </is>
      </c>
      <c r="M422" s="5" t="n"/>
    </row>
    <row r="423">
      <c r="A423" t="inlineStr">
        <is>
          <t>YX-SEC-05</t>
        </is>
      </c>
      <c r="B423" t="inlineStr">
        <is>
          <t>P02</t>
        </is>
      </c>
      <c r="C423" t="inlineStr">
        <is>
          <t>YX-SEC</t>
        </is>
      </c>
      <c r="D423" t="inlineStr">
        <is>
          <t>2</t>
        </is>
      </c>
      <c r="E423" s="5" t="inlineStr">
        <is>
          <t>Every read passes through the visibility service; list counts, totals and charts only include visible records.</t>
        </is>
      </c>
      <c r="F423" t="inlineStr">
        <is>
          <t>Built + tested</t>
        </is>
      </c>
      <c r="H423">
        <f>IF(G423&lt;&gt;"",G423,F423)</f>
        <v/>
      </c>
      <c r="I423" t="n">
        <v>5</v>
      </c>
      <c r="J423" t="n">
        <v>1</v>
      </c>
      <c r="K423" t="n">
        <v>0</v>
      </c>
      <c r="L423" s="5" t="inlineStr">
        <is>
          <t>exam-app-org:apps/api/prisma/migrations/20261010000000_access_privacy/migration.sql
exam-app-org:apps/api/src/access/scope.ts
exam-app-org:apps/api/src/employee-history/employee-history.service.ts</t>
        </is>
      </c>
      <c r="M423" s="5" t="n"/>
    </row>
    <row r="424">
      <c r="A424" t="inlineStr">
        <is>
          <t>YX-SEC-06</t>
        </is>
      </c>
      <c r="B424" t="inlineStr">
        <is>
          <t>P02</t>
        </is>
      </c>
      <c r="C424" t="inlineStr">
        <is>
          <t>YX-SEC</t>
        </is>
      </c>
      <c r="D424" t="inlineStr">
        <is>
          <t>2</t>
        </is>
      </c>
      <c r="E424" s="5" t="inlineStr">
        <is>
          <t>Manager visibility of a person is limited to the periods in which they managed that person.</t>
        </is>
      </c>
      <c r="F424" t="inlineStr">
        <is>
          <t>Built + tested</t>
        </is>
      </c>
      <c r="H424">
        <f>IF(G424&lt;&gt;"",G424,F424)</f>
        <v/>
      </c>
      <c r="I424" t="n">
        <v>7</v>
      </c>
      <c r="J424" t="n">
        <v>4</v>
      </c>
      <c r="K424" t="n">
        <v>0</v>
      </c>
      <c r="L424" s="5" t="inlineStr">
        <is>
          <t>exam-app-org:apps/api/prisma/migrations/20261008000000_employee_history/migration.sql
exam-app-org:apps/api/prisma/migrations/20261010000000_access_privacy/migration.sql
exam-app-org:apps/api/prisma/seed-access.ts</t>
        </is>
      </c>
      <c r="M424" s="5" t="n"/>
    </row>
    <row r="425">
      <c r="A425" t="inlineStr">
        <is>
          <t>YX-SEC-07</t>
        </is>
      </c>
      <c r="B425" t="inlineStr">
        <is>
          <t>P02</t>
        </is>
      </c>
      <c r="C425" t="inlineStr">
        <is>
          <t>YX-SEC</t>
        </is>
      </c>
      <c r="D425" t="inlineStr">
        <is>
          <t>2</t>
        </is>
      </c>
      <c r="E425" s="5" t="inlineStr">
        <is>
          <t>Every personal field has a sensitivity class; access is enforced server-side on read and write, including exports, analytics and AI.</t>
        </is>
      </c>
      <c r="F425" t="inlineStr">
        <is>
          <t>Built + tested</t>
        </is>
      </c>
      <c r="H425">
        <f>IF(G425&lt;&gt;"",G425,F425)</f>
        <v/>
      </c>
      <c r="I425" t="n">
        <v>4</v>
      </c>
      <c r="J425" t="n">
        <v>3</v>
      </c>
      <c r="K425" t="n">
        <v>0</v>
      </c>
      <c r="L425" s="5" t="inlineStr">
        <is>
          <t>exam-app-org:apps/api/prisma/migrations/20261010000000_access_privacy/migration.sql
exam-app-org:apps/api/src/people/people.service.ts
exam-app-org:apps/api/src/people/profile.service.ts</t>
        </is>
      </c>
      <c r="M425" s="5" t="n"/>
    </row>
    <row r="426">
      <c r="A426" t="inlineStr">
        <is>
          <t>YX-SEC-08</t>
        </is>
      </c>
      <c r="B426" t="inlineStr">
        <is>
          <t>P02</t>
        </is>
      </c>
      <c r="C426" t="inlineStr">
        <is>
          <t>YX-SEC</t>
        </is>
      </c>
      <c r="D426" t="inlineStr">
        <is>
          <t>2</t>
        </is>
      </c>
      <c r="E426" s="5" t="inlineStr">
        <is>
          <t>Aadhaar is stored encrypted and displayed masked (last 4) except to roles explicitly granted employee.aadhaar.view; each unmasked view is audited.</t>
        </is>
      </c>
      <c r="F426" t="inlineStr">
        <is>
          <t>Built + tested</t>
        </is>
      </c>
      <c r="H426">
        <f>IF(G426&lt;&gt;"",G426,F426)</f>
        <v/>
      </c>
      <c r="I426" t="n">
        <v>4</v>
      </c>
      <c r="J426" t="n">
        <v>2</v>
      </c>
      <c r="K426" t="n">
        <v>1</v>
      </c>
      <c r="L426" s="5" t="inlineStr">
        <is>
          <t>exam-app-org:apps/api/prisma/migrations/20261010000000_access_privacy/migration.sql
exam-app-org:apps/api/src/people/people.controller.ts
exam-app-org:apps/api/src/people/profile.service.ts</t>
        </is>
      </c>
      <c r="M426" s="5" t="n"/>
    </row>
    <row r="427">
      <c r="A427" t="inlineStr">
        <is>
          <t>YX-SEC-09</t>
        </is>
      </c>
      <c r="B427" t="inlineStr">
        <is>
          <t>P02</t>
        </is>
      </c>
      <c r="C427" t="inlineStr">
        <is>
          <t>YX-SEC</t>
        </is>
      </c>
      <c r="D427" t="inlineStr">
        <is>
          <t>2</t>
        </is>
      </c>
      <c r="E427" s="5" t="inlineStr">
        <is>
          <t>Viewing another person's Confidential/Special fields is audited (who, whose, which field, when).</t>
        </is>
      </c>
      <c r="F427" t="inlineStr">
        <is>
          <t>Built + tested</t>
        </is>
      </c>
      <c r="H427">
        <f>IF(G427&lt;&gt;"",G427,F427)</f>
        <v/>
      </c>
      <c r="I427" t="n">
        <v>6</v>
      </c>
      <c r="J427" t="n">
        <v>3</v>
      </c>
      <c r="K427" t="n">
        <v>3</v>
      </c>
      <c r="L427" s="5" t="inlineStr">
        <is>
          <t>exam-app-org:apps/api/prisma/migrations/20261008000000_employee_history/migration.sql
exam-app-org:apps/api/src/employee-history/employee-history.service.ts
exam-app-org:apps/api/src/org-structure/org-structure.service.ts</t>
        </is>
      </c>
      <c r="M427" s="5" t="n"/>
    </row>
    <row r="428">
      <c r="A428" t="inlineStr">
        <is>
          <t>YX-SEC-10</t>
        </is>
      </c>
      <c r="B428" t="inlineStr">
        <is>
          <t>P02</t>
        </is>
      </c>
      <c r="C428" t="inlineStr">
        <is>
          <t>YX-SEC</t>
        </is>
      </c>
      <c r="D428" t="inlineStr">
        <is>
          <t>2</t>
        </is>
      </c>
      <c r="E428" s="5" t="inlineStr">
        <is>
          <t>Restricted areas (POSH, disciplinary, grievance cases, whistleblower reports, medical; M08 Q3/Q8) are visible only to appointed members (case membership); enforced in Postgres RLS as well as the app. Tenant admins and YukthiX support cannot see them without membership.</t>
        </is>
      </c>
      <c r="F428" t="inlineStr">
        <is>
          <t>Verify (step done, not linked)</t>
        </is>
      </c>
      <c r="H428">
        <f>IF(G428&lt;&gt;"",G428,F428)</f>
        <v/>
      </c>
      <c r="I428" t="n">
        <v>0</v>
      </c>
      <c r="J428" t="n">
        <v>0</v>
      </c>
      <c r="K428" t="n">
        <v>2</v>
      </c>
      <c r="L428" s="5" t="inlineStr"/>
      <c r="M428" s="5" t="n"/>
    </row>
    <row r="429">
      <c r="A429" t="inlineStr">
        <is>
          <t>YX-SEC-11</t>
        </is>
      </c>
      <c r="B429" t="inlineStr">
        <is>
          <t>P02</t>
        </is>
      </c>
      <c r="C429" t="inlineStr">
        <is>
          <t>YX-SEC</t>
        </is>
      </c>
      <c r="D429" t="inlineStr">
        <is>
          <t>2</t>
        </is>
      </c>
      <c r="E429" s="5" t="inlineStr">
        <is>
          <t>No self-approval: requesters, role grantees and payroll preparers cannot approve their own items.</t>
        </is>
      </c>
      <c r="F429" t="inlineStr">
        <is>
          <t>Built + tested</t>
        </is>
      </c>
      <c r="H429">
        <f>IF(G429&lt;&gt;"",G429,F429)</f>
        <v/>
      </c>
      <c r="I429" t="n">
        <v>11</v>
      </c>
      <c r="J429" t="n">
        <v>7</v>
      </c>
      <c r="K429" t="n">
        <v>6</v>
      </c>
      <c r="L429" s="5" t="inlineStr">
        <is>
          <t>exam-app-org:apps/api/prisma/migrations/20261010000000_access_privacy/migration.sql
exam-app-org:apps/api/prisma/seed-access.ts
exam-app-org:apps/api/prisma/seed-employees.ts</t>
        </is>
      </c>
      <c r="M429" s="5" t="n"/>
    </row>
    <row r="430">
      <c r="A430" t="inlineStr">
        <is>
          <t>YX-SEC-12</t>
        </is>
      </c>
      <c r="B430" t="inlineStr">
        <is>
          <t>P02</t>
        </is>
      </c>
      <c r="C430" t="inlineStr">
        <is>
          <t>YX-SEC</t>
        </is>
      </c>
      <c r="D430" t="inlineStr">
        <is>
          <t>2</t>
        </is>
      </c>
      <c r="E430" s="5" t="inlineStr">
        <is>
          <t>Payroll run, bank file and statutory payment need maker ≠ checker whenever ≥ 2 users can approve for that legal entity; with a single eligible user, self-approval requires a reason and notifies the System Admin / owner (Q6).</t>
        </is>
      </c>
      <c r="F430" t="inlineStr">
        <is>
          <t>Verify (step done, not linked)</t>
        </is>
      </c>
      <c r="H430">
        <f>IF(G430&lt;&gt;"",G430,F430)</f>
        <v/>
      </c>
      <c r="I430" t="n">
        <v>0</v>
      </c>
      <c r="J430" t="n">
        <v>0</v>
      </c>
      <c r="K430" t="n">
        <v>2</v>
      </c>
      <c r="L430" s="5" t="inlineStr"/>
      <c r="M430" s="5" t="n"/>
    </row>
    <row r="431">
      <c r="A431" t="inlineStr">
        <is>
          <t>YX-SEC-13</t>
        </is>
      </c>
      <c r="B431" t="inlineStr">
        <is>
          <t>P02</t>
        </is>
      </c>
      <c r="C431" t="inlineStr">
        <is>
          <t>YX-SEC</t>
        </is>
      </c>
      <c r="D431" t="inlineStr">
        <is>
          <t>2</t>
        </is>
      </c>
      <c r="E431" s="5" t="inlineStr">
        <is>
          <t>Changes to bank account, PAN and statutory identity fields require approval and trigger a notification to the employee's previous contact.</t>
        </is>
      </c>
      <c r="F431" t="inlineStr">
        <is>
          <t>Built + tested</t>
        </is>
      </c>
      <c r="H431">
        <f>IF(G431&lt;&gt;"",G431,F431)</f>
        <v/>
      </c>
      <c r="I431" t="n">
        <v>4</v>
      </c>
      <c r="J431" t="n">
        <v>1</v>
      </c>
      <c r="K431" t="n">
        <v>0</v>
      </c>
      <c r="L431" s="5" t="inlineStr">
        <is>
          <t>exam-app-org:apps/api/prisma/migrations/20261010000000_access_privacy/migration.sql
exam-app-org:apps/api/prisma/migrations/20261011000000_review_hardening/migration.sql
exam-app-org:apps/api/prisma/schema.prisma</t>
        </is>
      </c>
      <c r="M431" s="5" t="n"/>
    </row>
    <row r="432">
      <c r="A432" t="inlineStr">
        <is>
          <t>YX-SEC-14</t>
        </is>
      </c>
      <c r="B432" t="inlineStr">
        <is>
          <t>P02</t>
        </is>
      </c>
      <c r="C432" t="inlineStr">
        <is>
          <t>YX-SEC</t>
        </is>
      </c>
      <c r="D432" t="inlineStr">
        <is>
          <t>2</t>
        </is>
      </c>
      <c r="E432" s="5" t="inlineStr">
        <is>
          <t>Breakdowns of Confidential/Special data with fewer than the tenant threshold (default 5, range 3–10) people are suppressed in analytics and exports for viewers who lack individual-level access to that data (refined by P09 Q2).</t>
        </is>
      </c>
      <c r="F432" t="inlineStr">
        <is>
          <t>Verify (step done, not linked)</t>
        </is>
      </c>
      <c r="H432">
        <f>IF(G432&lt;&gt;"",G432,F432)</f>
        <v/>
      </c>
      <c r="I432" t="n">
        <v>0</v>
      </c>
      <c r="J432" t="n">
        <v>0</v>
      </c>
      <c r="K432" t="n">
        <v>0</v>
      </c>
      <c r="L432" s="5" t="inlineStr"/>
      <c r="M432" s="5" t="n"/>
    </row>
    <row r="433">
      <c r="A433" t="inlineStr">
        <is>
          <t>YX-SEC-15</t>
        </is>
      </c>
      <c r="B433" t="inlineStr">
        <is>
          <t>P02</t>
        </is>
      </c>
      <c r="C433" t="inlineStr">
        <is>
          <t>YX-SEC</t>
        </is>
      </c>
      <c r="D433" t="inlineStr">
        <is>
          <t>2</t>
        </is>
      </c>
      <c r="E433" s="5" t="inlineStr">
        <is>
          <t>Auditor and support-access grants are time-boxed and expire automatically.</t>
        </is>
      </c>
      <c r="F433" t="inlineStr">
        <is>
          <t>Built + tested</t>
        </is>
      </c>
      <c r="H433">
        <f>IF(G433&lt;&gt;"",G433,F433)</f>
        <v/>
      </c>
      <c r="I433" t="n">
        <v>3</v>
      </c>
      <c r="J433" t="n">
        <v>1</v>
      </c>
      <c r="K433" t="n">
        <v>0</v>
      </c>
      <c r="L433" s="5" t="inlineStr">
        <is>
          <t>exam-app-org:apps/api/prisma/migrations/20261011000000_review_hardening/migration.sql
exam-app-org:apps/api/prisma/seed.ts
exam-app-org:apps/api/src/access/role-templates.ts</t>
        </is>
      </c>
      <c r="M433" s="5" t="n"/>
    </row>
    <row r="434">
      <c r="A434" t="inlineStr">
        <is>
          <t>YX-SEC-16</t>
        </is>
      </c>
      <c r="B434" t="inlineStr">
        <is>
          <t>P02</t>
        </is>
      </c>
      <c r="C434" t="inlineStr">
        <is>
          <t>YX-SEC</t>
        </is>
      </c>
      <c r="D434" t="inlineStr">
        <is>
          <t>2</t>
        </is>
      </c>
      <c r="E434" s="5" t="inlineStr">
        <is>
          <t>Employee-facing reports (e.g. PF/ESI/tax registers) are never visible to employees beyond their own rows. This avoids Frappe's "employees can see everyone's tax/PF" defect (gap summary).</t>
        </is>
      </c>
      <c r="F434" t="inlineStr">
        <is>
          <t>Verify (step done, not linked)</t>
        </is>
      </c>
      <c r="H434">
        <f>IF(G434&lt;&gt;"",G434,F434)</f>
        <v/>
      </c>
      <c r="I434" t="n">
        <v>0</v>
      </c>
      <c r="J434" t="n">
        <v>0</v>
      </c>
      <c r="K434" t="n">
        <v>0</v>
      </c>
      <c r="L434" s="5" t="inlineStr"/>
      <c r="M434" s="5" t="n"/>
    </row>
    <row r="435">
      <c r="A435" t="inlineStr">
        <is>
          <t>YX-SEC-17</t>
        </is>
      </c>
      <c r="B435" t="inlineStr">
        <is>
          <t>P02</t>
        </is>
      </c>
      <c r="C435" t="inlineStr">
        <is>
          <t>YX-SEC</t>
        </is>
      </c>
      <c r="D435" t="inlineStr">
        <is>
          <t>2</t>
        </is>
      </c>
      <c r="E435" s="5" t="inlineStr">
        <is>
          <t>The colleague directory shows only fields the tenant enabled, chosen from Public, Internal and allow-listed Personal fields; Confidential and Special fields are never selectable. Employee-level hide choices override the tenant setting for Personal fields.</t>
        </is>
      </c>
      <c r="F435" t="inlineStr">
        <is>
          <t>Built + tested</t>
        </is>
      </c>
      <c r="H435">
        <f>IF(G435&lt;&gt;"",G435,F435)</f>
        <v/>
      </c>
      <c r="I435" t="n">
        <v>2</v>
      </c>
      <c r="J435" t="n">
        <v>2</v>
      </c>
      <c r="K435" t="n">
        <v>1</v>
      </c>
      <c r="L435" s="5" t="inlineStr">
        <is>
          <t>exam-app-org:apps/api/prisma/migrations/20261010000000_access_privacy/migration.sql
exam-app-org:apps/api/src/people/people.service.ts
exam-app-org:apps/api/test/people-core.e2e-spec.ts</t>
        </is>
      </c>
      <c r="M435" s="5" t="n"/>
    </row>
    <row r="436">
      <c r="A436" t="inlineStr">
        <is>
          <t>YX-SEC-18</t>
        </is>
      </c>
      <c r="B436" t="inlineStr">
        <is>
          <t>P02</t>
        </is>
      </c>
      <c r="C436" t="inlineStr">
        <is>
          <t>YX-SEC</t>
        </is>
      </c>
      <c r="D436" t="inlineStr">
        <is>
          <t>2</t>
        </is>
      </c>
      <c r="E436" s="5" t="inlineStr">
        <is>
          <t>Creating or editing a role runs a risk check: (a) Confidential/Special access over more than a threshold of people, (b) conflicting duties (prepare + approve), (c) approval coverage gaps, (d) removing the last holder of a critical permission. Warnings are shown with the effective-access preview; saving past them requires confirmation, is audited and notifies other admins. Hard limits (restricted areas, self-approval, Aadhaar audit, directory limits) are not grantable.</t>
        </is>
      </c>
      <c r="F436" t="inlineStr">
        <is>
          <t>Built + tested</t>
        </is>
      </c>
      <c r="H436">
        <f>IF(G436&lt;&gt;"",G436,F436)</f>
        <v/>
      </c>
      <c r="I436" t="n">
        <v>4</v>
      </c>
      <c r="J436" t="n">
        <v>2</v>
      </c>
      <c r="K436" t="n">
        <v>1</v>
      </c>
      <c r="L436" s="5" t="inlineStr">
        <is>
          <t>exam-app-org:apps/api/src/access/access.service.ts
exam-app-org:apps/api/src/access/dto.ts
exam-app-org:apps/api/src/org-structure/settings-registry.ts</t>
        </is>
      </c>
      <c r="M436" s="5" t="n"/>
    </row>
    <row r="437">
      <c r="A437" t="inlineStr">
        <is>
          <t>YX-SEC-19</t>
        </is>
      </c>
      <c r="B437" t="inlineStr">
        <is>
          <t>P02</t>
        </is>
      </c>
      <c r="C437" t="inlineStr">
        <is>
          <t>YX-SEC</t>
        </is>
      </c>
      <c r="D437" t="inlineStr">
        <is>
          <t>2</t>
        </is>
      </c>
      <c r="E437" s="5" t="inlineStr">
        <is>
          <t>A tenant's region is fixed at sign-up (India default for Indian tenants). Database, files, backups and search indexes for that tenant live in that region; cross-region transfer only to listed sub-processors, with the minimum data needed. Amended 28 Sep 2026 (G9 + S16): the region is held per legal entity (data_region, P01 YX-ORG-30); the sign-up region is the tenant's home region; see YX-SEC-37 / 38.</t>
        </is>
      </c>
      <c r="F437" t="inlineStr">
        <is>
          <t>Verify (step done, not linked)</t>
        </is>
      </c>
      <c r="H437">
        <f>IF(G437&lt;&gt;"",G437,F437)</f>
        <v/>
      </c>
      <c r="I437" t="n">
        <v>0</v>
      </c>
      <c r="J437" t="n">
        <v>0</v>
      </c>
      <c r="K437" t="n">
        <v>0</v>
      </c>
      <c r="L437" s="5" t="inlineStr"/>
      <c r="M437" s="5" t="n"/>
    </row>
    <row r="438">
      <c r="A438" t="inlineStr">
        <is>
          <t>YX-SEC-20</t>
        </is>
      </c>
      <c r="B438" t="inlineStr">
        <is>
          <t>P02</t>
        </is>
      </c>
      <c r="C438" t="inlineStr">
        <is>
          <t>YX-SEC</t>
        </is>
      </c>
      <c r="D438" t="inlineStr">
        <is>
          <t>2</t>
        </is>
      </c>
      <c r="E438" s="5" t="inlineStr">
        <is>
          <t>YukthiX staff access to tenant data requires a tenant-admin approval per session: fixed window (default 24 h, max 72 h), declared reason, scope excluding restricted areas, Confidential/Special masked by default; the session is audited action by action and listed for tenant admins; access ends automatically.</t>
        </is>
      </c>
      <c r="F438" t="inlineStr">
        <is>
          <t>Built + tested</t>
        </is>
      </c>
      <c r="H438">
        <f>IF(G438&lt;&gt;"",G438,F438)</f>
        <v/>
      </c>
      <c r="I438" t="n">
        <v>3</v>
      </c>
      <c r="J438" t="n">
        <v>1</v>
      </c>
      <c r="K438" t="n">
        <v>2</v>
      </c>
      <c r="L438" s="5" t="inlineStr">
        <is>
          <t>exam-app-org:apps/api/src/access/scope.ts
exam-app-org:apps/api/src/employee-history/employee-history.service.spec.ts
exam-app-org:apps/api/src/org-structure/org-structure.controller.ts</t>
        </is>
      </c>
      <c r="M438" s="5" t="n"/>
    </row>
    <row r="439">
      <c r="A439" t="inlineStr">
        <is>
          <t>YX-SEC-21</t>
        </is>
      </c>
      <c r="B439" t="inlineStr">
        <is>
          <t>P02</t>
        </is>
      </c>
      <c r="C439" t="inlineStr">
        <is>
          <t>YX-SEC</t>
        </is>
      </c>
      <c r="D439" t="inlineStr">
        <is>
          <t>2</t>
        </is>
      </c>
      <c r="E439" s="5" t="inlineStr">
        <is>
          <t>External / limited logins (§4.7) use OTP identity, are scoped to named records only, are not billed seats, expire automatically and are audited; they can never hold scope-wide or Confidential-class grants beyond their own records or appointed cases. Exception: partner users (P16) are catalogued in §4.7 but scoped by a client-approved partner grant under YX-PTR-03, never named records only; Special data stays excluded.</t>
        </is>
      </c>
      <c r="F439" t="inlineStr">
        <is>
          <t>Verify (step done, not linked)</t>
        </is>
      </c>
      <c r="H439">
        <f>IF(G439&lt;&gt;"",G439,F439)</f>
        <v/>
      </c>
      <c r="I439" t="n">
        <v>0</v>
      </c>
      <c r="J439" t="n">
        <v>0</v>
      </c>
      <c r="K439" t="n">
        <v>4</v>
      </c>
      <c r="L439" s="5" t="inlineStr"/>
      <c r="M439" s="5" t="n"/>
    </row>
    <row r="440">
      <c r="A440" t="inlineStr">
        <is>
          <t>YX-SEC-22</t>
        </is>
      </c>
      <c r="B440" t="inlineStr">
        <is>
          <t>P02</t>
        </is>
      </c>
      <c r="C440" t="inlineStr">
        <is>
          <t>YX-SEC</t>
        </is>
      </c>
      <c r="D440" t="inlineStr">
        <is>
          <t>2</t>
        </is>
      </c>
      <c r="E440" s="5" t="inlineStr">
        <is>
          <t>API keys are service grants with a scope and an explicit list of allowed field classes; a field class not listed is redacted in API responses; keys are expirable, revocable and audited per call.</t>
        </is>
      </c>
      <c r="F440" t="inlineStr">
        <is>
          <t>Verify (step done, not linked)</t>
        </is>
      </c>
      <c r="H440">
        <f>IF(G440&lt;&gt;"",G440,F440)</f>
        <v/>
      </c>
      <c r="I440" t="n">
        <v>0</v>
      </c>
      <c r="J440" t="n">
        <v>0</v>
      </c>
      <c r="K440" t="n">
        <v>0</v>
      </c>
      <c r="L440" s="5" t="inlineStr"/>
      <c r="M440" s="5" t="n"/>
    </row>
    <row r="441">
      <c r="A441" t="inlineStr">
        <is>
          <t>YX-SEC-23</t>
        </is>
      </c>
      <c r="B441" t="inlineStr">
        <is>
          <t>P02</t>
        </is>
      </c>
      <c r="C441" t="inlineStr">
        <is>
          <t>YX-SEC</t>
        </is>
      </c>
      <c r="D441" t="inlineStr">
        <is>
          <t>2</t>
        </is>
      </c>
      <c r="E441" s="5" t="inlineStr">
        <is>
          <t>YukthiX proctors reach tenant data only through a proctor-service grant: tenant opt-in once with the proctoring add-on; per slot, auto-expiring at slot end, limited to assigned sessions and to live view + evidence for those candidates; MFA and confidentiality terms mandatory; every view audited and visible to tenant admins. It is never a YX-SEC-20 support session and gives no other tenant access.</t>
        </is>
      </c>
      <c r="F441" t="inlineStr">
        <is>
          <t>Verify (step done, not linked)</t>
        </is>
      </c>
      <c r="H441">
        <f>IF(G441&lt;&gt;"",G441,F441)</f>
        <v/>
      </c>
      <c r="I441" t="n">
        <v>0</v>
      </c>
      <c r="J441" t="n">
        <v>0</v>
      </c>
      <c r="K441" t="n">
        <v>0</v>
      </c>
      <c r="L441" s="5" t="inlineStr"/>
      <c r="M441" s="5" t="n"/>
    </row>
    <row r="442">
      <c r="A442" t="inlineStr">
        <is>
          <t>YX-SEC-24</t>
        </is>
      </c>
      <c r="B442" t="inlineStr">
        <is>
          <t>P02</t>
        </is>
      </c>
      <c r="C442" t="inlineStr">
        <is>
          <t>YX-SEC</t>
        </is>
      </c>
      <c r="D442" t="inlineStr">
        <is>
          <t>2</t>
        </is>
      </c>
      <c r="E442" s="5" t="inlineStr">
        <is>
          <t>Exception to YX-SEC-06: when a manager changes during an open review cycle, the new manager may read the current cycle's review, goals, check-ins and PIP of their new reports for the whole cycle period; the previous manager's private 1-on-1 notes stay excluded.</t>
        </is>
      </c>
      <c r="F442" t="inlineStr">
        <is>
          <t>Verify (step done, not linked)</t>
        </is>
      </c>
      <c r="H442">
        <f>IF(G442&lt;&gt;"",G442,F442)</f>
        <v/>
      </c>
      <c r="I442" t="n">
        <v>0</v>
      </c>
      <c r="J442" t="n">
        <v>0</v>
      </c>
      <c r="K442" t="n">
        <v>0</v>
      </c>
      <c r="L442" s="5" t="inlineStr"/>
      <c r="M442" s="5" t="n"/>
    </row>
    <row r="443">
      <c r="A443" t="inlineStr">
        <is>
          <t>YX-SEC-25</t>
        </is>
      </c>
      <c r="B443" t="inlineStr">
        <is>
          <t>P02</t>
        </is>
      </c>
      <c r="C443" t="inlineStr">
        <is>
          <t>YX-SEC</t>
        </is>
      </c>
      <c r="D443" t="inlineStr">
        <is>
          <t>2</t>
        </is>
      </c>
      <c r="E443" s="5" t="inlineStr">
        <is>
          <t>Exception to the §4.5 cooling period: after a returned salary payment, a bank-account correction approved by a checker (≠ maker) and verified by a successful penny drop takes effect without the cooling period; the employee and the old contact are still notified.</t>
        </is>
      </c>
      <c r="F443" t="inlineStr">
        <is>
          <t>Verify (step done, not linked)</t>
        </is>
      </c>
      <c r="H443">
        <f>IF(G443&lt;&gt;"",G443,F443)</f>
        <v/>
      </c>
      <c r="I443" t="n">
        <v>0</v>
      </c>
      <c r="J443" t="n">
        <v>0</v>
      </c>
      <c r="K443" t="n">
        <v>0</v>
      </c>
      <c r="L443" s="5" t="inlineStr"/>
      <c r="M443" s="5" t="n"/>
    </row>
    <row r="444">
      <c r="A444" t="inlineStr">
        <is>
          <t>YX-SEC-26</t>
        </is>
      </c>
      <c r="B444" t="inlineStr">
        <is>
          <t>P02</t>
        </is>
      </c>
      <c r="C444" t="inlineStr">
        <is>
          <t>YX-SEC</t>
        </is>
      </c>
      <c r="D444" t="inlineStr">
        <is>
          <t>2</t>
        </is>
      </c>
      <c r="E444" s="5" t="inlineStr">
        <is>
          <t>Employees taking training / skills tests or certifications see only their own attempts and results; evaluators and L&amp;D see attempts within their P02 scope; test results are Confidential.</t>
        </is>
      </c>
      <c r="F444" t="inlineStr">
        <is>
          <t>Verify (step done, not linked)</t>
        </is>
      </c>
      <c r="H444">
        <f>IF(G444&lt;&gt;"",G444,F444)</f>
        <v/>
      </c>
      <c r="I444" t="n">
        <v>0</v>
      </c>
      <c r="J444" t="n">
        <v>0</v>
      </c>
      <c r="K444" t="n">
        <v>0</v>
      </c>
      <c r="L444" s="5" t="inlineStr"/>
      <c r="M444" s="5" t="n"/>
    </row>
    <row r="445">
      <c r="A445" t="inlineStr">
        <is>
          <t>YX-SEC-27</t>
        </is>
      </c>
      <c r="B445" t="inlineStr">
        <is>
          <t>P02</t>
        </is>
      </c>
      <c r="C445" t="inlineStr">
        <is>
          <t>YX-SEC</t>
        </is>
      </c>
      <c r="D445" t="inlineStr">
        <is>
          <t>2</t>
        </is>
      </c>
      <c r="E445" s="5" t="inlineStr">
        <is>
          <t>request.raise_on_behalf lets HR (entity / tenant scope) or managers (team scope) raise requests for an employee in scope; the company chooses which roles hold it and for which request types. The self-approval bar (YX-SEC-11) covers both the subject and the proxy who raised the request.</t>
        </is>
      </c>
      <c r="F445" t="inlineStr">
        <is>
          <t>Built + tested</t>
        </is>
      </c>
      <c r="H445">
        <f>IF(G445&lt;&gt;"",G445,F445)</f>
        <v/>
      </c>
      <c r="I445" t="n">
        <v>4</v>
      </c>
      <c r="J445" t="n">
        <v>2</v>
      </c>
      <c r="K445" t="n">
        <v>3</v>
      </c>
      <c r="L445" s="5" t="inlineStr">
        <is>
          <t>exam-app-org:apps/api/prisma/seed-org-structure.ts
exam-app-org:apps/api/prisma/seed.ts
exam-app-org:apps/api/src/employee-history/employee-history.controller.ts</t>
        </is>
      </c>
      <c r="M445" s="5" t="n"/>
    </row>
    <row r="446">
      <c r="A446" t="inlineStr">
        <is>
          <t>YX-SEC-28</t>
        </is>
      </c>
      <c r="B446" t="inlineStr">
        <is>
          <t>P02</t>
        </is>
      </c>
      <c r="C446" t="inlineStr">
        <is>
          <t>YX-SEC</t>
        </is>
      </c>
      <c r="D446" t="inlineStr">
        <is>
          <t>2</t>
        </is>
      </c>
      <c r="E446" s="5" t="inlineStr">
        <is>
          <t>Legal documents (terms, DPA, privacy notices, consent texts; catalogue in APX-G) are versioned per locale in legal_documents, and every acceptance, acknowledgement, consent, withdrawal and opt-out is an append-only row in legal_acceptances (who, which version, when, where, IP / device, OTP channel), written to the audit log (P08); tables in APX-G §3. A material change to terms or a privacy notice requires re-acceptance (re-acknowledgement for notices) before continued use; non-material changes show a banner. Tenant versions of notice templates are published by holders of privacy.notice.publish</t>
        </is>
      </c>
      <c r="F446" t="inlineStr">
        <is>
          <t>Verify (step done, not linked)</t>
        </is>
      </c>
      <c r="H446">
        <f>IF(G446&lt;&gt;"",G446,F446)</f>
        <v/>
      </c>
      <c r="I446" t="n">
        <v>0</v>
      </c>
      <c r="J446" t="n">
        <v>0</v>
      </c>
      <c r="K446" t="n">
        <v>0</v>
      </c>
      <c r="L446" s="5" t="inlineStr"/>
      <c r="M446" s="5" t="n"/>
    </row>
    <row r="447">
      <c r="A447" t="inlineStr">
        <is>
          <t>YX-SEC-29</t>
        </is>
      </c>
      <c r="B447" t="inlineStr">
        <is>
          <t>P02</t>
        </is>
      </c>
      <c r="C447" t="inlineStr">
        <is>
          <t>YX-SEC</t>
        </is>
      </c>
      <c r="D447" t="inlineStr">
        <is>
          <t>2</t>
        </is>
      </c>
      <c r="E447" s="5" t="inlineStr">
        <is>
          <t>Privacy officer (B12): every tenant names a privacy officer (DPO / grievance officer) with a public contact before the first privacy notice is published; the contact is printed in every published notice and the G-23 page; a notice cannot be published without it.</t>
        </is>
      </c>
      <c r="F447" t="inlineStr">
        <is>
          <t>Verify (step done, not linked)</t>
        </is>
      </c>
      <c r="H447">
        <f>IF(G447&lt;&gt;"",G447,F447)</f>
        <v/>
      </c>
      <c r="I447" t="n">
        <v>0</v>
      </c>
      <c r="J447" t="n">
        <v>0</v>
      </c>
      <c r="K447" t="n">
        <v>0</v>
      </c>
      <c r="L447" s="5" t="inlineStr"/>
      <c r="M447" s="5" t="n"/>
    </row>
    <row r="448">
      <c r="A448" t="inlineStr">
        <is>
          <t>YX-SEC-30</t>
        </is>
      </c>
      <c r="B448" t="inlineStr">
        <is>
          <t>P02</t>
        </is>
      </c>
      <c r="C448" t="inlineStr">
        <is>
          <t>YX-SEC</t>
        </is>
      </c>
      <c r="D448" t="inlineStr">
        <is>
          <t>2</t>
        </is>
      </c>
      <c r="E448" s="5" t="inlineStr">
        <is>
          <t>Data-subject requests (B12): every access, correction, erasure, nomination, consent-withdrawal and grievance request is a privacy_requests row with verified identity, an SLA due date no later than the legal maximum for the jurisdiction (company may set shorter), reminders and escalation before breach, and an audited closure; erasure deletes or anonymises everything not under a legal retention or hold and states in the response what was kept and why. Amended 28 Sep 2026 (J15): a request is raised against the person (P01 persons), not one record, and runs across every role table linked to that p</t>
        </is>
      </c>
      <c r="F448" t="inlineStr">
        <is>
          <t>Verify (step done, not linked)</t>
        </is>
      </c>
      <c r="H448">
        <f>IF(G448&lt;&gt;"",G448,F448)</f>
        <v/>
      </c>
      <c r="I448" t="n">
        <v>0</v>
      </c>
      <c r="J448" t="n">
        <v>0</v>
      </c>
      <c r="K448" t="n">
        <v>0</v>
      </c>
      <c r="L448" s="5" t="inlineStr"/>
      <c r="M448" s="5" t="n"/>
    </row>
    <row r="449">
      <c r="A449" t="inlineStr">
        <is>
          <t>YX-SEC-31</t>
        </is>
      </c>
      <c r="B449" t="inlineStr">
        <is>
          <t>P02</t>
        </is>
      </c>
      <c r="C449" t="inlineStr">
        <is>
          <t>YX-SEC</t>
        </is>
      </c>
      <c r="D449" t="inlineStr">
        <is>
          <t>2</t>
        </is>
      </c>
      <c r="E449" s="5" t="inlineStr">
        <is>
          <t>Registers &amp; retention (B12): the DPIA register, record of processing and master retention schedule cover every enabled module and data class; enabling a feature with a starter DPIA prompts for it; retention values stay within the legal minimum and the allowed range, and the tenant-visible schedule and public G-13 page are regenerated on every change.</t>
        </is>
      </c>
      <c r="F449" t="inlineStr">
        <is>
          <t>Verify (step done, not linked)</t>
        </is>
      </c>
      <c r="H449">
        <f>IF(G449&lt;&gt;"",G449,F449)</f>
        <v/>
      </c>
      <c r="I449" t="n">
        <v>0</v>
      </c>
      <c r="J449" t="n">
        <v>0</v>
      </c>
      <c r="K449" t="n">
        <v>0</v>
      </c>
      <c r="L449" s="5" t="inlineStr"/>
      <c r="M449" s="5" t="n"/>
    </row>
    <row r="450">
      <c r="A450" t="inlineStr">
        <is>
          <t>YX-SEC-32</t>
        </is>
      </c>
      <c r="B450" t="inlineStr">
        <is>
          <t>P02</t>
        </is>
      </c>
      <c r="C450" t="inlineStr">
        <is>
          <t>YX-SEC</t>
        </is>
      </c>
      <c r="D450" t="inlineStr">
        <is>
          <t>2</t>
        </is>
      </c>
      <c r="E450" s="5" t="inlineStr">
        <is>
          <t>Breaches (B12; C3): a company breach record starts the notification clocks with tasks and reminders: under the DPDP Rules 2025, intimation to the Data Protection Board and to each affected Data Principal without delay, then a detailed report to the Board within 72 hours of becoming aware; under GDPR, 72 h to the supervisory authority (and individuals where required) where applicable; a YukthiX incident in the P12 register affecting the tenant automatically creates a linked tenant breach record. Consent withdrawals received from any source, including a future DPDP consent manager, stop the link</t>
        </is>
      </c>
      <c r="F450" t="inlineStr">
        <is>
          <t>Verify (step done, not linked)</t>
        </is>
      </c>
      <c r="H450">
        <f>IF(G450&lt;&gt;"",G450,F450)</f>
        <v/>
      </c>
      <c r="I450" t="n">
        <v>0</v>
      </c>
      <c r="J450" t="n">
        <v>0</v>
      </c>
      <c r="K450" t="n">
        <v>0</v>
      </c>
      <c r="L450" s="5" t="inlineStr"/>
      <c r="M450" s="5" t="n"/>
    </row>
    <row r="451">
      <c r="A451" t="inlineStr">
        <is>
          <t>YX-SEC-33</t>
        </is>
      </c>
      <c r="B451" t="inlineStr">
        <is>
          <t>P02</t>
        </is>
      </c>
      <c r="C451" t="inlineStr">
        <is>
          <t>YX-SEC</t>
        </is>
      </c>
      <c r="D451" t="inlineStr">
        <is>
          <t>2</t>
        </is>
      </c>
      <c r="E451" s="5" t="inlineStr">
        <is>
          <t>External logins catalogue (gap-register tidy-up). Every non-employee sign-in uses a catalogued §4.7 template with a defined sign-in method, P12 assurance level, session limit, reachable data classes, portal and end trigger; a new external persona needs a catalogue row before release. Templates reaching other people's Special data (POSH IC external member, audit-committee chair, invigilator) require AAL2; all others are AAL1 with step-up for financial or identity changes. LTI guest learners have no standing login (session = launch). Contract workers and visitors have no login.</t>
        </is>
      </c>
      <c r="F451" t="inlineStr">
        <is>
          <t>Verify (step done, not linked)</t>
        </is>
      </c>
      <c r="H451">
        <f>IF(G451&lt;&gt;"",G451,F451)</f>
        <v/>
      </c>
      <c r="I451" t="n">
        <v>0</v>
      </c>
      <c r="J451" t="n">
        <v>0</v>
      </c>
      <c r="K451" t="n">
        <v>0</v>
      </c>
      <c r="L451" s="5" t="inlineStr"/>
      <c r="M451" s="5" t="n"/>
    </row>
    <row r="452">
      <c r="A452" t="inlineStr">
        <is>
          <t>YX-SEC-34</t>
        </is>
      </c>
      <c r="B452" t="inlineStr">
        <is>
          <t>P02</t>
        </is>
      </c>
      <c r="C452" t="inlineStr">
        <is>
          <t>YX-SEC</t>
        </is>
      </c>
      <c r="D452" t="inlineStr">
        <is>
          <t>2</t>
        </is>
      </c>
      <c r="E452" s="5" t="inlineStr">
        <is>
          <t>DPDP Rules 2025 readiness (C3). The Rules (notified 13–14 Nov 2025) phase in: Data Protection Board provisions immediately; consent-manager registration from Nov 2026 (12 months); the main obligations (notice, consent, security safeguards, breach intimation, retention / erasure, rights, children's data, significant data fiduciary duties) from 13 May 2027 (18 months). Every one of these is live in YukthiX before 13 May 2027, and the consent-manager adapter (§6.1) is ready by Nov 2026. The milestones are dated rule data (P07), so each duty shows the date it applies from. Significant-data-fiducia</t>
        </is>
      </c>
      <c r="F452" t="inlineStr">
        <is>
          <t>Verify (step done, not linked)</t>
        </is>
      </c>
      <c r="H452">
        <f>IF(G452&lt;&gt;"",G452,F452)</f>
        <v/>
      </c>
      <c r="I452" t="n">
        <v>0</v>
      </c>
      <c r="J452" t="n">
        <v>0</v>
      </c>
      <c r="K452" t="n">
        <v>0</v>
      </c>
      <c r="L452" s="5" t="inlineStr"/>
      <c r="M452" s="5" t="n"/>
    </row>
    <row r="453">
      <c r="A453" t="inlineStr">
        <is>
          <t>YX-SEC-35</t>
        </is>
      </c>
      <c r="B453" t="inlineStr">
        <is>
          <t>P02</t>
        </is>
      </c>
      <c r="C453" t="inlineStr">
        <is>
          <t>YX-SEC</t>
        </is>
      </c>
      <c r="D453" t="inlineStr">
        <is>
          <t>2</t>
        </is>
      </c>
      <c r="E453" s="5" t="inlineStr">
        <is>
          <t>DPDP notice, logs and erasure (C3). Privacy notices are itemised per purpose in plain language in the Rules' schedule format (data items, purpose, how to withdraw consent, how to exercise rights, how to complain to the Board); processing logs and traffic data are kept at least 1 year under the security-safeguards rule, longer where another law requires (P12 YX-SECOPS-07); personal data is erased when its purpose is served unless a legal retention or hold applies, and in inactive-user cases where the Rules' retention schedule applies a 48-hour prior intimation is sent before erasure (*verify ap</t>
        </is>
      </c>
      <c r="F453" t="inlineStr">
        <is>
          <t>Verify (step done, not linked)</t>
        </is>
      </c>
      <c r="H453">
        <f>IF(G453&lt;&gt;"",G453,F453)</f>
        <v/>
      </c>
      <c r="I453" t="n">
        <v>0</v>
      </c>
      <c r="J453" t="n">
        <v>0</v>
      </c>
      <c r="K453" t="n">
        <v>0</v>
      </c>
      <c r="L453" s="5" t="inlineStr"/>
      <c r="M453" s="5" t="n"/>
    </row>
    <row r="454">
      <c r="A454" t="inlineStr">
        <is>
          <t>YX-SEC-36</t>
        </is>
      </c>
      <c r="B454" t="inlineStr">
        <is>
          <t>P02</t>
        </is>
      </c>
      <c r="C454" t="inlineStr">
        <is>
          <t>YX-SEC</t>
        </is>
      </c>
      <c r="D454" t="inlineStr">
        <is>
          <t>2</t>
        </is>
      </c>
      <c r="E454" s="5" t="inlineStr">
        <is>
          <t>Per-person DSAR and consent (J15). Identity is verified once for the person; an access export covers every linked role (candidate, test-taker, campus registrant, employee, alumnus, nominee, consultant, contract worker, vendor worker, external login) and lists the roles found; a correction of shared data (name, contact) is applied to every role and logged per role, while role-owned data is corrected in that role's record; erasure is decided role by role against that role's legal retention (e.g. payroll and statutory records for employment, CLRA / OSH registers for contract work, the candidate r</t>
        </is>
      </c>
      <c r="F454" t="inlineStr">
        <is>
          <t>Verify (step done, not linked)</t>
        </is>
      </c>
      <c r="H454">
        <f>IF(G454&lt;&gt;"",G454,F454)</f>
        <v/>
      </c>
      <c r="I454" t="n">
        <v>0</v>
      </c>
      <c r="J454" t="n">
        <v>0</v>
      </c>
      <c r="K454" t="n">
        <v>0</v>
      </c>
      <c r="L454" s="5" t="inlineStr"/>
      <c r="M454" s="5" t="n"/>
    </row>
    <row r="455">
      <c r="A455" t="inlineStr">
        <is>
          <t>YX-SEC-37</t>
        </is>
      </c>
      <c r="B455" t="inlineStr">
        <is>
          <t>P02</t>
        </is>
      </c>
      <c r="C455" t="inlineStr">
        <is>
          <t>YX-SEC</t>
        </is>
      </c>
      <c r="D455" t="inlineStr">
        <is>
          <t>2</t>
        </is>
      </c>
      <c r="E455" s="5" t="inlineStr">
        <is>
          <t>Residency per region (G9 + S16). Each legal entity's people data (records, files, backups, search indexes, analytics snapshots, AI processing) stays in its data region; UAE and KSA entities are hosted in-country including DR. In a multi-region tenant only the directory card (Public and Internal fields) may be copied to the home region; Personal, Confidential and Special data are read from the entity's region at request time by users whose grants cover that entity, and Special data never leaves its region. Cross-region reports return in-region aggregates with YX-SEC-14 suppression. Every cross-</t>
        </is>
      </c>
      <c r="F455" t="inlineStr">
        <is>
          <t>Verify (step done, not linked)</t>
        </is>
      </c>
      <c r="H455">
        <f>IF(G455&lt;&gt;"",G455,F455)</f>
        <v/>
      </c>
      <c r="I455" t="n">
        <v>0</v>
      </c>
      <c r="J455" t="n">
        <v>0</v>
      </c>
      <c r="K455" t="n">
        <v>0</v>
      </c>
      <c r="L455" s="5" t="inlineStr"/>
      <c r="M455" s="5" t="n"/>
    </row>
    <row r="456">
      <c r="A456" t="inlineStr">
        <is>
          <t>YX-SEC-38</t>
        </is>
      </c>
      <c r="B456" t="inlineStr">
        <is>
          <t>P02</t>
        </is>
      </c>
      <c r="C456" t="inlineStr">
        <is>
          <t>YX-SEC</t>
        </is>
      </c>
      <c r="D456" t="inlineStr">
        <is>
          <t>2</t>
        </is>
      </c>
      <c r="E456" s="5" t="inlineStr">
        <is>
          <t>Region move privacy (G9 + S16). A tenant or entity region move (P21 YX-GLB-11) needs a System Admin request with a recorded legal basis and YukthiX approval; the tenant's DPA transfer annex and sub-processor notice are updated before copying; employee privacy notices are updated (and employees told where the notice or law requires) before cut-over; access during the move is limited to the migration service; source data is deleted after verification and the deletion certificate is given to the tenant; legal holds move with the data and are never dropped; a move out of an in-country region is re</t>
        </is>
      </c>
      <c r="F456" t="inlineStr">
        <is>
          <t>Tested, code not linked</t>
        </is>
      </c>
      <c r="H456">
        <f>IF(G456&lt;&gt;"",G456,F456)</f>
        <v/>
      </c>
      <c r="I456" t="n">
        <v>0</v>
      </c>
      <c r="J456" t="n">
        <v>2</v>
      </c>
      <c r="K456" t="n">
        <v>2</v>
      </c>
      <c r="L456" s="5" t="inlineStr">
        <is>
          <t>exam-app-org:packages/yx-ui/src/screens/platform-b/platform-b.test.tsx
exam-app-ws:packages/yx-ui/src/screens/platform-b/platform-b.test.tsx</t>
        </is>
      </c>
      <c r="M456" s="5" t="n"/>
    </row>
    <row r="457">
      <c r="A457" t="inlineStr">
        <is>
          <t>YX-WF-01</t>
        </is>
      </c>
      <c r="B457" t="inlineStr">
        <is>
          <t>P03</t>
        </is>
      </c>
      <c r="C457" t="inlineStr">
        <is>
          <t>YX-WF</t>
        </is>
      </c>
      <c r="D457" t="inlineStr">
        <is>
          <t>4</t>
        </is>
      </c>
      <c r="E457" s="5" t="inlineStr">
        <is>
          <t>Every request type has a default policy; a request can never be left without a route.</t>
        </is>
      </c>
      <c r="F457" t="inlineStr">
        <is>
          <t>UI prototype only</t>
        </is>
      </c>
      <c r="H457">
        <f>IF(G457&lt;&gt;"",G457,F457)</f>
        <v/>
      </c>
      <c r="I457" t="n">
        <v>0</v>
      </c>
      <c r="J457" t="n">
        <v>0</v>
      </c>
      <c r="K457" t="n">
        <v>2</v>
      </c>
      <c r="L457" s="5" t="inlineStr"/>
      <c r="M457" s="5" t="n"/>
    </row>
    <row r="458">
      <c r="A458" t="inlineStr">
        <is>
          <t>YX-WF-02</t>
        </is>
      </c>
      <c r="B458" t="inlineStr">
        <is>
          <t>P03</t>
        </is>
      </c>
      <c r="C458" t="inlineStr">
        <is>
          <t>YX-WF</t>
        </is>
      </c>
      <c r="D458" t="inlineStr">
        <is>
          <t>4</t>
        </is>
      </c>
      <c r="E458" s="5" t="inlineStr">
        <is>
          <t>Policy, steps and resolved approvers are snapshotted at submit; configuration edits affect only new requests.</t>
        </is>
      </c>
      <c r="F458" t="inlineStr">
        <is>
          <t>Not started</t>
        </is>
      </c>
      <c r="H458">
        <f>IF(G458&lt;&gt;"",G458,F458)</f>
        <v/>
      </c>
      <c r="I458" t="n">
        <v>0</v>
      </c>
      <c r="J458" t="n">
        <v>0</v>
      </c>
      <c r="K458" t="n">
        <v>0</v>
      </c>
      <c r="L458" s="5" t="inlineStr"/>
      <c r="M458" s="5" t="n"/>
    </row>
    <row r="459">
      <c r="A459" t="inlineStr">
        <is>
          <t>YX-WF-03</t>
        </is>
      </c>
      <c r="B459" t="inlineStr">
        <is>
          <t>P03</t>
        </is>
      </c>
      <c r="C459" t="inlineStr">
        <is>
          <t>YX-WF</t>
        </is>
      </c>
      <c r="D459" t="inlineStr">
        <is>
          <t>4</t>
        </is>
      </c>
      <c r="E459" s="5" t="inlineStr">
        <is>
          <t>Policies are evaluated in priority order on the frozen payload; the first match wins; the matched policy is recorded on the request.</t>
        </is>
      </c>
      <c r="F459" t="inlineStr">
        <is>
          <t>Not started</t>
        </is>
      </c>
      <c r="H459">
        <f>IF(G459&lt;&gt;"",G459,F459)</f>
        <v/>
      </c>
      <c r="I459" t="n">
        <v>0</v>
      </c>
      <c r="J459" t="n">
        <v>0</v>
      </c>
      <c r="K459" t="n">
        <v>0</v>
      </c>
      <c r="L459" s="5" t="inlineStr"/>
      <c r="M459" s="5" t="n"/>
    </row>
    <row r="460">
      <c r="A460" t="inlineStr">
        <is>
          <t>YX-WF-04</t>
        </is>
      </c>
      <c r="B460" t="inlineStr">
        <is>
          <t>P03</t>
        </is>
      </c>
      <c r="C460" t="inlineStr">
        <is>
          <t>YX-WF</t>
        </is>
      </c>
      <c r="D460" t="inlineStr">
        <is>
          <t>4</t>
        </is>
      </c>
      <c r="E460" s="5" t="inlineStr">
        <is>
          <t>A requester is never their own approver; if removal empties a step, the fallback resolver applies (P02 YX-SEC-11).</t>
        </is>
      </c>
      <c r="F460" t="inlineStr">
        <is>
          <t>Not started</t>
        </is>
      </c>
      <c r="H460">
        <f>IF(G460&lt;&gt;"",G460,F460)</f>
        <v/>
      </c>
      <c r="I460" t="n">
        <v>0</v>
      </c>
      <c r="J460" t="n">
        <v>0</v>
      </c>
      <c r="K460" t="n">
        <v>0</v>
      </c>
      <c r="L460" s="5" t="inlineStr"/>
      <c r="M460" s="5" t="n"/>
    </row>
    <row r="461">
      <c r="A461" t="inlineStr">
        <is>
          <t>YX-WF-05</t>
        </is>
      </c>
      <c r="B461" t="inlineStr">
        <is>
          <t>P03</t>
        </is>
      </c>
      <c r="C461" t="inlineStr">
        <is>
          <t>YX-WF</t>
        </is>
      </c>
      <c r="D461" t="inlineStr">
        <is>
          <t>4</t>
        </is>
      </c>
      <c r="E461" s="5" t="inlineStr">
        <is>
          <t>Maker ≠ checker request types (payroll run, bank file, statutory payment) follow P02 YX-SEC-12 including the single-user exception.</t>
        </is>
      </c>
      <c r="F461" t="inlineStr">
        <is>
          <t>Not started</t>
        </is>
      </c>
      <c r="H461">
        <f>IF(G461&lt;&gt;"",G461,F461)</f>
        <v/>
      </c>
      <c r="I461" t="n">
        <v>0</v>
      </c>
      <c r="J461" t="n">
        <v>0</v>
      </c>
      <c r="K461" t="n">
        <v>0</v>
      </c>
      <c r="L461" s="5" t="inlineStr"/>
      <c r="M461" s="5" t="n"/>
    </row>
    <row r="462">
      <c r="A462" t="inlineStr">
        <is>
          <t>YX-WF-06</t>
        </is>
      </c>
      <c r="B462" t="inlineStr">
        <is>
          <t>P03</t>
        </is>
      </c>
      <c r="C462" t="inlineStr">
        <is>
          <t>YX-WF</t>
        </is>
      </c>
      <c r="D462" t="inlineStr">
        <is>
          <t>4</t>
        </is>
      </c>
      <c r="E462" s="5" t="inlineStr">
        <is>
          <t>Inactive or departed approvers are re-resolved; their open tasks move to the new approver or fallback, with a timeline entry.</t>
        </is>
      </c>
      <c r="F462" t="inlineStr">
        <is>
          <t>Not started</t>
        </is>
      </c>
      <c r="H462">
        <f>IF(G462&lt;&gt;"",G462,F462)</f>
        <v/>
      </c>
      <c r="I462" t="n">
        <v>0</v>
      </c>
      <c r="J462" t="n">
        <v>0</v>
      </c>
      <c r="K462" t="n">
        <v>0</v>
      </c>
      <c r="L462" s="5" t="inlineStr"/>
      <c r="M462" s="5" t="n"/>
    </row>
    <row r="463">
      <c r="A463" t="inlineStr">
        <is>
          <t>YX-WF-07</t>
        </is>
      </c>
      <c r="B463" t="inlineStr">
        <is>
          <t>P03</t>
        </is>
      </c>
      <c r="C463" t="inlineStr">
        <is>
          <t>YX-WF</t>
        </is>
      </c>
      <c r="D463" t="inlineStr">
        <is>
          <t>4</t>
        </is>
      </c>
      <c r="E463" s="5" t="inlineStr">
        <is>
          <t>Delegation acts on behalf of the delegator, never chains, and the delegate's own P02 field restrictions still apply.</t>
        </is>
      </c>
      <c r="F463" t="inlineStr">
        <is>
          <t>UI prototype only</t>
        </is>
      </c>
      <c r="H463">
        <f>IF(G463&lt;&gt;"",G463,F463)</f>
        <v/>
      </c>
      <c r="I463" t="n">
        <v>0</v>
      </c>
      <c r="J463" t="n">
        <v>0</v>
      </c>
      <c r="K463" t="n">
        <v>2</v>
      </c>
      <c r="L463" s="5" t="inlineStr"/>
      <c r="M463" s="5" t="n"/>
    </row>
    <row r="464">
      <c r="A464" t="inlineStr">
        <is>
          <t>YX-WF-08</t>
        </is>
      </c>
      <c r="B464" t="inlineStr">
        <is>
          <t>P03</t>
        </is>
      </c>
      <c r="C464" t="inlineStr">
        <is>
          <t>YX-WF</t>
        </is>
      </c>
      <c r="D464" t="inlineStr">
        <is>
          <t>4</t>
        </is>
      </c>
      <c r="E464" s="5" t="inlineStr">
        <is>
          <t>Reject and send-back require a reason; approve-with-changes requires a reason per change and is allowed only when the request type permits it.</t>
        </is>
      </c>
      <c r="F464" t="inlineStr">
        <is>
          <t>Not started</t>
        </is>
      </c>
      <c r="H464">
        <f>IF(G464&lt;&gt;"",G464,F464)</f>
        <v/>
      </c>
      <c r="I464" t="n">
        <v>0</v>
      </c>
      <c r="J464" t="n">
        <v>0</v>
      </c>
      <c r="K464" t="n">
        <v>0</v>
      </c>
      <c r="L464" s="5" t="inlineStr"/>
      <c r="M464" s="5" t="n"/>
    </row>
    <row r="465">
      <c r="A465" t="inlineStr">
        <is>
          <t>YX-WF-09</t>
        </is>
      </c>
      <c r="B465" t="inlineStr">
        <is>
          <t>P03</t>
        </is>
      </c>
      <c r="C465" t="inlineStr">
        <is>
          <t>YX-WF</t>
        </is>
      </c>
      <c r="D465" t="inlineStr">
        <is>
          <t>4</t>
        </is>
      </c>
      <c r="E465" s="5" t="inlineStr">
        <is>
          <t>SLAs count working time on the approver's location calendar; reminders and escalation follow the step's settings; auto-actions only for types the tenant enabled.</t>
        </is>
      </c>
      <c r="F465" t="inlineStr">
        <is>
          <t>Not started</t>
        </is>
      </c>
      <c r="H465">
        <f>IF(G465&lt;&gt;"",G465,F465)</f>
        <v/>
      </c>
      <c r="I465" t="n">
        <v>0</v>
      </c>
      <c r="J465" t="n">
        <v>0</v>
      </c>
      <c r="K465" t="n">
        <v>0</v>
      </c>
      <c r="L465" s="5" t="inlineStr"/>
      <c r="M465" s="5" t="n"/>
    </row>
    <row r="466">
      <c r="A466" t="inlineStr">
        <is>
          <t>YX-WF-10</t>
        </is>
      </c>
      <c r="B466" t="inlineStr">
        <is>
          <t>P03</t>
        </is>
      </c>
      <c r="C466" t="inlineStr">
        <is>
          <t>YX-WF</t>
        </is>
      </c>
      <c r="D466" t="inlineStr">
        <is>
          <t>4</t>
        </is>
      </c>
      <c r="E466" s="5" t="inlineStr">
        <is>
          <t>Approval effects (ledger postings, record updates) run exactly once, in the same transaction as the final decision, or as an idempotent job with retry.</t>
        </is>
      </c>
      <c r="F466" t="inlineStr">
        <is>
          <t>Not started</t>
        </is>
      </c>
      <c r="H466">
        <f>IF(G466&lt;&gt;"",G466,F466)</f>
        <v/>
      </c>
      <c r="I466" t="n">
        <v>0</v>
      </c>
      <c r="J466" t="n">
        <v>0</v>
      </c>
      <c r="K466" t="n">
        <v>0</v>
      </c>
      <c r="L466" s="5" t="inlineStr"/>
      <c r="M466" s="5" t="n"/>
    </row>
    <row r="467">
      <c r="A467" t="inlineStr">
        <is>
          <t>YX-WF-11</t>
        </is>
      </c>
      <c r="B467" t="inlineStr">
        <is>
          <t>P03</t>
        </is>
      </c>
      <c r="C467" t="inlineStr">
        <is>
          <t>YX-WF</t>
        </is>
      </c>
      <c r="D467" t="inlineStr">
        <is>
          <t>4</t>
        </is>
      </c>
      <c r="E467" s="5" t="inlineStr">
        <is>
          <t>Late requests on frozen / locked dates (P08 Q4) are allowed up to the tenant's maximum lateness, with an extra HR approval step; the effect posts to the next payroll (arrears / LOP reversal). Reopening a locked period happens only per P08 Q3, never as a side effect of a request.</t>
        </is>
      </c>
      <c r="F467" t="inlineStr">
        <is>
          <t>Not started</t>
        </is>
      </c>
      <c r="H467">
        <f>IF(G467&lt;&gt;"",G467,F467)</f>
        <v/>
      </c>
      <c r="I467" t="n">
        <v>0</v>
      </c>
      <c r="J467" t="n">
        <v>0</v>
      </c>
      <c r="K467" t="n">
        <v>0</v>
      </c>
      <c r="L467" s="5" t="inlineStr"/>
      <c r="M467" s="5" t="n"/>
    </row>
    <row r="468">
      <c r="A468" t="inlineStr">
        <is>
          <t>YX-WF-12</t>
        </is>
      </c>
      <c r="B468" t="inlineStr">
        <is>
          <t>P03</t>
        </is>
      </c>
      <c r="C468" t="inlineStr">
        <is>
          <t>YX-WF</t>
        </is>
      </c>
      <c r="D468" t="inlineStr">
        <is>
          <t>4</t>
        </is>
      </c>
      <c r="E468" s="5" t="inlineStr">
        <is>
          <t>Every action (who, on behalf of whom, channel, reason, changes) is stored and shown in the request timeline.</t>
        </is>
      </c>
      <c r="F468" t="inlineStr">
        <is>
          <t>Not started</t>
        </is>
      </c>
      <c r="H468">
        <f>IF(G468&lt;&gt;"",G468,F468)</f>
        <v/>
      </c>
      <c r="I468" t="n">
        <v>0</v>
      </c>
      <c r="J468" t="n">
        <v>0</v>
      </c>
      <c r="K468" t="n">
        <v>0</v>
      </c>
      <c r="L468" s="5" t="inlineStr"/>
      <c r="M468" s="5" t="n"/>
    </row>
    <row r="469">
      <c r="A469" t="inlineStr">
        <is>
          <t>YX-WF-13</t>
        </is>
      </c>
      <c r="B469" t="inlineStr">
        <is>
          <t>P03</t>
        </is>
      </c>
      <c r="C469" t="inlineStr">
        <is>
          <t>YX-WF</t>
        </is>
      </c>
      <c r="D469" t="inlineStr">
        <is>
          <t>4</t>
        </is>
      </c>
      <c r="E469" s="5" t="inlineStr">
        <is>
          <t>Out-of-app approval links are signed, single-use, expire (default 72 h), work only for low-risk types, and re-check permission at click time.</t>
        </is>
      </c>
      <c r="F469" t="inlineStr">
        <is>
          <t>Not started</t>
        </is>
      </c>
      <c r="H469">
        <f>IF(G469&lt;&gt;"",G469,F469)</f>
        <v/>
      </c>
      <c r="I469" t="n">
        <v>0</v>
      </c>
      <c r="J469" t="n">
        <v>0</v>
      </c>
      <c r="K469" t="n">
        <v>0</v>
      </c>
      <c r="L469" s="5" t="inlineStr"/>
      <c r="M469" s="5" t="n"/>
    </row>
    <row r="470">
      <c r="A470" t="inlineStr">
        <is>
          <t>YX-WF-14</t>
        </is>
      </c>
      <c r="B470" t="inlineStr">
        <is>
          <t>P03</t>
        </is>
      </c>
      <c r="C470" t="inlineStr">
        <is>
          <t>YX-WF</t>
        </is>
      </c>
      <c r="D470" t="inlineStr">
        <is>
          <t>4</t>
        </is>
      </c>
      <c r="E470" s="5" t="inlineStr">
        <is>
          <t>Status and pending counts shown anywhere (home, queue, mobile, dashboards) come from the same task query (UI brief principle 2).</t>
        </is>
      </c>
      <c r="F470" t="inlineStr">
        <is>
          <t>Not started</t>
        </is>
      </c>
      <c r="H470">
        <f>IF(G470&lt;&gt;"",G470,F470)</f>
        <v/>
      </c>
      <c r="I470" t="n">
        <v>0</v>
      </c>
      <c r="J470" t="n">
        <v>0</v>
      </c>
      <c r="K470" t="n">
        <v>0</v>
      </c>
      <c r="L470" s="5" t="inlineStr"/>
      <c r="M470" s="5" t="n"/>
    </row>
    <row r="471">
      <c r="A471" t="inlineStr">
        <is>
          <t>YX-WF-15</t>
        </is>
      </c>
      <c r="B471" t="inlineStr">
        <is>
          <t>P03</t>
        </is>
      </c>
      <c r="C471" t="inlineStr">
        <is>
          <t>YX-WF</t>
        </is>
      </c>
      <c r="D471" t="inlineStr">
        <is>
          <t>4</t>
        </is>
      </c>
      <c r="E471" s="5" t="inlineStr">
        <is>
          <t>On resubmission after send-back, the engine compares condition fields with the frozen payload: unchanged → resume at the sending step; changed → re-evaluate policies and restart at step 1 with a fresh snapshot.</t>
        </is>
      </c>
      <c r="F471" t="inlineStr">
        <is>
          <t>Not started</t>
        </is>
      </c>
      <c r="H471">
        <f>IF(G471&lt;&gt;"",G471,F471)</f>
        <v/>
      </c>
      <c r="I471" t="n">
        <v>0</v>
      </c>
      <c r="J471" t="n">
        <v>0</v>
      </c>
      <c r="K471" t="n">
        <v>0</v>
      </c>
      <c r="L471" s="5" t="inlineStr"/>
      <c r="M471" s="5" t="n"/>
    </row>
    <row r="472">
      <c r="A472" t="inlineStr">
        <is>
          <t>YX-WF-16</t>
        </is>
      </c>
      <c r="B472" t="inlineStr">
        <is>
          <t>P03</t>
        </is>
      </c>
      <c r="C472" t="inlineStr">
        <is>
          <t>YX-WF</t>
        </is>
      </c>
      <c r="D472" t="inlineStr">
        <is>
          <t>4</t>
        </is>
      </c>
      <c r="E472" s="5" t="inlineStr">
        <is>
          <t>Editing a policy requires workflow.policy.manage plus the owner permission of sensitive request types; saves require a Simulate run, create a new policy version and are audited.</t>
        </is>
      </c>
      <c r="F472" t="inlineStr">
        <is>
          <t>Tested, code not linked</t>
        </is>
      </c>
      <c r="H472">
        <f>IF(G472&lt;&gt;"",G472,F472)</f>
        <v/>
      </c>
      <c r="I472" t="n">
        <v>0</v>
      </c>
      <c r="J472" t="n">
        <v>2</v>
      </c>
      <c r="K472" t="n">
        <v>4</v>
      </c>
      <c r="L472" s="5" t="inlineStr">
        <is>
          <t>exam-app-org:packages/yx-ui/src/screens/settings/settings.test.tsx
exam-app-ws:packages/yx-ui/src/screens/settings/settings.test.tsx</t>
        </is>
      </c>
      <c r="M472" s="5" t="n"/>
    </row>
    <row r="473">
      <c r="A473" t="inlineStr">
        <is>
          <t>YX-WF-17</t>
        </is>
      </c>
      <c r="B473" t="inlineStr">
        <is>
          <t>P03</t>
        </is>
      </c>
      <c r="C473" t="inlineStr">
        <is>
          <t>YX-WF</t>
        </is>
      </c>
      <c r="D473" t="inlineStr">
        <is>
          <t>4</t>
        </is>
      </c>
      <c r="E473" s="5" t="inlineStr">
        <is>
          <t>Duplicate-approver auto-approval (Q6) never applies across a maker ≠ checker boundary (YX-WF-05): the checker step always needs its own decision.</t>
        </is>
      </c>
      <c r="F473" t="inlineStr">
        <is>
          <t>Not started</t>
        </is>
      </c>
      <c r="H473">
        <f>IF(G473&lt;&gt;"",G473,F473)</f>
        <v/>
      </c>
      <c r="I473" t="n">
        <v>0</v>
      </c>
      <c r="J473" t="n">
        <v>0</v>
      </c>
      <c r="K473" t="n">
        <v>0</v>
      </c>
      <c r="L473" s="5" t="inlineStr"/>
      <c r="M473" s="5" t="n"/>
    </row>
    <row r="474">
      <c r="A474" t="inlineStr">
        <is>
          <t>YX-WF-18</t>
        </is>
      </c>
      <c r="B474" t="inlineStr">
        <is>
          <t>P03</t>
        </is>
      </c>
      <c r="C474" t="inlineStr">
        <is>
          <t>YX-WF</t>
        </is>
      </c>
      <c r="D474" t="inlineStr">
        <is>
          <t>4</t>
        </is>
      </c>
      <c r="E474" s="5" t="inlineStr">
        <is>
          <t>A request may be raised on behalf of a subject employee by a holder of request.raise_on_behalf (P02 YX-SEC-27), only for request types the company enabled for that role (HR only / HR + managers). Policies, conditions and resolvers evaluate on the subject; the timeline shows "raised by X on behalf of Y"; the subject is notified (kiosk / WhatsApp / SMS); YX-WF-04 removes both the subject and the proxy raiser from every approval step.</t>
        </is>
      </c>
      <c r="F474" t="inlineStr">
        <is>
          <t>UI prototype only</t>
        </is>
      </c>
      <c r="H474">
        <f>IF(G474&lt;&gt;"",G474,F474)</f>
        <v/>
      </c>
      <c r="I474" t="n">
        <v>0</v>
      </c>
      <c r="J474" t="n">
        <v>0</v>
      </c>
      <c r="K474" t="n">
        <v>4</v>
      </c>
      <c r="L474" s="5" t="inlineStr"/>
      <c r="M474" s="5" t="n"/>
    </row>
    <row r="475">
      <c r="A475" t="inlineStr">
        <is>
          <t>YX-WF-19</t>
        </is>
      </c>
      <c r="B475" t="inlineStr">
        <is>
          <t>P03</t>
        </is>
      </c>
      <c r="C475" t="inlineStr">
        <is>
          <t>YX-WF</t>
        </is>
      </c>
      <c r="D475" t="inlineStr">
        <is>
          <t>4</t>
        </is>
      </c>
      <c r="E475" s="5" t="inlineStr">
        <is>
          <t>Access request is a registered request type, raised by the Request access button on the permission-denied state (APX-D §6.3): the requester asks for a permission or a record scope (subject = resource / permission, reason required). It routes to the HR Admin in scope of the record's owner (role owner), then System Admin as fallback; it is never offered for restricted areas (YX-SEC-10), which show "Not found". On approval the effect grants a time-boxed scope through P02 (end date required where the role allows; revoked automatically at expiry); request, decision, grant and expiry are audited (P0</t>
        </is>
      </c>
      <c r="F475" t="inlineStr">
        <is>
          <t>Not started</t>
        </is>
      </c>
      <c r="H475">
        <f>IF(G475&lt;&gt;"",G475,F475)</f>
        <v/>
      </c>
      <c r="I475" t="n">
        <v>0</v>
      </c>
      <c r="J475" t="n">
        <v>0</v>
      </c>
      <c r="K475" t="n">
        <v>0</v>
      </c>
      <c r="L475" s="5" t="inlineStr"/>
      <c r="M475" s="5" t="n"/>
    </row>
    <row r="476">
      <c r="A476" t="inlineStr">
        <is>
          <t>YX-NTF-01</t>
        </is>
      </c>
      <c r="B476" t="inlineStr">
        <is>
          <t>P04</t>
        </is>
      </c>
      <c r="C476" t="inlineStr">
        <is>
          <t>YX-NTF</t>
        </is>
      </c>
      <c r="D476" t="inlineStr">
        <is>
          <t>1</t>
        </is>
      </c>
      <c r="E476" s="5" t="inlineStr">
        <is>
          <t>Events are written through a transactional outbox; a notification is never sent for a rolled-back change and never lost for a committed one.</t>
        </is>
      </c>
      <c r="F476" t="inlineStr">
        <is>
          <t>Verify (step done, not linked)</t>
        </is>
      </c>
      <c r="H476">
        <f>IF(G476&lt;&gt;"",G476,F476)</f>
        <v/>
      </c>
      <c r="I476" t="n">
        <v>0</v>
      </c>
      <c r="J476" t="n">
        <v>0</v>
      </c>
      <c r="K476" t="n">
        <v>0</v>
      </c>
      <c r="L476" s="5" t="inlineStr"/>
      <c r="M476" s="5" t="n"/>
    </row>
    <row r="477">
      <c r="A477" t="inlineStr">
        <is>
          <t>YX-NTF-02</t>
        </is>
      </c>
      <c r="B477" t="inlineStr">
        <is>
          <t>P04</t>
        </is>
      </c>
      <c r="C477" t="inlineStr">
        <is>
          <t>YX-NTF</t>
        </is>
      </c>
      <c r="D477" t="inlineStr">
        <is>
          <t>1</t>
        </is>
      </c>
      <c r="E477" s="5" t="inlineStr">
        <is>
          <t>Each (event, recipient, channel) is delivered at most once (idempotency key), across retries and restarts.</t>
        </is>
      </c>
      <c r="F477" t="inlineStr">
        <is>
          <t>Built + tested</t>
        </is>
      </c>
      <c r="H477">
        <f>IF(G477&lt;&gt;"",G477,F477)</f>
        <v/>
      </c>
      <c r="I477" t="n">
        <v>6</v>
      </c>
      <c r="J477" t="n">
        <v>2</v>
      </c>
      <c r="K477" t="n">
        <v>0</v>
      </c>
      <c r="L477" s="5" t="inlineStr">
        <is>
          <t>exam-app-org:apps/api/prisma/migrations/20261006700000_sms_channel/migration.sql
exam-app-org:apps/api/src/auth/otp-sender.ts
exam-app-org:apps/api/src/sms-channel/sms-channel.service.ts</t>
        </is>
      </c>
      <c r="M477" s="5" t="n"/>
    </row>
    <row r="478">
      <c r="A478" t="inlineStr">
        <is>
          <t>YX-NTF-03</t>
        </is>
      </c>
      <c r="B478" t="inlineStr">
        <is>
          <t>P04</t>
        </is>
      </c>
      <c r="C478" t="inlineStr">
        <is>
          <t>YX-NTF</t>
        </is>
      </c>
      <c r="D478" t="inlineStr">
        <is>
          <t>1</t>
        </is>
      </c>
      <c r="E478" s="5" t="inlineStr">
        <is>
          <t>Audience visibility is re-checked with P02 at send time; a recipient who can't see the subject gets nothing.</t>
        </is>
      </c>
      <c r="F478" t="inlineStr">
        <is>
          <t>Verify (step done, not linked)</t>
        </is>
      </c>
      <c r="H478">
        <f>IF(G478&lt;&gt;"",G478,F478)</f>
        <v/>
      </c>
      <c r="I478" t="n">
        <v>0</v>
      </c>
      <c r="J478" t="n">
        <v>0</v>
      </c>
      <c r="K478" t="n">
        <v>0</v>
      </c>
      <c r="L478" s="5" t="inlineStr"/>
      <c r="M478" s="5" t="n"/>
    </row>
    <row r="479">
      <c r="A479" t="inlineStr">
        <is>
          <t>YX-NTF-04</t>
        </is>
      </c>
      <c r="B479" t="inlineStr">
        <is>
          <t>P04</t>
        </is>
      </c>
      <c r="C479" t="inlineStr">
        <is>
          <t>YX-NTF</t>
        </is>
      </c>
      <c r="D479" t="inlineStr">
        <is>
          <t>1</t>
        </is>
      </c>
      <c r="E479" s="5" t="inlineStr">
        <is>
          <t>External channels never include Confidential or Special values; templates may only use variables marked external-safe for that type. Sole exception: the company-enabled password-protected payslip PDF attached to email (YX-NTF-15); no other channel, document or value is excepted.</t>
        </is>
      </c>
      <c r="F479" t="inlineStr">
        <is>
          <t>Verify (step done, not linked)</t>
        </is>
      </c>
      <c r="H479">
        <f>IF(G479&lt;&gt;"",G479,F479)</f>
        <v/>
      </c>
      <c r="I479" t="n">
        <v>0</v>
      </c>
      <c r="J479" t="n">
        <v>0</v>
      </c>
      <c r="K479" t="n">
        <v>2</v>
      </c>
      <c r="L479" s="5" t="inlineStr"/>
      <c r="M479" s="5" t="n"/>
    </row>
    <row r="480">
      <c r="A480" t="inlineStr">
        <is>
          <t>YX-NTF-05</t>
        </is>
      </c>
      <c r="B480" t="inlineStr">
        <is>
          <t>P04</t>
        </is>
      </c>
      <c r="C480" t="inlineStr">
        <is>
          <t>YX-NTF</t>
        </is>
      </c>
      <c r="D480" t="inlineStr">
        <is>
          <t>1</t>
        </is>
      </c>
      <c r="E480" s="5" t="inlineStr">
        <is>
          <t>Mandatory notification types can't be disabled by users; others follow user preferences, then tenant policy, then defaults.</t>
        </is>
      </c>
      <c r="F480" t="inlineStr">
        <is>
          <t>Verify (step done, not linked)</t>
        </is>
      </c>
      <c r="H480">
        <f>IF(G480&lt;&gt;"",G480,F480)</f>
        <v/>
      </c>
      <c r="I480" t="n">
        <v>0</v>
      </c>
      <c r="J480" t="n">
        <v>0</v>
      </c>
      <c r="K480" t="n">
        <v>2</v>
      </c>
      <c r="L480" s="5" t="inlineStr"/>
      <c r="M480" s="5" t="n"/>
    </row>
    <row r="481">
      <c r="A481" t="inlineStr">
        <is>
          <t>YX-NTF-06</t>
        </is>
      </c>
      <c r="B481" t="inlineStr">
        <is>
          <t>P04</t>
        </is>
      </c>
      <c r="C481" t="inlineStr">
        <is>
          <t>YX-NTF</t>
        </is>
      </c>
      <c r="D481" t="inlineStr">
        <is>
          <t>1</t>
        </is>
      </c>
      <c r="E481" s="5" t="inlineStr">
        <is>
          <t>Quiet hours apply per recipient time zone to push, WhatsApp and SMS; only urgent types and OTP messages (YX-NTF-13) bypass them.</t>
        </is>
      </c>
      <c r="F481" t="inlineStr">
        <is>
          <t>Verify (step done, not linked)</t>
        </is>
      </c>
      <c r="H481">
        <f>IF(G481&lt;&gt;"",G481,F481)</f>
        <v/>
      </c>
      <c r="I481" t="n">
        <v>0</v>
      </c>
      <c r="J481" t="n">
        <v>0</v>
      </c>
      <c r="K481" t="n">
        <v>0</v>
      </c>
      <c r="L481" s="5" t="inlineStr"/>
      <c r="M481" s="5" t="n"/>
    </row>
    <row r="482">
      <c r="A482" t="inlineStr">
        <is>
          <t>YX-NTF-07</t>
        </is>
      </c>
      <c r="B482" t="inlineStr">
        <is>
          <t>P04</t>
        </is>
      </c>
      <c r="C482" t="inlineStr">
        <is>
          <t>YX-NTF</t>
        </is>
      </c>
      <c r="D482" t="inlineStr">
        <is>
          <t>1</t>
        </is>
      </c>
      <c r="E482" s="5" t="inlineStr">
        <is>
          <t>WhatsApp business-initiated messages use approved templates only; SMS uses DLT-registered templates; a send without a valid approved template falls back to another enabled channel and logs why.</t>
        </is>
      </c>
      <c r="F482" t="inlineStr">
        <is>
          <t>Built + tested</t>
        </is>
      </c>
      <c r="H482">
        <f>IF(G482&lt;&gt;"",G482,F482)</f>
        <v/>
      </c>
      <c r="I482" t="n">
        <v>8</v>
      </c>
      <c r="J482" t="n">
        <v>8</v>
      </c>
      <c r="K482" t="n">
        <v>0</v>
      </c>
      <c r="L482" s="5" t="inlineStr">
        <is>
          <t>exam-app-org:apps/api/prisma/migrations/20261006700000_sms_channel/migration.sql
exam-app-org:apps/api/src/auth/auth.service.spec.ts
exam-app-org:apps/api/src/auth/otp.service.spec.ts</t>
        </is>
      </c>
      <c r="M482" s="5" t="n"/>
    </row>
    <row r="483">
      <c r="A483" t="inlineStr">
        <is>
          <t>YX-NTF-08</t>
        </is>
      </c>
      <c r="B483" t="inlineStr">
        <is>
          <t>P04</t>
        </is>
      </c>
      <c r="C483" t="inlineStr">
        <is>
          <t>YX-NTF</t>
        </is>
      </c>
      <c r="D483" t="inlineStr">
        <is>
          <t>1</t>
        </is>
      </c>
      <c r="E483" s="5" t="inlineStr">
        <is>
          <t>Rendering uses the recipient's language (fallback tenant default → English) and locale formats (₹ grouping, dates).</t>
        </is>
      </c>
      <c r="F483" t="inlineStr">
        <is>
          <t>Verify (step done, not linked)</t>
        </is>
      </c>
      <c r="H483">
        <f>IF(G483&lt;&gt;"",G483,F483)</f>
        <v/>
      </c>
      <c r="I483" t="n">
        <v>0</v>
      </c>
      <c r="J483" t="n">
        <v>0</v>
      </c>
      <c r="K483" t="n">
        <v>0</v>
      </c>
      <c r="L483" s="5" t="inlineStr"/>
      <c r="M483" s="5" t="n"/>
    </row>
    <row r="484">
      <c r="A484" t="inlineStr">
        <is>
          <t>YX-NTF-09</t>
        </is>
      </c>
      <c r="B484" t="inlineStr">
        <is>
          <t>P04</t>
        </is>
      </c>
      <c r="C484" t="inlineStr">
        <is>
          <t>YX-NTF</t>
        </is>
      </c>
      <c r="D484" t="inlineStr">
        <is>
          <t>1</t>
        </is>
      </c>
      <c r="E484" s="5" t="inlineStr">
        <is>
          <t>In-app items for the same group key within a window collapse into one grouped item with a count; counts equal the source query (P03 YX-WF-14).</t>
        </is>
      </c>
      <c r="F484" t="inlineStr">
        <is>
          <t>Verify (step done, not linked)</t>
        </is>
      </c>
      <c r="H484">
        <f>IF(G484&lt;&gt;"",G484,F484)</f>
        <v/>
      </c>
      <c r="I484" t="n">
        <v>0</v>
      </c>
      <c r="J484" t="n">
        <v>0</v>
      </c>
      <c r="K484" t="n">
        <v>0</v>
      </c>
      <c r="L484" s="5" t="inlineStr"/>
      <c r="M484" s="5" t="n"/>
    </row>
    <row r="485">
      <c r="A485" t="inlineStr">
        <is>
          <t>YX-NTF-10</t>
        </is>
      </c>
      <c r="B485" t="inlineStr">
        <is>
          <t>P04</t>
        </is>
      </c>
      <c r="C485" t="inlineStr">
        <is>
          <t>YX-NTF</t>
        </is>
      </c>
      <c r="D485" t="inlineStr">
        <is>
          <t>1</t>
        </is>
      </c>
      <c r="E485" s="5" t="inlineStr">
        <is>
          <t>Every delivery attempt is logged with status and provider id; failures retry with backoff, then surface in an admin delivery log.</t>
        </is>
      </c>
      <c r="F485" t="inlineStr">
        <is>
          <t>Built + tested</t>
        </is>
      </c>
      <c r="H485">
        <f>IF(G485&lt;&gt;"",G485,F485)</f>
        <v/>
      </c>
      <c r="I485" t="n">
        <v>8</v>
      </c>
      <c r="J485" t="n">
        <v>4</v>
      </c>
      <c r="K485" t="n">
        <v>0</v>
      </c>
      <c r="L485" s="5" t="inlineStr">
        <is>
          <t>exam-app-org:apps/api/prisma/migrations/20261006700000_sms_channel/migration.sql
exam-app-org:apps/api/src/sms-channel/sms-callbacks.spec.ts
exam-app-org:apps/api/src/sms-channel/sms-callbacks.ts</t>
        </is>
      </c>
      <c r="M485" s="5" t="n"/>
    </row>
    <row r="486">
      <c r="A486" t="inlineStr">
        <is>
          <t>YX-NTF-11</t>
        </is>
      </c>
      <c r="B486" t="inlineStr">
        <is>
          <t>P04</t>
        </is>
      </c>
      <c r="C486" t="inlineStr">
        <is>
          <t>YX-NTF</t>
        </is>
      </c>
      <c r="D486" t="inlineStr">
        <is>
          <t>1</t>
        </is>
      </c>
      <c r="E486" s="5" t="inlineStr">
        <is>
          <t>Bounces, WhatsApp blocks and SMS opt-outs update the channel status for that address; the engine stops using it until the address changes.</t>
        </is>
      </c>
      <c r="F486" t="inlineStr">
        <is>
          <t>Built + tested</t>
        </is>
      </c>
      <c r="H486">
        <f>IF(G486&lt;&gt;"",G486,F486)</f>
        <v/>
      </c>
      <c r="I486" t="n">
        <v>2</v>
      </c>
      <c r="J486" t="n">
        <v>2</v>
      </c>
      <c r="K486" t="n">
        <v>0</v>
      </c>
      <c r="L486" s="5" t="inlineStr">
        <is>
          <t>exam-app-org:apps/api/src/sms-channel/sms-channel.service.ts
exam-app-org:apps/api/test/sms-channel.e2e-spec.ts
exam-app-ws:apps/api/src/sms-channel/sms-channel.service.ts</t>
        </is>
      </c>
      <c r="M486" s="5" t="n"/>
    </row>
    <row r="487">
      <c r="A487" t="inlineStr">
        <is>
          <t>YX-NTF-12</t>
        </is>
      </c>
      <c r="B487" t="inlineStr">
        <is>
          <t>P04</t>
        </is>
      </c>
      <c r="C487" t="inlineStr">
        <is>
          <t>YX-NTF</t>
        </is>
      </c>
      <c r="D487" t="inlineStr">
        <is>
          <t>1</t>
        </is>
      </c>
      <c r="E487" s="5" t="inlineStr">
        <is>
          <t>Per-tenant SMS usage is metered for billing (included quota + overage, or separate billing) and can be capped by the tenant; WhatsApp message counts are logged for the tenant's own reference (Meta bills the tenant directly).</t>
        </is>
      </c>
      <c r="F487" t="inlineStr">
        <is>
          <t>Built, no test cites it</t>
        </is>
      </c>
      <c r="H487">
        <f>IF(G487&lt;&gt;"",G487,F487)</f>
        <v/>
      </c>
      <c r="I487" t="n">
        <v>4</v>
      </c>
      <c r="J487" t="n">
        <v>0</v>
      </c>
      <c r="K487" t="n">
        <v>0</v>
      </c>
      <c r="L487" s="5" t="inlineStr">
        <is>
          <t>exam-app-org:apps/api/prisma/migrations/20261006700000_sms_channel/migration.sql
exam-app-org:apps/api/src/sms-channel/sms-channel.service.ts
exam-app-ws:apps/api/prisma/migrations/20261006700000_sms_channel/migration.sql</t>
        </is>
      </c>
      <c r="M487" s="5" t="n"/>
    </row>
    <row r="488">
      <c r="A488" t="inlineStr">
        <is>
          <t>YX-NTF-13</t>
        </is>
      </c>
      <c r="B488" t="inlineStr">
        <is>
          <t>P04</t>
        </is>
      </c>
      <c r="C488" t="inlineStr">
        <is>
          <t>YX-NTF</t>
        </is>
      </c>
      <c r="D488" t="inlineStr">
        <is>
          <t>1</t>
        </is>
      </c>
      <c r="E488" s="5" t="inlineStr">
        <is>
          <t>OTP / transactional-authentication messages (§4.5a) bypass quiet hours, digests and grouping, are sent immediately via SMS or WhatsApp authentication templates, and SMS OTPs count toward the tenant's SMS quota.</t>
        </is>
      </c>
      <c r="F488" t="inlineStr">
        <is>
          <t>Built, no test cites it</t>
        </is>
      </c>
      <c r="H488">
        <f>IF(G488&lt;&gt;"",G488,F488)</f>
        <v/>
      </c>
      <c r="I488" t="n">
        <v>8</v>
      </c>
      <c r="J488" t="n">
        <v>0</v>
      </c>
      <c r="K488" t="n">
        <v>2</v>
      </c>
      <c r="L488" s="5" t="inlineStr">
        <is>
          <t>exam-app-org:apps/api/prisma/migrations/20261006300000_otp_sign_in/migration.sql
exam-app-org:apps/api/src/auth/otp-sender.ts
exam-app-org:apps/api/src/auth/otp.service.ts</t>
        </is>
      </c>
      <c r="M488" s="5" t="n"/>
    </row>
    <row r="489">
      <c r="A489" t="inlineStr">
        <is>
          <t>YX-NTF-14</t>
        </is>
      </c>
      <c r="B489" t="inlineStr">
        <is>
          <t>P04</t>
        </is>
      </c>
      <c r="C489" t="inlineStr">
        <is>
          <t>YX-NTF</t>
        </is>
      </c>
      <c r="D489" t="inlineStr">
        <is>
          <t>1</t>
        </is>
      </c>
      <c r="E489" s="5" t="inlineStr">
        <is>
          <t>WhatsApp and SMS are sent to a recipient only with an active opt-in for that channel and number in channel_consents (source, consent text version, time; Meta and TRAI-DLT requirement). Without one, the message goes by in-app, push and email instead and the fallback is logged; mandatory and transactional types are never dropped. An OTP goes by SMS / WhatsApp only when the person asked for it on that channel or has an active opt-in. A STOP reply, the user's toggle, HR or a provider opt-out sets withdrawn_at and stops that channel (YX-NTF-11).</t>
        </is>
      </c>
      <c r="F489" t="inlineStr">
        <is>
          <t>Built + tested</t>
        </is>
      </c>
      <c r="H489">
        <f>IF(G489&lt;&gt;"",G489,F489)</f>
        <v/>
      </c>
      <c r="I489" t="n">
        <v>6</v>
      </c>
      <c r="J489" t="n">
        <v>4</v>
      </c>
      <c r="K489" t="n">
        <v>2</v>
      </c>
      <c r="L489" s="5" t="inlineStr">
        <is>
          <t>exam-app-org:apps/api/prisma/migrations/20261006700000_sms_channel/migration.sql
exam-app-org:apps/api/src/auth/otp.service.ts
exam-app-org:apps/api/src/sms-channel/sms-channel.service.ts</t>
        </is>
      </c>
      <c r="M489" s="5" t="n"/>
    </row>
    <row r="490">
      <c r="A490" t="inlineStr">
        <is>
          <t>YX-NTF-15</t>
        </is>
      </c>
      <c r="B490" t="inlineStr">
        <is>
          <t>P04</t>
        </is>
      </c>
      <c r="C490" t="inlineStr">
        <is>
          <t>YX-NTF</t>
        </is>
      </c>
      <c r="D490" t="inlineStr">
        <is>
          <t>1</t>
        </is>
      </c>
      <c r="E490" s="5" t="inlineStr">
        <is>
          <t>Payslip PDF by email (B19): only when the legal entity's payslip_email_policies is enabled (default off); the PDF is AES-256 password-protected with the company's chosen scheme; the email states the scheme, never the password, and no amount; it goes only to the employee's verified address of the configured type, never CC / BCC; missing scheme inputs → link-only email; every send is logged and audited with the document hash. WhatsApp, SMS, push, Slack and Teams never carry the PDF (link only).</t>
        </is>
      </c>
      <c r="F490" t="inlineStr">
        <is>
          <t>Verify (step done, not linked)</t>
        </is>
      </c>
      <c r="H490">
        <f>IF(G490&lt;&gt;"",G490,F490)</f>
        <v/>
      </c>
      <c r="I490" t="n">
        <v>0</v>
      </c>
      <c r="J490" t="n">
        <v>0</v>
      </c>
      <c r="K490" t="n">
        <v>0</v>
      </c>
      <c r="L490" s="5" t="inlineStr"/>
      <c r="M490" s="5" t="n"/>
    </row>
    <row r="491">
      <c r="A491" t="inlineStr">
        <is>
          <t>YX-NTF-16</t>
        </is>
      </c>
      <c r="B491" t="inlineStr">
        <is>
          <t>P04</t>
        </is>
      </c>
      <c r="C491" t="inlineStr">
        <is>
          <t>YX-NTF</t>
        </is>
      </c>
      <c r="D491" t="inlineStr">
        <is>
          <t>1</t>
        </is>
      </c>
      <c r="E491" s="5" t="inlineStr">
        <is>
          <t>Slack / Teams apps (B9): act only for users linked by SSO / OAuth (chat_links); unlinked users get no personal data; approve / reject only for request types marked chat-safe in the P03 registry, with P03 permissions and self-approval re-checked at the click; chat check-in only where the M02 rules allow a chat punch; all writes go through the public API layer (P11 YX-API-02); messages follow YX-NTF-04 and sensitive answers are an in-app link; exit or unlink revokes access at once.</t>
        </is>
      </c>
      <c r="F491" t="inlineStr">
        <is>
          <t>Verify (step done, not linked)</t>
        </is>
      </c>
      <c r="H491">
        <f>IF(G491&lt;&gt;"",G491,F491)</f>
        <v/>
      </c>
      <c r="I491" t="n">
        <v>0</v>
      </c>
      <c r="J491" t="n">
        <v>0</v>
      </c>
      <c r="K491" t="n">
        <v>0</v>
      </c>
      <c r="L491" s="5" t="inlineStr"/>
      <c r="M491" s="5" t="n"/>
    </row>
    <row r="492">
      <c r="A492" t="inlineStr">
        <is>
          <t>YX-NTF-17</t>
        </is>
      </c>
      <c r="B492" t="inlineStr">
        <is>
          <t>P04</t>
        </is>
      </c>
      <c r="C492" t="inlineStr">
        <is>
          <t>YX-NTF</t>
        </is>
      </c>
      <c r="D492" t="inlineStr">
        <is>
          <t>1</t>
        </is>
      </c>
      <c r="E492" s="5" t="inlineStr">
        <is>
          <t>UI strings (B18): every user-facing string comes from the message catalogue (CI fails on hard-coded strings); employee-facing desk, mobile and portal screens ship in English, Hindi, Tamil and Telugu, admin screens English first; missing translations fall back per string to the tenant default then English and are logged; published translations pass native review and the glossary check; tenant label overrides never change statutory or legal terms.</t>
        </is>
      </c>
      <c r="F492" t="inlineStr">
        <is>
          <t>Verify (step done, not linked)</t>
        </is>
      </c>
      <c r="H492">
        <f>IF(G492&lt;&gt;"",G492,F492)</f>
        <v/>
      </c>
      <c r="I492" t="n">
        <v>0</v>
      </c>
      <c r="J492" t="n">
        <v>0</v>
      </c>
      <c r="K492" t="n">
        <v>0</v>
      </c>
      <c r="L492" s="5" t="inlineStr"/>
      <c r="M492" s="5" t="n"/>
    </row>
    <row r="493">
      <c r="A493" t="inlineStr">
        <is>
          <t>YX-DOC-01</t>
        </is>
      </c>
      <c r="B493" t="inlineStr">
        <is>
          <t>P05</t>
        </is>
      </c>
      <c r="C493" t="inlineStr">
        <is>
          <t>YX-DOC</t>
        </is>
      </c>
      <c r="D493" t="inlineStr">
        <is>
          <t>6+</t>
        </is>
      </c>
      <c r="E493" s="5" t="inlineStr">
        <is>
          <t>Files are private; access is only through short-lived signed links issued after a P02 permission check; Confidential/Special downloads are audited.</t>
        </is>
      </c>
      <c r="F493" t="inlineStr">
        <is>
          <t>Not started</t>
        </is>
      </c>
      <c r="H493">
        <f>IF(G493&lt;&gt;"",G493,F493)</f>
        <v/>
      </c>
      <c r="I493" t="n">
        <v>0</v>
      </c>
      <c r="J493" t="n">
        <v>0</v>
      </c>
      <c r="K493" t="n">
        <v>0</v>
      </c>
      <c r="L493" s="5" t="inlineStr"/>
      <c r="M493" s="5" t="n"/>
    </row>
    <row r="494">
      <c r="A494" t="inlineStr">
        <is>
          <t>YX-DOC-02</t>
        </is>
      </c>
      <c r="B494" t="inlineStr">
        <is>
          <t>P05</t>
        </is>
      </c>
      <c r="C494" t="inlineStr">
        <is>
          <t>YX-DOC</t>
        </is>
      </c>
      <c r="D494" t="inlineStr">
        <is>
          <t>6+</t>
        </is>
      </c>
      <c r="E494" s="5" t="inlineStr">
        <is>
          <t>A file is usable only after passing type/size validation and virus scan; failed files are quarantined and the uploader is told why.</t>
        </is>
      </c>
      <c r="F494" t="inlineStr">
        <is>
          <t>Not started</t>
        </is>
      </c>
      <c r="H494">
        <f>IF(G494&lt;&gt;"",G494,F494)</f>
        <v/>
      </c>
      <c r="I494" t="n">
        <v>0</v>
      </c>
      <c r="J494" t="n">
        <v>0</v>
      </c>
      <c r="K494" t="n">
        <v>0</v>
      </c>
      <c r="L494" s="5" t="inlineStr"/>
      <c r="M494" s="5" t="n"/>
    </row>
    <row r="495">
      <c r="A495" t="inlineStr">
        <is>
          <t>YX-DOC-03</t>
        </is>
      </c>
      <c r="B495" t="inlineStr">
        <is>
          <t>P05</t>
        </is>
      </c>
      <c r="C495" t="inlineStr">
        <is>
          <t>YX-DOC</t>
        </is>
      </c>
      <c r="D495" t="inlineStr">
        <is>
          <t>6+</t>
        </is>
      </c>
      <c r="E495" s="5" t="inlineStr">
        <is>
          <t>Files are stored in the tenant's region (P02 YX-SEC-19) under tenant-prefixed keys, encrypted at rest.</t>
        </is>
      </c>
      <c r="F495" t="inlineStr">
        <is>
          <t>Not started</t>
        </is>
      </c>
      <c r="H495">
        <f>IF(G495&lt;&gt;"",G495,F495)</f>
        <v/>
      </c>
      <c r="I495" t="n">
        <v>0</v>
      </c>
      <c r="J495" t="n">
        <v>0</v>
      </c>
      <c r="K495" t="n">
        <v>0</v>
      </c>
      <c r="L495" s="5" t="inlineStr"/>
      <c r="M495" s="5" t="n"/>
    </row>
    <row r="496">
      <c r="A496" t="inlineStr">
        <is>
          <t>YX-DOC-04</t>
        </is>
      </c>
      <c r="B496" t="inlineStr">
        <is>
          <t>P05</t>
        </is>
      </c>
      <c r="C496" t="inlineStr">
        <is>
          <t>YX-DOC</t>
        </is>
      </c>
      <c r="D496" t="inlineStr">
        <is>
          <t>6+</t>
        </is>
      </c>
      <c r="E496" s="5" t="inlineStr">
        <is>
          <t>Each document has a type; its sensitivity class, verification need, expiry and retention come from the type.</t>
        </is>
      </c>
      <c r="F496" t="inlineStr">
        <is>
          <t>Not started</t>
        </is>
      </c>
      <c r="H496">
        <f>IF(G496&lt;&gt;"",G496,F496)</f>
        <v/>
      </c>
      <c r="I496" t="n">
        <v>0</v>
      </c>
      <c r="J496" t="n">
        <v>0</v>
      </c>
      <c r="K496" t="n">
        <v>0</v>
      </c>
      <c r="L496" s="5" t="inlineStr"/>
      <c r="M496" s="5" t="n"/>
    </row>
    <row r="497">
      <c r="A497" t="inlineStr">
        <is>
          <t>YX-DOC-05</t>
        </is>
      </c>
      <c r="B497" t="inlineStr">
        <is>
          <t>P05</t>
        </is>
      </c>
      <c r="C497" t="inlineStr">
        <is>
          <t>YX-DOC</t>
        </is>
      </c>
      <c r="D497" t="inlineStr">
        <is>
          <t>6+</t>
        </is>
      </c>
      <c r="E497" s="5" t="inlineStr">
        <is>
          <t>Re-upload creates a new version; earlier versions remain for HR until retention ends.</t>
        </is>
      </c>
      <c r="F497" t="inlineStr">
        <is>
          <t>Not started</t>
        </is>
      </c>
      <c r="H497">
        <f>IF(G497&lt;&gt;"",G497,F497)</f>
        <v/>
      </c>
      <c r="I497" t="n">
        <v>0</v>
      </c>
      <c r="J497" t="n">
        <v>0</v>
      </c>
      <c r="K497" t="n">
        <v>0</v>
      </c>
      <c r="L497" s="5" t="inlineStr"/>
      <c r="M497" s="5" t="n"/>
    </row>
    <row r="498">
      <c r="A498" t="inlineStr">
        <is>
          <t>YX-DOC-06</t>
        </is>
      </c>
      <c r="B498" t="inlineStr">
        <is>
          <t>P05</t>
        </is>
      </c>
      <c r="C498" t="inlineStr">
        <is>
          <t>YX-DOC</t>
        </is>
      </c>
      <c r="D498" t="inlineStr">
        <is>
          <t>6+</t>
        </is>
      </c>
      <c r="E498" s="5" t="inlineStr">
        <is>
          <t>Documents with an expiry date raise reminders before expiry and move to "expired" automatically (P04 scheduler).</t>
        </is>
      </c>
      <c r="F498" t="inlineStr">
        <is>
          <t>Not started</t>
        </is>
      </c>
      <c r="H498">
        <f>IF(G498&lt;&gt;"",G498,F498)</f>
        <v/>
      </c>
      <c r="I498" t="n">
        <v>0</v>
      </c>
      <c r="J498" t="n">
        <v>0</v>
      </c>
      <c r="K498" t="n">
        <v>0</v>
      </c>
      <c r="L498" s="5" t="inlineStr"/>
      <c r="M498" s="5" t="n"/>
    </row>
    <row r="499">
      <c r="A499" t="inlineStr">
        <is>
          <t>YX-DOC-07</t>
        </is>
      </c>
      <c r="B499" t="inlineStr">
        <is>
          <t>P05</t>
        </is>
      </c>
      <c r="C499" t="inlineStr">
        <is>
          <t>YX-DOC</t>
        </is>
      </c>
      <c r="D499" t="inlineStr">
        <is>
          <t>6+</t>
        </is>
      </c>
      <c r="E499" s="5" t="inlineStr">
        <is>
          <t>Letter generation fails with a list of missing required fields; no silent blanks.</t>
        </is>
      </c>
      <c r="F499" t="inlineStr">
        <is>
          <t>UI prototype only</t>
        </is>
      </c>
      <c r="H499">
        <f>IF(G499&lt;&gt;"",G499,F499)</f>
        <v/>
      </c>
      <c r="I499" t="n">
        <v>0</v>
      </c>
      <c r="J499" t="n">
        <v>0</v>
      </c>
      <c r="K499" t="n">
        <v>2</v>
      </c>
      <c r="L499" s="5" t="inlineStr"/>
      <c r="M499" s="5" t="n"/>
    </row>
    <row r="500">
      <c r="A500" t="inlineStr">
        <is>
          <t>YX-DOC-08</t>
        </is>
      </c>
      <c r="B500" t="inlineStr">
        <is>
          <t>P05</t>
        </is>
      </c>
      <c r="C500" t="inlineStr">
        <is>
          <t>YX-DOC</t>
        </is>
      </c>
      <c r="D500" t="inlineStr">
        <is>
          <t>6+</t>
        </is>
      </c>
      <c r="E500" s="5" t="inlineStr">
        <is>
          <t>Merge fields respect P02: authors can only place, and issuers only render, fields they may see.</t>
        </is>
      </c>
      <c r="F500" t="inlineStr">
        <is>
          <t>Not started</t>
        </is>
      </c>
      <c r="H500">
        <f>IF(G500&lt;&gt;"",G500,F500)</f>
        <v/>
      </c>
      <c r="I500" t="n">
        <v>0</v>
      </c>
      <c r="J500" t="n">
        <v>0</v>
      </c>
      <c r="K500" t="n">
        <v>0</v>
      </c>
      <c r="L500" s="5" t="inlineStr"/>
      <c r="M500" s="5" t="n"/>
    </row>
    <row r="501">
      <c r="A501" t="inlineStr">
        <is>
          <t>YX-DOC-09</t>
        </is>
      </c>
      <c r="B501" t="inlineStr">
        <is>
          <t>P05</t>
        </is>
      </c>
      <c r="C501" t="inlineStr">
        <is>
          <t>YX-DOC</t>
        </is>
      </c>
      <c r="D501" t="inlineStr">
        <is>
          <t>6+</t>
        </is>
      </c>
      <c r="E501" s="5" t="inlineStr">
        <is>
          <t>Issued letters are immutable (hash stored); corrections create a new issue that supersedes the old; reference numbers are gap-free per entity and type.</t>
        </is>
      </c>
      <c r="F501" t="inlineStr">
        <is>
          <t>Not started</t>
        </is>
      </c>
      <c r="H501">
        <f>IF(G501&lt;&gt;"",G501,F501)</f>
        <v/>
      </c>
      <c r="I501" t="n">
        <v>0</v>
      </c>
      <c r="J501" t="n">
        <v>0</v>
      </c>
      <c r="K501" t="n">
        <v>0</v>
      </c>
      <c r="L501" s="5" t="inlineStr"/>
      <c r="M501" s="5" t="n"/>
    </row>
    <row r="502">
      <c r="A502" t="inlineStr">
        <is>
          <t>YX-DOC-10</t>
        </is>
      </c>
      <c r="B502" t="inlineStr">
        <is>
          <t>P05</t>
        </is>
      </c>
      <c r="C502" t="inlineStr">
        <is>
          <t>YX-DOC</t>
        </is>
      </c>
      <c r="D502" t="inlineStr">
        <is>
          <t>6+</t>
        </is>
      </c>
      <c r="E502" s="5" t="inlineStr">
        <is>
          <t>Letter types marked approval-required go through P03 before issue.</t>
        </is>
      </c>
      <c r="F502" t="inlineStr">
        <is>
          <t>Not started</t>
        </is>
      </c>
      <c r="H502">
        <f>IF(G502&lt;&gt;"",G502,F502)</f>
        <v/>
      </c>
      <c r="I502" t="n">
        <v>0</v>
      </c>
      <c r="J502" t="n">
        <v>0</v>
      </c>
      <c r="K502" t="n">
        <v>0</v>
      </c>
      <c r="L502" s="5" t="inlineStr"/>
      <c r="M502" s="5" t="n"/>
    </row>
    <row r="503">
      <c r="A503" t="inlineStr">
        <is>
          <t>YX-DOC-11</t>
        </is>
      </c>
      <c r="B503" t="inlineStr">
        <is>
          <t>P05</t>
        </is>
      </c>
      <c r="C503" t="inlineStr">
        <is>
          <t>YX-DOC</t>
        </is>
      </c>
      <c r="D503" t="inlineStr">
        <is>
          <t>6+</t>
        </is>
      </c>
      <c r="E503" s="5" t="inlineStr">
        <is>
          <t>Issued letters carry a verification code/QR unless the tenant switched it off for that letter type (default on); the public verify page shows only company, letter type, name and date, and whether the letter is current or superseded.</t>
        </is>
      </c>
      <c r="F503" t="inlineStr">
        <is>
          <t>UI prototype only</t>
        </is>
      </c>
      <c r="H503">
        <f>IF(G503&lt;&gt;"",G503,F503)</f>
        <v/>
      </c>
      <c r="I503" t="n">
        <v>0</v>
      </c>
      <c r="J503" t="n">
        <v>0</v>
      </c>
      <c r="K503" t="n">
        <v>2</v>
      </c>
      <c r="L503" s="5" t="inlineStr"/>
      <c r="M503" s="5" t="n"/>
    </row>
    <row r="504">
      <c r="A504" t="inlineStr">
        <is>
          <t>YX-DOC-12</t>
        </is>
      </c>
      <c r="B504" t="inlineStr">
        <is>
          <t>P05</t>
        </is>
      </c>
      <c r="C504" t="inlineStr">
        <is>
          <t>YX-DOC</t>
        </is>
      </c>
      <c r="D504" t="inlineStr">
        <is>
          <t>6+</t>
        </is>
      </c>
      <c r="E504" s="5" t="inlineStr">
        <is>
          <t>Signing/acceptance stores evidence (time, IP, device, OTP channel or provider certificate, document hash) and seals the signed PDF with a completion page.</t>
        </is>
      </c>
      <c r="F504" t="inlineStr">
        <is>
          <t>Not started</t>
        </is>
      </c>
      <c r="H504">
        <f>IF(G504&lt;&gt;"",G504,F504)</f>
        <v/>
      </c>
      <c r="I504" t="n">
        <v>0</v>
      </c>
      <c r="J504" t="n">
        <v>0</v>
      </c>
      <c r="K504" t="n">
        <v>0</v>
      </c>
      <c r="L504" s="5" t="inlineStr"/>
      <c r="M504" s="5" t="n"/>
    </row>
    <row r="505">
      <c r="A505" t="inlineStr">
        <is>
          <t>YX-DOC-13</t>
        </is>
      </c>
      <c r="B505" t="inlineStr">
        <is>
          <t>P05</t>
        </is>
      </c>
      <c r="C505" t="inlineStr">
        <is>
          <t>YX-DOC</t>
        </is>
      </c>
      <c r="D505" t="inlineStr">
        <is>
          <t>6+</t>
        </is>
      </c>
      <c r="E505" s="5" t="inlineStr">
        <is>
          <t>Retention rules delete or anonymise files after their period unless a legal hold applies; every deletion is logged.</t>
        </is>
      </c>
      <c r="F505" t="inlineStr">
        <is>
          <t>Not started</t>
        </is>
      </c>
      <c r="H505">
        <f>IF(G505&lt;&gt;"",G505,F505)</f>
        <v/>
      </c>
      <c r="I505" t="n">
        <v>0</v>
      </c>
      <c r="J505" t="n">
        <v>0</v>
      </c>
      <c r="K505" t="n">
        <v>0</v>
      </c>
      <c r="L505" s="5" t="inlineStr"/>
      <c r="M505" s="5" t="n"/>
    </row>
    <row r="506">
      <c r="A506" t="inlineStr">
        <is>
          <t>YX-DOC-14</t>
        </is>
      </c>
      <c r="B506" t="inlineStr">
        <is>
          <t>P05</t>
        </is>
      </c>
      <c r="C506" t="inlineStr">
        <is>
          <t>YX-DOC</t>
        </is>
      </c>
      <c r="D506" t="inlineStr">
        <is>
          <t>6+</t>
        </is>
      </c>
      <c r="E506" s="5" t="inlineStr">
        <is>
          <t>Letters render with embedded fonts supporting all launch languages (English, Hindi, Tamil, Telugu).</t>
        </is>
      </c>
      <c r="F506" t="inlineStr">
        <is>
          <t>Not started</t>
        </is>
      </c>
      <c r="H506">
        <f>IF(G506&lt;&gt;"",G506,F506)</f>
        <v/>
      </c>
      <c r="I506" t="n">
        <v>0</v>
      </c>
      <c r="J506" t="n">
        <v>0</v>
      </c>
      <c r="K506" t="n">
        <v>0</v>
      </c>
      <c r="L506" s="5" t="inlineStr"/>
      <c r="M506" s="5" t="n"/>
    </row>
    <row r="507">
      <c r="A507" t="inlineStr">
        <is>
          <t>YX-DOC-15</t>
        </is>
      </c>
      <c r="B507" t="inlineStr">
        <is>
          <t>P05</t>
        </is>
      </c>
      <c r="C507" t="inlineStr">
        <is>
          <t>YX-DOC</t>
        </is>
      </c>
      <c r="D507" t="inlineStr">
        <is>
          <t>6+</t>
        </is>
      </c>
      <c r="E507" s="5" t="inlineStr">
        <is>
          <t>Every letter template is stored as .docx (uploaded or produced by the in-app editor) and rendered by the single fill → LibreOffice pipeline; a template can be activated only after its placeholders validate against the field registry and a sample preview has been viewed.</t>
        </is>
      </c>
      <c r="F507" t="inlineStr">
        <is>
          <t>Not started</t>
        </is>
      </c>
      <c r="H507">
        <f>IF(G507&lt;&gt;"",G507,F507)</f>
        <v/>
      </c>
      <c r="I507" t="n">
        <v>0</v>
      </c>
      <c r="J507" t="n">
        <v>0</v>
      </c>
      <c r="K507" t="n">
        <v>0</v>
      </c>
      <c r="L507" s="5" t="inlineStr"/>
      <c r="M507" s="5" t="n"/>
    </row>
    <row r="508">
      <c r="A508" t="inlineStr">
        <is>
          <t>YX-DOC-16</t>
        </is>
      </c>
      <c r="B508" t="inlineStr">
        <is>
          <t>P05</t>
        </is>
      </c>
      <c r="C508" t="inlineStr">
        <is>
          <t>YX-DOC</t>
        </is>
      </c>
      <c r="D508" t="inlineStr">
        <is>
          <t>6+</t>
        </is>
      </c>
      <c r="E508" s="5" t="inlineStr">
        <is>
          <t>After exit, the employee's login converts to an alumni account (OTP to personal email/mobile) that can only read and download their own payslips, Form 16 and issued letters, for 7 years from the exit date; all other access ends on the last working day.</t>
        </is>
      </c>
      <c r="F508" t="inlineStr">
        <is>
          <t>UI prototype only</t>
        </is>
      </c>
      <c r="H508">
        <f>IF(G508&lt;&gt;"",G508,F508)</f>
        <v/>
      </c>
      <c r="I508" t="n">
        <v>0</v>
      </c>
      <c r="J508" t="n">
        <v>0</v>
      </c>
      <c r="K508" t="n">
        <v>4</v>
      </c>
      <c r="L508" s="5" t="inlineStr"/>
      <c r="M508" s="5" t="n"/>
    </row>
    <row r="509">
      <c r="A509" t="inlineStr">
        <is>
          <t>YX-DOC-17</t>
        </is>
      </c>
      <c r="B509" t="inlineStr">
        <is>
          <t>P05</t>
        </is>
      </c>
      <c r="C509" t="inlineStr">
        <is>
          <t>YX-DOC</t>
        </is>
      </c>
      <c r="D509" t="inlineStr">
        <is>
          <t>6+</t>
        </is>
      </c>
      <c r="E509" s="5" t="inlineStr">
        <is>
          <t>Documents of verification-required types (default: PAN, Aadhaar, bank proof, education, experience) are not used by payroll, payouts or statutory filings until verified; automated partner checks (PAN verification, bank penny-drop, P10 Q6, on by default) mark the document verified on success, and HR manual verification covers other types and failed checks; payroll pre-flight lists employees with unverified or rejected proofs.</t>
        </is>
      </c>
      <c r="F509" t="inlineStr">
        <is>
          <t>Not started</t>
        </is>
      </c>
      <c r="H509">
        <f>IF(G509&lt;&gt;"",G509,F509)</f>
        <v/>
      </c>
      <c r="I509" t="n">
        <v>0</v>
      </c>
      <c r="J509" t="n">
        <v>0</v>
      </c>
      <c r="K509" t="n">
        <v>0</v>
      </c>
      <c r="L509" s="5" t="inlineStr"/>
      <c r="M509" s="5" t="n"/>
    </row>
    <row r="510">
      <c r="A510" t="inlineStr">
        <is>
          <t>YX-DOC-18</t>
        </is>
      </c>
      <c r="B510" t="inlineStr">
        <is>
          <t>P05</t>
        </is>
      </c>
      <c r="C510" t="inlineStr">
        <is>
          <t>YX-DOC</t>
        </is>
      </c>
      <c r="D510" t="inlineStr">
        <is>
          <t>6+</t>
        </is>
      </c>
      <c r="E510" s="5" t="inlineStr">
        <is>
          <t>Attachments of Special-class document types (e.g. medical certificate: Special, HR-verified, retained with the leave record it supports) are never shown to approvers who lack the Special class for that person; they see "certificate attached · verified / pending" only. The file stays reachable by the owner, HR verifiers and roles granted the class, and each view is audited (P02 YX-SEC-09).</t>
        </is>
      </c>
      <c r="F510" t="inlineStr">
        <is>
          <t>UI prototype only</t>
        </is>
      </c>
      <c r="H510">
        <f>IF(G510&lt;&gt;"",G510,F510)</f>
        <v/>
      </c>
      <c r="I510" t="n">
        <v>0</v>
      </c>
      <c r="J510" t="n">
        <v>0</v>
      </c>
      <c r="K510" t="n">
        <v>2</v>
      </c>
      <c r="L510" s="5" t="inlineStr"/>
      <c r="M510" s="5" t="n"/>
    </row>
    <row r="511">
      <c r="A511" t="inlineStr">
        <is>
          <t>YX-DOC-19</t>
        </is>
      </c>
      <c r="B511" t="inlineStr">
        <is>
          <t>P05</t>
        </is>
      </c>
      <c r="C511" t="inlineStr">
        <is>
          <t>YX-DOC</t>
        </is>
      </c>
      <c r="D511" t="inlineStr">
        <is>
          <t>6+</t>
        </is>
      </c>
      <c r="E511" s="5" t="inlineStr">
        <is>
          <t>After a death in service, each registered nominee (or a legal heir HR verifies) gets a nominee login on the alumni pattern (YX-DOC-16: OTP to the nominee's own email / mobile, read-only, audited) limited to the documents HR releases for claims: F&amp;F statement, Form 16, service / relieving letter, nominee claim cover letters and the claim forms. The employee's own login is revoked immediately; nominee access ends when HR closes the claims or after the YX-DOC-16 period.</t>
        </is>
      </c>
      <c r="F511" t="inlineStr">
        <is>
          <t>UI prototype only</t>
        </is>
      </c>
      <c r="H511">
        <f>IF(G511&lt;&gt;"",G511,F511)</f>
        <v/>
      </c>
      <c r="I511" t="n">
        <v>0</v>
      </c>
      <c r="J511" t="n">
        <v>0</v>
      </c>
      <c r="K511" t="n">
        <v>2</v>
      </c>
      <c r="L511" s="5" t="inlineStr"/>
      <c r="M511" s="5" t="n"/>
    </row>
    <row r="512">
      <c r="A512" t="inlineStr">
        <is>
          <t>YX-HIS-01</t>
        </is>
      </c>
      <c r="B512" t="inlineStr">
        <is>
          <t>P06</t>
        </is>
      </c>
      <c r="C512" t="inlineStr">
        <is>
          <t>YX-HIS</t>
        </is>
      </c>
      <c r="D512" t="inlineStr">
        <is>
          <t>2</t>
        </is>
      </c>
      <c r="E512" s="5" t="inlineStr">
        <is>
          <t>Dated facts are written only through changes; no direct edits of dated tables.</t>
        </is>
      </c>
      <c r="F512" t="inlineStr">
        <is>
          <t>Built + tested</t>
        </is>
      </c>
      <c r="H512">
        <f>IF(G512&lt;&gt;"",G512,F512)</f>
        <v/>
      </c>
      <c r="I512" t="n">
        <v>6</v>
      </c>
      <c r="J512" t="n">
        <v>1</v>
      </c>
      <c r="K512" t="n">
        <v>0</v>
      </c>
      <c r="L512" s="5" t="inlineStr">
        <is>
          <t>exam-app-org:apps/api/prisma/migrations/20261008000000_employee_history/migration.sql
exam-app-org:apps/api/prisma/migrations/20261009000000_people_core/migration.sql
exam-app-org:apps/api/prisma/schema.prisma</t>
        </is>
      </c>
      <c r="M512" s="5" t="n"/>
    </row>
    <row r="513">
      <c r="A513" t="inlineStr">
        <is>
          <t>YX-HIS-02</t>
        </is>
      </c>
      <c r="B513" t="inlineStr">
        <is>
          <t>P06</t>
        </is>
      </c>
      <c r="C513" t="inlineStr">
        <is>
          <t>YX-HIS</t>
        </is>
      </c>
      <c r="D513" t="inlineStr">
        <is>
          <t>2</t>
        </is>
      </c>
      <c r="E513" s="5" t="inlineStr">
        <is>
          <t>Current rows of a dated fact never overlap for the same subject (DB constraint).</t>
        </is>
      </c>
      <c r="F513" t="inlineStr">
        <is>
          <t>Built + tested</t>
        </is>
      </c>
      <c r="H513">
        <f>IF(G513&lt;&gt;"",G513,F513)</f>
        <v/>
      </c>
      <c r="I513" t="n">
        <v>3</v>
      </c>
      <c r="J513" t="n">
        <v>3</v>
      </c>
      <c r="K513" t="n">
        <v>0</v>
      </c>
      <c r="L513" s="5" t="inlineStr">
        <is>
          <t>exam-app-org:apps/api/prisma/migrations/20261007000000_org_structure/migration.sql
exam-app-org:apps/api/prisma/migrations/20261008000000_employee_history/migration.sql
exam-app-org:apps/api/src/employee-history/employee-history.service.ts</t>
        </is>
      </c>
      <c r="M513" s="5" t="n"/>
    </row>
    <row r="514">
      <c r="A514" t="inlineStr">
        <is>
          <t>YX-HIS-03</t>
        </is>
      </c>
      <c r="B514" t="inlineStr">
        <is>
          <t>P06</t>
        </is>
      </c>
      <c r="C514" t="inlineStr">
        <is>
          <t>YX-HIS</t>
        </is>
      </c>
      <c r="D514" t="inlineStr">
        <is>
          <t>2</t>
        </is>
      </c>
      <c r="E514" s="5" t="inlineStr">
        <is>
          <t>Facts that need continuity (assignment, compensation, statutory settings) have no gaps between joining and exit.</t>
        </is>
      </c>
      <c r="F514" t="inlineStr">
        <is>
          <t>Built, no test cites it</t>
        </is>
      </c>
      <c r="H514">
        <f>IF(G514&lt;&gt;"",G514,F514)</f>
        <v/>
      </c>
      <c r="I514" t="n">
        <v>1</v>
      </c>
      <c r="J514" t="n">
        <v>0</v>
      </c>
      <c r="K514" t="n">
        <v>0</v>
      </c>
      <c r="L514" s="5" t="inlineStr">
        <is>
          <t>exam-app-org:apps/api/src/employee-history/employee-history.service.ts</t>
        </is>
      </c>
      <c r="M514" s="5" t="n"/>
    </row>
    <row r="515">
      <c r="A515" t="inlineStr">
        <is>
          <t>YX-HIS-04</t>
        </is>
      </c>
      <c r="B515" t="inlineStr">
        <is>
          <t>P06</t>
        </is>
      </c>
      <c r="C515" t="inlineStr">
        <is>
          <t>YX-HIS</t>
        </is>
      </c>
      <c r="D515" t="inlineStr">
        <is>
          <t>2</t>
        </is>
      </c>
      <c r="E515" s="5" t="inlineStr">
        <is>
          <t>Effective dates are calendar dates in the employee's location; scheduled changes apply at the start of that day in that time zone.</t>
        </is>
      </c>
      <c r="F515" t="inlineStr">
        <is>
          <t>Built + tested</t>
        </is>
      </c>
      <c r="H515">
        <f>IF(G515&lt;&gt;"",G515,F515)</f>
        <v/>
      </c>
      <c r="I515" t="n">
        <v>5</v>
      </c>
      <c r="J515" t="n">
        <v>2</v>
      </c>
      <c r="K515" t="n">
        <v>0</v>
      </c>
      <c r="L515" s="5" t="inlineStr">
        <is>
          <t>exam-app-org:apps/api/prisma/migrations/20261007000000_org_structure/migration.sql
exam-app-org:apps/api/src/employee-history/employee-history.service.ts
exam-app-org:apps/api/src/employee-history/history-rules.spec.ts</t>
        </is>
      </c>
      <c r="M515" s="5" t="n"/>
    </row>
    <row r="516">
      <c r="A516" t="inlineStr">
        <is>
          <t>YX-HIS-05</t>
        </is>
      </c>
      <c r="B516" t="inlineStr">
        <is>
          <t>P06</t>
        </is>
      </c>
      <c r="C516" t="inlineStr">
        <is>
          <t>YX-HIS</t>
        </is>
      </c>
      <c r="D516" t="inlineStr">
        <is>
          <t>2</t>
        </is>
      </c>
      <c r="E516" s="5" t="inlineStr">
        <is>
          <t>Applying a change closes and opens rows in one transaction and emits employee.change.effective; the daily job is idempotent.</t>
        </is>
      </c>
      <c r="F516" t="inlineStr">
        <is>
          <t>Built + tested</t>
        </is>
      </c>
      <c r="H516">
        <f>IF(G516&lt;&gt;"",G516,F516)</f>
        <v/>
      </c>
      <c r="I516" t="n">
        <v>2</v>
      </c>
      <c r="J516" t="n">
        <v>1</v>
      </c>
      <c r="K516" t="n">
        <v>0</v>
      </c>
      <c r="L516" s="5" t="inlineStr">
        <is>
          <t>exam-app-org:apps/api/prisma/migrations/20261008000000_employee_history/migration.sql
exam-app-org:apps/api/src/employee-history/employee-history.service.ts
exam-app-org:apps/api/test/employee-history.e2e-spec.ts</t>
        </is>
      </c>
      <c r="M516" s="5" t="n"/>
    </row>
    <row r="517">
      <c r="A517" t="inlineStr">
        <is>
          <t>YX-HIS-06</t>
        </is>
      </c>
      <c r="B517" t="inlineStr">
        <is>
          <t>P06</t>
        </is>
      </c>
      <c r="C517" t="inlineStr">
        <is>
          <t>YX-HIS</t>
        </is>
      </c>
      <c r="D517" t="inlineStr">
        <is>
          <t>2</t>
        </is>
      </c>
      <c r="E517" s="5" t="inlineStr">
        <is>
          <t>A new change dated before a scheduled change rebases the later one; the user sees the recalculated values before confirming.</t>
        </is>
      </c>
      <c r="F517" t="inlineStr">
        <is>
          <t>Built + tested</t>
        </is>
      </c>
      <c r="H517">
        <f>IF(G517&lt;&gt;"",G517,F517)</f>
        <v/>
      </c>
      <c r="I517" t="n">
        <v>3</v>
      </c>
      <c r="J517" t="n">
        <v>3</v>
      </c>
      <c r="K517" t="n">
        <v>1</v>
      </c>
      <c r="L517" s="5" t="inlineStr">
        <is>
          <t>exam-app-org:apps/api/src/employee-history/dto.ts
exam-app-org:apps/api/src/employee-history/employee-history.service.ts
exam-app-org:apps/api/src/employee-history/history-rules.spec.ts</t>
        </is>
      </c>
      <c r="M517" s="5" t="n"/>
    </row>
    <row r="518">
      <c r="A518" t="inlineStr">
        <is>
          <t>YX-HIS-07</t>
        </is>
      </c>
      <c r="B518" t="inlineStr">
        <is>
          <t>P06</t>
        </is>
      </c>
      <c r="C518" t="inlineStr">
        <is>
          <t>YX-HIS</t>
        </is>
      </c>
      <c r="D518" t="inlineStr">
        <is>
          <t>2</t>
        </is>
      </c>
      <c r="E518" s="5" t="inlineStr">
        <is>
          <t>Retro changes supersede, never delete; superseded rows stay queryable with who, when and why.</t>
        </is>
      </c>
      <c r="F518" t="inlineStr">
        <is>
          <t>Built + tested</t>
        </is>
      </c>
      <c r="H518">
        <f>IF(G518&lt;&gt;"",G518,F518)</f>
        <v/>
      </c>
      <c r="I518" t="n">
        <v>6</v>
      </c>
      <c r="J518" t="n">
        <v>4</v>
      </c>
      <c r="K518" t="n">
        <v>2</v>
      </c>
      <c r="L518" s="5" t="inlineStr">
        <is>
          <t>exam-app-org:apps/api/prisma/migrations/20261008000000_employee_history/migration.sql
exam-app-org:apps/api/prisma/migrations/20261009000000_people_core/migration.sql
exam-app-org:apps/api/prisma/schema.prisma</t>
        </is>
      </c>
      <c r="M518" s="5" t="n"/>
    </row>
    <row r="519">
      <c r="A519" t="inlineStr">
        <is>
          <t>YX-HIS-08</t>
        </is>
      </c>
      <c r="B519" t="inlineStr">
        <is>
          <t>P06</t>
        </is>
      </c>
      <c r="C519" t="inlineStr">
        <is>
          <t>YX-HIS</t>
        </is>
      </c>
      <c r="D519" t="inlineStr">
        <is>
          <t>2</t>
        </is>
      </c>
      <c r="E519" s="5" t="inlineStr">
        <is>
          <t>Issued payslips are never altered by corrections; differences flow to the next payroll as arrears/recoveries (Q4).</t>
        </is>
      </c>
      <c r="F519" t="inlineStr">
        <is>
          <t>Verify (step done, not linked)</t>
        </is>
      </c>
      <c r="H519">
        <f>IF(G519&lt;&gt;"",G519,F519)</f>
        <v/>
      </c>
      <c r="I519" t="n">
        <v>0</v>
      </c>
      <c r="J519" t="n">
        <v>0</v>
      </c>
      <c r="K519" t="n">
        <v>0</v>
      </c>
      <c r="L519" s="5" t="inlineStr"/>
      <c r="M519" s="5" t="n"/>
    </row>
    <row r="520">
      <c r="A520" t="inlineStr">
        <is>
          <t>YX-HIS-09</t>
        </is>
      </c>
      <c r="B520" t="inlineStr">
        <is>
          <t>P06</t>
        </is>
      </c>
      <c r="C520" t="inlineStr">
        <is>
          <t>YX-HIS</t>
        </is>
      </c>
      <c r="D520" t="inlineStr">
        <is>
          <t>2</t>
        </is>
      </c>
      <c r="E520" s="5" t="inlineStr">
        <is>
          <t>Payroll runs freeze their inputs (as-on snapshot + segments) so any payslip can be reproduced.</t>
        </is>
      </c>
      <c r="F520" t="inlineStr">
        <is>
          <t>Verify (step done, not linked)</t>
        </is>
      </c>
      <c r="H520">
        <f>IF(G520&lt;&gt;"",G520,F520)</f>
        <v/>
      </c>
      <c r="I520" t="n">
        <v>0</v>
      </c>
      <c r="J520" t="n">
        <v>0</v>
      </c>
      <c r="K520" t="n">
        <v>0</v>
      </c>
      <c r="L520" s="5" t="inlineStr"/>
      <c r="M520" s="5" t="n"/>
    </row>
    <row r="521">
      <c r="A521" t="inlineStr">
        <is>
          <t>YX-HIS-10</t>
        </is>
      </c>
      <c r="B521" t="inlineStr">
        <is>
          <t>P06</t>
        </is>
      </c>
      <c r="C521" t="inlineStr">
        <is>
          <t>YX-HIS</t>
        </is>
      </c>
      <c r="D521" t="inlineStr">
        <is>
          <t>2</t>
        </is>
      </c>
      <c r="E521" s="5" t="inlineStr">
        <is>
          <t>As-on and segment queries respect tenant RLS and P02 visibility, including P02's time-bound manager access.</t>
        </is>
      </c>
      <c r="F521" t="inlineStr">
        <is>
          <t>Built + tested</t>
        </is>
      </c>
      <c r="H521">
        <f>IF(G521&lt;&gt;"",G521,F521)</f>
        <v/>
      </c>
      <c r="I521" t="n">
        <v>1</v>
      </c>
      <c r="J521" t="n">
        <v>1</v>
      </c>
      <c r="K521" t="n">
        <v>0</v>
      </c>
      <c r="L521" s="5" t="inlineStr">
        <is>
          <t>exam-app-org:apps/api/src/employee-history/employee-history.service.ts
exam-app-org:apps/api/test/employee-history.e2e-spec.ts</t>
        </is>
      </c>
      <c r="M521" s="5" t="n"/>
    </row>
    <row r="522">
      <c r="A522" t="inlineStr">
        <is>
          <t>YX-HIS-11</t>
        </is>
      </c>
      <c r="B522" t="inlineStr">
        <is>
          <t>P06</t>
        </is>
      </c>
      <c r="C522" t="inlineStr">
        <is>
          <t>YX-HIS</t>
        </is>
      </c>
      <c r="D522" t="inlineStr">
        <is>
          <t>2</t>
        </is>
      </c>
      <c r="E522" s="5" t="inlineStr">
        <is>
          <t>Every change shows an impact preview before approval (derived effects on calendars, statutory state, approvers, leave policy, payroll proration).</t>
        </is>
      </c>
      <c r="F522" t="inlineStr">
        <is>
          <t>Built + tested</t>
        </is>
      </c>
      <c r="H522">
        <f>IF(G522&lt;&gt;"",G522,F522)</f>
        <v/>
      </c>
      <c r="I522" t="n">
        <v>2</v>
      </c>
      <c r="J522" t="n">
        <v>2</v>
      </c>
      <c r="K522" t="n">
        <v>3</v>
      </c>
      <c r="L522" s="5" t="inlineStr">
        <is>
          <t>exam-app-org:apps/api/prisma/migrations/20261008000000_employee_history/migration.sql
exam-app-org:apps/api/src/employee-history/employee-history.service.ts
exam-app-org:apps/api/test/employee-history.e2e-spec.ts</t>
        </is>
      </c>
      <c r="M522" s="5" t="n"/>
    </row>
    <row r="523">
      <c r="A523" t="inlineStr">
        <is>
          <t>YX-HIS-12</t>
        </is>
      </c>
      <c r="B523" t="inlineStr">
        <is>
          <t>P06</t>
        </is>
      </c>
      <c r="C523" t="inlineStr">
        <is>
          <t>YX-HIS</t>
        </is>
      </c>
      <c r="D523" t="inlineStr">
        <is>
          <t>2</t>
        </is>
      </c>
      <c r="E523" s="5" t="inlineStr">
        <is>
          <t>Past-dated changes are classified by reach: open payroll period (normal approval), processed payroll (correction request incl. Payroll Admin), before the tenant's retro limit (default: FY start; System Admin override with reason).</t>
        </is>
      </c>
      <c r="F523" t="inlineStr">
        <is>
          <t>Built + tested</t>
        </is>
      </c>
      <c r="H523">
        <f>IF(G523&lt;&gt;"",G523,F523)</f>
        <v/>
      </c>
      <c r="I523" t="n">
        <v>7</v>
      </c>
      <c r="J523" t="n">
        <v>5</v>
      </c>
      <c r="K523" t="n">
        <v>3</v>
      </c>
      <c r="L523" s="5" t="inlineStr">
        <is>
          <t>exam-app-org:apps/api/prisma/migrations/20261008000000_employee_history/migration.sql
exam-app-org:apps/api/prisma/seed.ts
exam-app-org:apps/api/src/employee-history/dto.ts</t>
        </is>
      </c>
      <c r="M523" s="5" t="n"/>
    </row>
    <row r="524">
      <c r="A524" t="inlineStr">
        <is>
          <t>YX-HIS-13</t>
        </is>
      </c>
      <c r="B524" t="inlineStr">
        <is>
          <t>P06</t>
        </is>
      </c>
      <c r="C524" t="inlineStr">
        <is>
          <t>YX-HIS</t>
        </is>
      </c>
      <c r="D524" t="inlineStr">
        <is>
          <t>2</t>
        </is>
      </c>
      <c r="E524" s="5" t="inlineStr">
        <is>
          <t>Mid-period treatment follows the tenant's policy per change type (and optionally per component): segments (default), whole-month cut-off day N, or next-month + arrears; statutory computations always use the legally required basis.</t>
        </is>
      </c>
      <c r="F524" t="inlineStr">
        <is>
          <t>Built, no test cites it</t>
        </is>
      </c>
      <c r="H524">
        <f>IF(G524&lt;&gt;"",G524,F524)</f>
        <v/>
      </c>
      <c r="I524" t="n">
        <v>1</v>
      </c>
      <c r="J524" t="n">
        <v>0</v>
      </c>
      <c r="K524" t="n">
        <v>0</v>
      </c>
      <c r="L524" s="5" t="inlineStr">
        <is>
          <t>exam-app-org:apps/api/src/employee-history/employee-history.service.ts</t>
        </is>
      </c>
      <c r="M524" s="5" t="n"/>
    </row>
    <row r="525">
      <c r="A525" t="inlineStr">
        <is>
          <t>YX-HIS-14</t>
        </is>
      </c>
      <c r="B525" t="inlineStr">
        <is>
          <t>P06</t>
        </is>
      </c>
      <c r="C525" t="inlineStr">
        <is>
          <t>YX-HIS</t>
        </is>
      </c>
      <c r="D525" t="inlineStr">
        <is>
          <t>2</t>
        </is>
      </c>
      <c r="E525" s="5" t="inlineStr">
        <is>
          <t>Absence status (sabbatical, long LWP, maternity, long-term disability, suspension), gender and marital status are dated facts written only through changes. Absence rows carry start and expected return; the impact preview shows the effects (expected attendance, accrual pause, zero-wage months; PT gender slab and leave eligibility for gender; nominee re-prompt for marital status).</t>
        </is>
      </c>
      <c r="F525" t="inlineStr">
        <is>
          <t>Verify (step done, not linked)</t>
        </is>
      </c>
      <c r="H525">
        <f>IF(G525&lt;&gt;"",G525,F525)</f>
        <v/>
      </c>
      <c r="I525" t="n">
        <v>0</v>
      </c>
      <c r="J525" t="n">
        <v>0</v>
      </c>
      <c r="K525" t="n">
        <v>0</v>
      </c>
      <c r="L525" s="5" t="inlineStr"/>
      <c r="M525" s="5" t="n"/>
    </row>
    <row r="526">
      <c r="A526" t="inlineStr">
        <is>
          <t>YX-HIS-15</t>
        </is>
      </c>
      <c r="B526" t="inlineStr">
        <is>
          <t>P06</t>
        </is>
      </c>
      <c r="C526" t="inlineStr">
        <is>
          <t>YX-HIS</t>
        </is>
      </c>
      <c r="D526" t="inlineStr">
        <is>
          <t>2</t>
        </is>
      </c>
      <c r="E526" s="5" t="inlineStr">
        <is>
          <t>Lifecycle change types contract extension, conversion to permanent, retirement extension and re-employment are dated changes: extension moves contract_end_on / the superannuation date; conversion changes employment type (and its P01 YX-ORG-20 statutory defaults) from the effective date; re-employment after retirement follows P01 YX-ORG-19 with the retired re-employed type.</t>
        </is>
      </c>
      <c r="F526" t="inlineStr">
        <is>
          <t>Verify (step done, not linked)</t>
        </is>
      </c>
      <c r="H526">
        <f>IF(G526&lt;&gt;"",G526,F526)</f>
        <v/>
      </c>
      <c r="I526" t="n">
        <v>0</v>
      </c>
      <c r="J526" t="n">
        <v>0</v>
      </c>
      <c r="K526" t="n">
        <v>0</v>
      </c>
      <c r="L526" s="5" t="inlineStr"/>
      <c r="M526" s="5" t="n"/>
    </row>
    <row r="527">
      <c r="A527" t="inlineStr">
        <is>
          <t>YX-STAT-01</t>
        </is>
      </c>
      <c r="B527" t="inlineStr">
        <is>
          <t>P07</t>
        </is>
      </c>
      <c r="C527" t="inlineStr">
        <is>
          <t>YX-STAT</t>
        </is>
      </c>
      <c r="D527" t="inlineStr">
        <is>
          <t>4, 5</t>
        </is>
      </c>
      <c r="E527" s="5" t="inlineStr">
        <is>
          <t>No statutory rate, slab, ceiling, due date or list is hard-coded; all come from published rule sets.</t>
        </is>
      </c>
      <c r="F527" t="inlineStr">
        <is>
          <t>UI prototype only</t>
        </is>
      </c>
      <c r="H527">
        <f>IF(G527&lt;&gt;"",G527,F527)</f>
        <v/>
      </c>
      <c r="I527" t="n">
        <v>0</v>
      </c>
      <c r="J527" t="n">
        <v>0</v>
      </c>
      <c r="K527" t="n">
        <v>2</v>
      </c>
      <c r="L527" s="5" t="inlineStr"/>
      <c r="M527" s="5" t="n"/>
    </row>
    <row r="528">
      <c r="A528" t="inlineStr">
        <is>
          <t>YX-STAT-02</t>
        </is>
      </c>
      <c r="B528" t="inlineStr">
        <is>
          <t>P07</t>
        </is>
      </c>
      <c r="C528" t="inlineStr">
        <is>
          <t>YX-STAT</t>
        </is>
      </c>
      <c r="D528" t="inlineStr">
        <is>
          <t>4, 5</t>
        </is>
      </c>
      <c r="E528" s="5" t="inlineStr">
        <is>
          <t>Rule sets are effective-dated and versioned; a published version is never edited, only superseded or withdrawn by a new version.</t>
        </is>
      </c>
      <c r="F528" t="inlineStr">
        <is>
          <t>Not started</t>
        </is>
      </c>
      <c r="H528">
        <f>IF(G528&lt;&gt;"",G528,F528)</f>
        <v/>
      </c>
      <c r="I528" t="n">
        <v>0</v>
      </c>
      <c r="J528" t="n">
        <v>0</v>
      </c>
      <c r="K528" t="n">
        <v>0</v>
      </c>
      <c r="L528" s="5" t="inlineStr"/>
      <c r="M528" s="5" t="n"/>
    </row>
    <row r="529">
      <c r="A529" t="inlineStr">
        <is>
          <t>YX-STAT-03</t>
        </is>
      </c>
      <c r="B529" t="inlineStr">
        <is>
          <t>P07</t>
        </is>
      </c>
      <c r="C529" t="inlineStr">
        <is>
          <t>YX-STAT</t>
        </is>
      </c>
      <c r="D529" t="inlineStr">
        <is>
          <t>4, 5</t>
        </is>
      </c>
      <c r="E529" s="5" t="inlineStr">
        <is>
          <t>Every rule set cites its legal source (notification/circular/URL + stored copy).</t>
        </is>
      </c>
      <c r="F529" t="inlineStr">
        <is>
          <t>Not started</t>
        </is>
      </c>
      <c r="H529">
        <f>IF(G529&lt;&gt;"",G529,F529)</f>
        <v/>
      </c>
      <c r="I529" t="n">
        <v>0</v>
      </c>
      <c r="J529" t="n">
        <v>0</v>
      </c>
      <c r="K529" t="n">
        <v>0</v>
      </c>
      <c r="L529" s="5" t="inlineStr"/>
      <c r="M529" s="5" t="n"/>
    </row>
    <row r="530">
      <c r="A530" t="inlineStr">
        <is>
          <t>YX-STAT-04</t>
        </is>
      </c>
      <c r="B530" t="inlineStr">
        <is>
          <t>P07</t>
        </is>
      </c>
      <c r="C530" t="inlineStr">
        <is>
          <t>YX-STAT</t>
        </is>
      </c>
      <c r="D530" t="inlineStr">
        <is>
          <t>4, 5</t>
        </is>
      </c>
      <c r="E530" s="5" t="inlineStr">
        <is>
          <t>Publishing requires passing shape validation and golden test cases, and a second person's review.</t>
        </is>
      </c>
      <c r="F530" t="inlineStr">
        <is>
          <t>UI prototype only</t>
        </is>
      </c>
      <c r="H530">
        <f>IF(G530&lt;&gt;"",G530,F530)</f>
        <v/>
      </c>
      <c r="I530" t="n">
        <v>0</v>
      </c>
      <c r="J530" t="n">
        <v>0</v>
      </c>
      <c r="K530" t="n">
        <v>2</v>
      </c>
      <c r="L530" s="5" t="inlineStr"/>
      <c r="M530" s="5" t="n"/>
    </row>
    <row r="531">
      <c r="A531" t="inlineStr">
        <is>
          <t>YX-STAT-05</t>
        </is>
      </c>
      <c r="B531" t="inlineStr">
        <is>
          <t>P07</t>
        </is>
      </c>
      <c r="C531" t="inlineStr">
        <is>
          <t>YX-STAT</t>
        </is>
      </c>
      <c r="D531" t="inlineStr">
        <is>
          <t>4, 5</t>
        </is>
      </c>
      <c r="E531" s="5" t="inlineStr">
        <is>
          <t>Evaluations use the rule set valid on the period date (P06) and record the version used; payroll snapshots store these references.</t>
        </is>
      </c>
      <c r="F531" t="inlineStr">
        <is>
          <t>Not started</t>
        </is>
      </c>
      <c r="H531">
        <f>IF(G531&lt;&gt;"",G531,F531)</f>
        <v/>
      </c>
      <c r="I531" t="n">
        <v>0</v>
      </c>
      <c r="J531" t="n">
        <v>0</v>
      </c>
      <c r="K531" t="n">
        <v>0</v>
      </c>
      <c r="L531" s="5" t="inlineStr"/>
      <c r="M531" s="5" t="n"/>
    </row>
    <row r="532">
      <c r="A532" t="inlineStr">
        <is>
          <t>YX-STAT-06</t>
        </is>
      </c>
      <c r="B532" t="inlineStr">
        <is>
          <t>P07</t>
        </is>
      </c>
      <c r="C532" t="inlineStr">
        <is>
          <t>YX-STAT</t>
        </is>
      </c>
      <c r="D532" t="inlineStr">
        <is>
          <t>4, 5</t>
        </is>
      </c>
      <c r="E532" s="5" t="inlineStr">
        <is>
          <t>Tenants cannot override statutory rates; they choose only legal options recorded per legal entity with effective dates.</t>
        </is>
      </c>
      <c r="F532" t="inlineStr">
        <is>
          <t>Not started</t>
        </is>
      </c>
      <c r="H532">
        <f>IF(G532&lt;&gt;"",G532,F532)</f>
        <v/>
      </c>
      <c r="I532" t="n">
        <v>0</v>
      </c>
      <c r="J532" t="n">
        <v>0</v>
      </c>
      <c r="K532" t="n">
        <v>0</v>
      </c>
      <c r="L532" s="5" t="inlineStr"/>
      <c r="M532" s="5" t="n"/>
    </row>
    <row r="533">
      <c r="A533" t="inlineStr">
        <is>
          <t>YX-STAT-07</t>
        </is>
      </c>
      <c r="B533" t="inlineStr">
        <is>
          <t>P07</t>
        </is>
      </c>
      <c r="C533" t="inlineStr">
        <is>
          <t>YX-STAT</t>
        </is>
      </c>
      <c r="D533" t="inlineStr">
        <is>
          <t>4, 5</t>
        </is>
      </c>
      <c r="E533" s="5" t="inlineStr">
        <is>
          <t>Past-dated publications flag affected processed payrolls per tenant and produce an arrears/recovery proposal (never silent recalculation).</t>
        </is>
      </c>
      <c r="F533" t="inlineStr">
        <is>
          <t>Not started</t>
        </is>
      </c>
      <c r="H533">
        <f>IF(G533&lt;&gt;"",G533,F533)</f>
        <v/>
      </c>
      <c r="I533" t="n">
        <v>0</v>
      </c>
      <c r="J533" t="n">
        <v>0</v>
      </c>
      <c r="K533" t="n">
        <v>0</v>
      </c>
      <c r="L533" s="5" t="inlineStr"/>
      <c r="M533" s="5" t="n"/>
    </row>
    <row r="534">
      <c r="A534" t="inlineStr">
        <is>
          <t>YX-STAT-08</t>
        </is>
      </c>
      <c r="B534" t="inlineStr">
        <is>
          <t>P07</t>
        </is>
      </c>
      <c r="C534" t="inlineStr">
        <is>
          <t>YX-STAT</t>
        </is>
      </c>
      <c r="D534" t="inlineStr">
        <is>
          <t>4, 5</t>
        </is>
      </c>
      <c r="E534" s="5" t="inlineStr">
        <is>
          <t>Rule changes notify affected tenants' Payroll Admins and HR Admins in-app and by email at publication, with a plain summary and impact count, plus a reminder before the effective date; the targeted, time-boxed banner follows YX-STAT-12.</t>
        </is>
      </c>
      <c r="F534" t="inlineStr">
        <is>
          <t>Not started</t>
        </is>
      </c>
      <c r="H534">
        <f>IF(G534&lt;&gt;"",G534,F534)</f>
        <v/>
      </c>
      <c r="I534" t="n">
        <v>0</v>
      </c>
      <c r="J534" t="n">
        <v>0</v>
      </c>
      <c r="K534" t="n">
        <v>0</v>
      </c>
      <c r="L534" s="5" t="inlineStr"/>
      <c r="M534" s="5" t="n"/>
    </row>
    <row r="535">
      <c r="A535" t="inlineStr">
        <is>
          <t>YX-STAT-09</t>
        </is>
      </c>
      <c r="B535" t="inlineStr">
        <is>
          <t>P07</t>
        </is>
      </c>
      <c r="C535" t="inlineStr">
        <is>
          <t>YX-STAT</t>
        </is>
      </c>
      <c r="D535" t="inlineStr">
        <is>
          <t>4, 5</t>
        </is>
      </c>
      <c r="E535" s="5" t="inlineStr">
        <is>
          <t>Minimum wage is checked at salary change and payroll pre-flight using the employee's location state, zone and skill category; the applicable minimum is max(state minimum wage, national floor wage) (YX-STAT-22).</t>
        </is>
      </c>
      <c r="F535" t="inlineStr">
        <is>
          <t>Not started</t>
        </is>
      </c>
      <c r="H535">
        <f>IF(G535&lt;&gt;"",G535,F535)</f>
        <v/>
      </c>
      <c r="I535" t="n">
        <v>0</v>
      </c>
      <c r="J535" t="n">
        <v>0</v>
      </c>
      <c r="K535" t="n">
        <v>0</v>
      </c>
      <c r="L535" s="5" t="inlineStr"/>
      <c r="M535" s="5" t="n"/>
    </row>
    <row r="536">
      <c r="A536" t="inlineStr">
        <is>
          <t>YX-STAT-10</t>
        </is>
      </c>
      <c r="B536" t="inlineStr">
        <is>
          <t>P07</t>
        </is>
      </c>
      <c r="C536" t="inlineStr">
        <is>
          <t>YX-STAT</t>
        </is>
      </c>
      <c r="D536" t="inlineStr">
        <is>
          <t>4, 5</t>
        </is>
      </c>
      <c r="E536" s="5" t="inlineStr">
        <is>
          <t>Statutory reference data lives in the statutory schema without tenant key; the statutory schema and platform catalogue tables (e.g. P09 standard metric definitions) are the only tables exempt from YX-ORG-14 and are read-only to the application's tenant role; tenant custom rows always carry organization_id.</t>
        </is>
      </c>
      <c r="F536" t="inlineStr">
        <is>
          <t>Not started</t>
        </is>
      </c>
      <c r="H536">
        <f>IF(G536&lt;&gt;"",G536,F536)</f>
        <v/>
      </c>
      <c r="I536" t="n">
        <v>0</v>
      </c>
      <c r="J536" t="n">
        <v>0</v>
      </c>
      <c r="K536" t="n">
        <v>0</v>
      </c>
      <c r="L536" s="5" t="inlineStr"/>
      <c r="M536" s="5" t="n"/>
    </row>
    <row r="537">
      <c r="A537" t="inlineStr">
        <is>
          <t>YX-STAT-11</t>
        </is>
      </c>
      <c r="B537" t="inlineStr">
        <is>
          <t>P07</t>
        </is>
      </c>
      <c r="C537" t="inlineStr">
        <is>
          <t>YX-STAT</t>
        </is>
      </c>
      <c r="D537" t="inlineStr">
        <is>
          <t>4, 5</t>
        </is>
      </c>
      <c r="E537" s="5" t="inlineStr">
        <is>
          <t>PT computations enforce the constitutional ₹2,500 annual cap per employee per employer (avoiding Frappe IN-D6).</t>
        </is>
      </c>
      <c r="F537" t="inlineStr">
        <is>
          <t>Not started</t>
        </is>
      </c>
      <c r="H537">
        <f>IF(G537&lt;&gt;"",G537,F537)</f>
        <v/>
      </c>
      <c r="I537" t="n">
        <v>0</v>
      </c>
      <c r="J537" t="n">
        <v>0</v>
      </c>
      <c r="K537" t="n">
        <v>0</v>
      </c>
      <c r="L537" s="5" t="inlineStr"/>
      <c r="M537" s="5" t="n"/>
    </row>
    <row r="538">
      <c r="A538" t="inlineStr">
        <is>
          <t>YX-STAT-12</t>
        </is>
      </c>
      <c r="B538" t="inlineStr">
        <is>
          <t>P07</t>
        </is>
      </c>
      <c r="C538" t="inlineStr">
        <is>
          <t>YX-STAT</t>
        </is>
      </c>
      <c r="D538" t="inlineStr">
        <is>
          <t>4, 5</t>
        </is>
      </c>
      <c r="E538" s="5" t="inlineStr">
        <is>
          <t>Statutory-update banners are targeted (only admins of affected entities/states; employee tax-centre banner only for employee-affecting changes), time-boxed (publication → effective date + 7 days), dismissible per user and grouped when several are pending.</t>
        </is>
      </c>
      <c r="F538" t="inlineStr">
        <is>
          <t>Not started</t>
        </is>
      </c>
      <c r="H538">
        <f>IF(G538&lt;&gt;"",G538,F538)</f>
        <v/>
      </c>
      <c r="I538" t="n">
        <v>0</v>
      </c>
      <c r="J538" t="n">
        <v>0</v>
      </c>
      <c r="K538" t="n">
        <v>0</v>
      </c>
      <c r="L538" s="5" t="inlineStr"/>
      <c r="M538" s="5" t="n"/>
    </row>
    <row r="539">
      <c r="A539" t="inlineStr">
        <is>
          <t>YX-STAT-13</t>
        </is>
      </c>
      <c r="B539" t="inlineStr">
        <is>
          <t>P07</t>
        </is>
      </c>
      <c r="C539" t="inlineStr">
        <is>
          <t>YX-STAT</t>
        </is>
      </c>
      <c r="D539" t="inlineStr">
        <is>
          <t>4, 5</t>
        </is>
      </c>
      <c r="E539" s="5" t="inlineStr">
        <is>
          <t>Statutory defaults per employment-type category (PF, ESI, PT, LWF, bonus, gratuity applicability) come from P07 rule sets, not code or tenant data; P01 YX-ORG-20 applies them, and a tenant override is accepted only where the rule set marks the item as a legal option. Rule sets whose content is not yet confirmed are published only with a "verify status" flag shown to tenants; the Labour Codes (in force 21 Nov 2025) are not flagged — fixed-term gratuity (pro-rata after 1 year) is enforced law (YX-STAT-20).</t>
        </is>
      </c>
      <c r="F539" t="inlineStr">
        <is>
          <t>Not started</t>
        </is>
      </c>
      <c r="H539">
        <f>IF(G539&lt;&gt;"",G539,F539)</f>
        <v/>
      </c>
      <c r="I539" t="n">
        <v>0</v>
      </c>
      <c r="J539" t="n">
        <v>0</v>
      </c>
      <c r="K539" t="n">
        <v>0</v>
      </c>
      <c r="L539" s="5" t="inlineStr"/>
      <c r="M539" s="5" t="n"/>
    </row>
    <row r="540">
      <c r="A540" t="inlineStr">
        <is>
          <t>YX-STAT-14</t>
        </is>
      </c>
      <c r="B540" t="inlineStr">
        <is>
          <t>P07</t>
        </is>
      </c>
      <c r="C540" t="inlineStr">
        <is>
          <t>YX-STAT</t>
        </is>
      </c>
      <c r="D540" t="inlineStr">
        <is>
          <t>4, 5</t>
        </is>
      </c>
      <c r="E540" s="5" t="inlineStr">
        <is>
          <t>Interest, late fees, damages and penalties are dated penalty parameters per statute (TDS s.201(1A) / 234E / 271H, PF s.7Q / 14B, ESI interest / damages, PT late fees per state), never hard-coded; M03 computes challan interest / fee from them (YX-TAX-14), and the compliance calendar shows an estimated penalty for due / overdue items, labelled as an estimate with the rule version (fixes U45; GAP A9); once a late or supplementary PF / ESI payment is made, the amount becomes a payable line with its calculation (YX-STAT-26).</t>
        </is>
      </c>
      <c r="F540" t="inlineStr">
        <is>
          <t>UI prototype only</t>
        </is>
      </c>
      <c r="H540">
        <f>IF(G540&lt;&gt;"",G540,F540)</f>
        <v/>
      </c>
      <c r="I540" t="n">
        <v>0</v>
      </c>
      <c r="J540" t="n">
        <v>0</v>
      </c>
      <c r="K540" t="n">
        <v>2</v>
      </c>
      <c r="L540" s="5" t="inlineStr"/>
      <c r="M540" s="5" t="n"/>
    </row>
    <row r="541">
      <c r="A541" t="inlineStr">
        <is>
          <t>YX-STAT-15</t>
        </is>
      </c>
      <c r="B541" t="inlineStr">
        <is>
          <t>P07</t>
        </is>
      </c>
      <c r="C541" t="inlineStr">
        <is>
          <t>YX-STAT</t>
        </is>
      </c>
      <c r="D541" t="inlineStr">
        <is>
          <t>4, 5</t>
        </is>
      </c>
      <c r="E541" s="5" t="inlineStr">
        <is>
          <t>Non-salary TDS is data (A8): sections (194C, 194J(a), 194J(b)), rates by deductee type, single-payment and aggregate-per-FY thresholds, the s.206AA no-PAN rate, s.197 certificate semantics (rate within validity and limit), the GST-exclusion rule, challan / return section and reason codes, and Form 140 / Form 131 formats and due dates (26Q / Form 16A up to 31 Mar 2026) come from dated IN.TDS rule sets, never code; a change of section numbering or form names (the Income-tax Act 2025 from 1 Apr 2026, YX-STAT-24) is a new rule-set version, not a release.</t>
        </is>
      </c>
      <c r="F541" t="inlineStr">
        <is>
          <t>Not started</t>
        </is>
      </c>
      <c r="H541">
        <f>IF(G541&lt;&gt;"",G541,F541)</f>
        <v/>
      </c>
      <c r="I541" t="n">
        <v>0</v>
      </c>
      <c r="J541" t="n">
        <v>0</v>
      </c>
      <c r="K541" t="n">
        <v>0</v>
      </c>
      <c r="L541" s="5" t="inlineStr"/>
      <c r="M541" s="5" t="n"/>
    </row>
    <row r="542">
      <c r="A542" t="inlineStr">
        <is>
          <t>YX-STAT-16</t>
        </is>
      </c>
      <c r="B542" t="inlineStr">
        <is>
          <t>P07</t>
        </is>
      </c>
      <c r="C542" t="inlineStr">
        <is>
          <t>YX-STAT</t>
        </is>
      </c>
      <c r="D542" t="inlineStr">
        <is>
          <t>4, 5</t>
        </is>
      </c>
      <c r="E542" s="5" t="inlineStr">
        <is>
          <t>Register formats are dated data (A9): IN.REGISTERS holds, per state and establishment type, the required register types and their format versions with valid_from / valid_to and family (labour-code unified or legacy S&amp;E / Factories); a register is always generated in the format valid on its period date, legacy and labour-code formats may overlap where a state requires both in transition, and a state that has not notified its rules under the Codes keeps its legacy formats as a transitional rule set, flagged in the compliance calendar (YX-STAT-20).</t>
        </is>
      </c>
      <c r="F542" t="inlineStr">
        <is>
          <t>Not started</t>
        </is>
      </c>
      <c r="H542">
        <f>IF(G542&lt;&gt;"",G542,F542)</f>
        <v/>
      </c>
      <c r="I542" t="n">
        <v>0</v>
      </c>
      <c r="J542" t="n">
        <v>0</v>
      </c>
      <c r="K542" t="n">
        <v>0</v>
      </c>
      <c r="L542" s="5" t="inlineStr"/>
      <c r="M542" s="5" t="n"/>
    </row>
    <row r="543">
      <c r="A543" t="inlineStr">
        <is>
          <t>YX-STAT-17</t>
        </is>
      </c>
      <c r="B543" t="inlineStr">
        <is>
          <t>P07</t>
        </is>
      </c>
      <c r="C543" t="inlineStr">
        <is>
          <t>YX-STAT</t>
        </is>
      </c>
      <c r="D543" t="inlineStr">
        <is>
          <t>4, 5</t>
        </is>
      </c>
      <c r="E543" s="5" t="inlineStr">
        <is>
          <t>Advisory feed (B17): every advisory cites its source, passes maker ≠ checker review, and is shown only to the compliance owner, HR Admin and Payroll Admin of tenants with entities / locations in its jurisdictions (urgent ones notified immediately, others in a weekly digest); an advisory and the rule-set versions it caused link to each other; tenants can mark it reviewed with a note (audited).</t>
        </is>
      </c>
      <c r="F543" t="inlineStr">
        <is>
          <t>Not started</t>
        </is>
      </c>
      <c r="H543">
        <f>IF(G543&lt;&gt;"",G543,F543)</f>
        <v/>
      </c>
      <c r="I543" t="n">
        <v>0</v>
      </c>
      <c r="J543" t="n">
        <v>0</v>
      </c>
      <c r="K543" t="n">
        <v>0</v>
      </c>
      <c r="L543" s="5" t="inlineStr"/>
      <c r="M543" s="5" t="n"/>
    </row>
    <row r="544">
      <c r="A544" t="inlineStr">
        <is>
          <t>YX-STAT-18</t>
        </is>
      </c>
      <c r="B544" t="inlineStr">
        <is>
          <t>P07</t>
        </is>
      </c>
      <c r="C544" t="inlineStr">
        <is>
          <t>YX-STAT</t>
        </is>
      </c>
      <c r="D544" t="inlineStr">
        <is>
          <t>4, 5</t>
        </is>
      </c>
      <c r="E544" s="5" t="inlineStr">
        <is>
          <t>ESOP perquisite (C4): the perquisite at exercise uses FMV per the dated IN.TDS rules (listed: exchange opening / closing average on the exercise date; unlisted: merchant-banker valuation dated within the allowed window before exercise, rejected if older); for an eligible startup with the deferral option recorded, TDS is deferred to the earliest trigger event (end of the deferral period, exit, sale) and then deducted by the rule's due date at exercise-year rates; the valuation report is stored as a document and cited on Form 12BA.</t>
        </is>
      </c>
      <c r="F544" t="inlineStr">
        <is>
          <t>Not started</t>
        </is>
      </c>
      <c r="H544">
        <f>IF(G544&lt;&gt;"",G544,F544)</f>
        <v/>
      </c>
      <c r="I544" t="n">
        <v>0</v>
      </c>
      <c r="J544" t="n">
        <v>0</v>
      </c>
      <c r="K544" t="n">
        <v>0</v>
      </c>
      <c r="L544" s="5" t="inlineStr"/>
      <c r="M544" s="5" t="n"/>
    </row>
    <row r="545">
      <c r="A545" t="inlineStr">
        <is>
          <t>YX-STAT-19</t>
        </is>
      </c>
      <c r="B545" t="inlineStr">
        <is>
          <t>P07</t>
        </is>
      </c>
      <c r="C545" t="inlineStr">
        <is>
          <t>YX-STAT</t>
        </is>
      </c>
      <c r="D545" t="inlineStr">
        <is>
          <t>4, 5</t>
        </is>
      </c>
      <c r="E545" s="5" t="inlineStr">
        <is>
          <t>New country packs (C4): a pack (e.g. UAE, a GCC country, US 1099 reporting) is added only as pack data + calculators + golden cases through the same evaluator APIs, with each rule set flagged "verify status" until confirmed by a local partner; no module code branches on country.</t>
        </is>
      </c>
      <c r="F545" t="inlineStr">
        <is>
          <t>Not started</t>
        </is>
      </c>
      <c r="H545">
        <f>IF(G545&lt;&gt;"",G545,F545)</f>
        <v/>
      </c>
      <c r="I545" t="n">
        <v>0</v>
      </c>
      <c r="J545" t="n">
        <v>0</v>
      </c>
      <c r="K545" t="n">
        <v>0</v>
      </c>
      <c r="L545" s="5" t="inlineStr"/>
      <c r="M545" s="5" t="n"/>
    </row>
    <row r="546">
      <c r="A546" t="inlineStr">
        <is>
          <t>YX-STAT-20</t>
        </is>
      </c>
      <c r="B546" t="inlineStr">
        <is>
          <t>P07</t>
        </is>
      </c>
      <c r="C546" t="inlineStr">
        <is>
          <t>YX-STAT</t>
        </is>
      </c>
      <c r="D546" t="inlineStr">
        <is>
          <t>4, 5</t>
        </is>
      </c>
      <c r="E546" s="5" t="inlineStr">
        <is>
          <t>Labour Codes as dated law (C1): IN.WAGES-CODE, IN.SS-CODE, IN.OSH and IN.IR rule sets are valid from 21 Nov 2025 and the old-Act versions of the subject statutes end on 20 Nov 2025; a period ending before 21 Nov 2025 uses the old Acts; a period straddling the date is split by days into P06 segments unless a rule set states another basis; where a government has not notified its rules under a Code, the old rules continue as a transitional rule set, flagged in Settings › Statutory rules and the compliance calendar until replaced. No Labour Code rule carries a "verify status" flag.</t>
        </is>
      </c>
      <c r="F546" t="inlineStr">
        <is>
          <t>Not started</t>
        </is>
      </c>
      <c r="H546">
        <f>IF(G546&lt;&gt;"",G546,F546)</f>
        <v/>
      </c>
      <c r="I546" t="n">
        <v>0</v>
      </c>
      <c r="J546" t="n">
        <v>0</v>
      </c>
      <c r="K546" t="n">
        <v>0</v>
      </c>
      <c r="L546" s="5" t="inlineStr"/>
      <c r="M546" s="5" t="n"/>
    </row>
    <row r="547">
      <c r="A547" t="inlineStr">
        <is>
          <t>YX-STAT-21</t>
        </is>
      </c>
      <c r="B547" t="inlineStr">
        <is>
          <t>P07</t>
        </is>
      </c>
      <c r="C547" t="inlineStr">
        <is>
          <t>YX-STAT</t>
        </is>
      </c>
      <c r="D547" t="inlineStr">
        <is>
          <t>4, 5</t>
        </is>
      </c>
      <c r="E547" s="5" t="inlineStr">
        <is>
          <t>Code wage definition (C1): for every payslip from 21 Nov 2025 the evaluator computes Code "wages" (basic + DA + retaining allowance) and adds back the amount by which the Code's exclusions exceed 50 % of total remuneration; the add-back wage is the base for PF, ESI, gratuity, bonus and leave encashment; M03 shows it at pre-run (YX-PAY-47) and in the payslip explanation.</t>
        </is>
      </c>
      <c r="F547" t="inlineStr">
        <is>
          <t>UI prototype only</t>
        </is>
      </c>
      <c r="H547">
        <f>IF(G547&lt;&gt;"",G547,F547)</f>
        <v/>
      </c>
      <c r="I547" t="n">
        <v>0</v>
      </c>
      <c r="J547" t="n">
        <v>0</v>
      </c>
      <c r="K547" t="n">
        <v>2</v>
      </c>
      <c r="L547" s="5" t="inlineStr"/>
      <c r="M547" s="5" t="n"/>
    </row>
    <row r="548">
      <c r="A548" t="inlineStr">
        <is>
          <t>YX-STAT-22</t>
        </is>
      </c>
      <c r="B548" t="inlineStr">
        <is>
          <t>P07</t>
        </is>
      </c>
      <c r="C548" t="inlineStr">
        <is>
          <t>YX-STAT</t>
        </is>
      </c>
      <c r="D548" t="inlineStr">
        <is>
          <t>4, 5</t>
        </is>
      </c>
      <c r="E548" s="5" t="inlineStr">
        <is>
          <t>National floor wage (C1): the floor wage is a dated central IN.WAGES-CODE value; the minimum-wage check (YX-STAT-09) uses max(state minimum wage for the zone and skill category, floor wage), and where a state rate is below the floor the tenant view shows the floor applied.</t>
        </is>
      </c>
      <c r="F548" t="inlineStr">
        <is>
          <t>Not started</t>
        </is>
      </c>
      <c r="H548">
        <f>IF(G548&lt;&gt;"",G548,F548)</f>
        <v/>
      </c>
      <c r="I548" t="n">
        <v>0</v>
      </c>
      <c r="J548" t="n">
        <v>0</v>
      </c>
      <c r="K548" t="n">
        <v>0</v>
      </c>
      <c r="L548" s="5" t="inlineStr"/>
      <c r="M548" s="5" t="n"/>
    </row>
    <row r="549">
      <c r="A549" t="inlineStr">
        <is>
          <t>YX-STAT-23</t>
        </is>
      </c>
      <c r="B549" t="inlineStr">
        <is>
          <t>P07</t>
        </is>
      </c>
      <c r="C549" t="inlineStr">
        <is>
          <t>YX-STAT</t>
        </is>
      </c>
      <c r="D549" t="inlineStr">
        <is>
          <t>4, 5</t>
        </is>
      </c>
      <c r="E549" s="5" t="inlineStr">
        <is>
          <t>IR and OSH duties (C1): IN.IR holds retrenchment compensation (15 days' average pay per completed year of continuous service), notice or pay in lieu, the Worker Re-skilling Fund contribution (15 days' last-drawn wages per retrenched worker, remittance as a calendar item), the 300-worker thresholds for prior government permission (lay-off, retrenchment, closure) and for standing orders, and the 20-worker threshold for a grievance redressal committee; IN.OSH holds the mandatory appointment letter for every worker, the free annual health check-up for workers aged 40+ where prescribed, and the con</t>
        </is>
      </c>
      <c r="F549" t="inlineStr">
        <is>
          <t>Not started</t>
        </is>
      </c>
      <c r="H549">
        <f>IF(G549&lt;&gt;"",G549,F549)</f>
        <v/>
      </c>
      <c r="I549" t="n">
        <v>0</v>
      </c>
      <c r="J549" t="n">
        <v>0</v>
      </c>
      <c r="K549" t="n">
        <v>0</v>
      </c>
      <c r="L549" s="5" t="inlineStr"/>
      <c r="M549" s="5" t="n"/>
    </row>
    <row r="550">
      <c r="A550" t="inlineStr">
        <is>
          <t>YX-STAT-24</t>
        </is>
      </c>
      <c r="B550" t="inlineStr">
        <is>
          <t>P07</t>
        </is>
      </c>
      <c r="C550" t="inlineStr">
        <is>
          <t>YX-STAT</t>
        </is>
      </c>
      <c r="D550" t="inlineStr">
        <is>
          <t>4, 5</t>
        </is>
      </c>
      <c r="E550" s="5" t="inlineStr">
        <is>
          <t>Income-tax law version (C2): every IN.TDS rule set, calculator version, form definition and calendar rule carries a law version (IT-1961, IT-2025); periods and returns up to the tax year ending 31 Mar 2026 use IT-1961 (Form 16 / 16A, 24Q / 26Q / 27Q, 15G / 15H), including later corrections of those quarters; from 1 Apr 2026 IT-2025 (Form 130 / 131, Form 138 / 140 / 144, Form 121). Section references come only from the reviewed law cross-walk, and an IT-2025 rule set citing a subject whose cross-walk row is unfilled fails validation (no guessed section numbers).</t>
        </is>
      </c>
      <c r="F550" t="inlineStr">
        <is>
          <t>Not started</t>
        </is>
      </c>
      <c r="H550">
        <f>IF(G550&lt;&gt;"",G550,F550)</f>
        <v/>
      </c>
      <c r="I550" t="n">
        <v>0</v>
      </c>
      <c r="J550" t="n">
        <v>0</v>
      </c>
      <c r="K550" t="n">
        <v>0</v>
      </c>
      <c r="L550" s="5" t="inlineStr"/>
      <c r="M550" s="5" t="n"/>
    </row>
    <row r="551">
      <c r="A551" t="inlineStr">
        <is>
          <t>YX-STAT-25</t>
        </is>
      </c>
      <c r="B551" t="inlineStr">
        <is>
          <t>P07</t>
        </is>
      </c>
      <c r="C551" t="inlineStr">
        <is>
          <t>YX-STAT</t>
        </is>
      </c>
      <c r="D551" t="inlineStr">
        <is>
          <t>4, 5</t>
        </is>
      </c>
      <c r="E551" s="5" t="inlineStr">
        <is>
          <t>Employment injury as dated data (J6): the ESIC accident-report form and time limit (IN.ESI; prescribed time per ESI regs, verify), the reportable-accident thresholds and the accident-notice form, authority and time (IN.OSH, transitional IN.FACTORIES per state), and the employees' compensation formula, wage ceiling, age-factor table, minimums, waiting period, due date, commissioner-deposit cases, interest and penalty (IN.EC: EC Act 1923 up to 20 Nov 2025, Code on Social Security from 21 Nov 2025) are dated rule sets chosen by the accident date, each with golden cases; M08 and M03 read them thro</t>
        </is>
      </c>
      <c r="F551" t="inlineStr">
        <is>
          <t>Not started</t>
        </is>
      </c>
      <c r="H551">
        <f>IF(G551&lt;&gt;"",G551,F551)</f>
        <v/>
      </c>
      <c r="I551" t="n">
        <v>0</v>
      </c>
      <c r="J551" t="n">
        <v>0</v>
      </c>
      <c r="K551" t="n">
        <v>0</v>
      </c>
      <c r="L551" s="5" t="inlineStr"/>
      <c r="M551" s="5" t="n"/>
    </row>
    <row r="552">
      <c r="A552" t="inlineStr">
        <is>
          <t>YX-STAT-26</t>
        </is>
      </c>
      <c r="B552" t="inlineStr">
        <is>
          <t>P07</t>
        </is>
      </c>
      <c r="C552" t="inlineStr">
        <is>
          <t>YX-STAT</t>
        </is>
      </c>
      <c r="D552" t="inlineStr">
        <is>
          <t>4, 5</t>
        </is>
      </c>
      <c r="E552" s="5" t="inlineStr">
        <is>
          <t>Post-filing PF / ESI corrections (J20): IN.PF and IN.ESI hold the correction paths for a filed month — the supplementary / arrear ECR format and when it applies, the ESI past-period contribution method, and the excess-remittance treatment (adjustment or refund request per portal rules) — as dated data; a filed return is never regenerated for re-upload. Interest (EPF s.7Q), damages (EPF s.14B, by delay band) and ESI interest / damages for a late or supplementary payment are computed from the dated penalty parameters as payable lines (days late, base, rate or band, amount, rule version), are emp</t>
        </is>
      </c>
      <c r="F552" t="inlineStr">
        <is>
          <t>UI prototype only</t>
        </is>
      </c>
      <c r="H552">
        <f>IF(G552&lt;&gt;"",G552,F552)</f>
        <v/>
      </c>
      <c r="I552" t="n">
        <v>0</v>
      </c>
      <c r="J552" t="n">
        <v>0</v>
      </c>
      <c r="K552" t="n">
        <v>2</v>
      </c>
      <c r="L552" s="5" t="inlineStr"/>
      <c r="M552" s="5" t="n"/>
    </row>
    <row r="553">
      <c r="A553" t="inlineStr">
        <is>
          <t>YX-STAT-27</t>
        </is>
      </c>
      <c r="B553" t="inlineStr">
        <is>
          <t>P07</t>
        </is>
      </c>
      <c r="C553" t="inlineStr">
        <is>
          <t>YX-STAT</t>
        </is>
      </c>
      <c r="D553" t="inlineStr">
        <is>
          <t>4, 5</t>
        </is>
      </c>
      <c r="E553" s="5" t="inlineStr">
        <is>
          <t>Establishment coverage monitor (J1): each statute carries a dated coverage rule set (threshold, headcount basis, counting rule e.g. "any day in the preceding 12 months", sticky flag for PF "once covered always covered"); a daily job evaluates each entity / establishment's headcount from M01 (plus M13 contract labour where the law counts it) into establishment_coverage; within the company's alert margin (starter: 2 heads or 90 % of the threshold) it raises statutory.coverage.approaching, on crossing statutory.coverage.crossed with the duties that start (registration, returns, committees, crèche</t>
        </is>
      </c>
      <c r="F553" t="inlineStr">
        <is>
          <t>Not started</t>
        </is>
      </c>
      <c r="H553">
        <f>IF(G553&lt;&gt;"",G553,F553)</f>
        <v/>
      </c>
      <c r="I553" t="n">
        <v>0</v>
      </c>
      <c r="J553" t="n">
        <v>0</v>
      </c>
      <c r="K553" t="n">
        <v>0</v>
      </c>
      <c r="L553" s="5" t="inlineStr"/>
      <c r="M553" s="5" t="n"/>
    </row>
    <row r="554">
      <c r="A554" t="inlineStr">
        <is>
          <t>YX-STAT-28</t>
        </is>
      </c>
      <c r="B554" t="inlineStr">
        <is>
          <t>P07</t>
        </is>
      </c>
      <c r="C554" t="inlineStr">
        <is>
          <t>YX-STAT</t>
        </is>
      </c>
      <c r="D554" t="inlineStr">
        <is>
          <t>4, 5</t>
        </is>
      </c>
      <c r="E554" s="5" t="inlineStr">
        <is>
          <t>PT / LWF on a mid-period state change (J25): each state's IN.PT / IN.LWF rule set carries liability_basis (state of employment on the period's last day / in the deduction month / pro-rata by days, per that state's law; verify per state) and period_type (monthly / half-yearly / annual); for an employee who changed work state within a period the evaluator returns exactly one liable state per deduction slot, so no slot is deducted twice or not at all; annual / half-yearly caps are checked per state per employee across the year.</t>
        </is>
      </c>
      <c r="F554" t="inlineStr">
        <is>
          <t>Not started</t>
        </is>
      </c>
      <c r="H554">
        <f>IF(G554&lt;&gt;"",G554,F554)</f>
        <v/>
      </c>
      <c r="I554" t="n">
        <v>0</v>
      </c>
      <c r="J554" t="n">
        <v>0</v>
      </c>
      <c r="K554" t="n">
        <v>0</v>
      </c>
      <c r="L554" s="5" t="inlineStr"/>
      <c r="M554" s="5" t="n"/>
    </row>
    <row r="555">
      <c r="A555" t="inlineStr">
        <is>
          <t>YX-STAT-29</t>
        </is>
      </c>
      <c r="B555" t="inlineStr">
        <is>
          <t>P07</t>
        </is>
      </c>
      <c r="C555" t="inlineStr">
        <is>
          <t>YX-STAT</t>
        </is>
      </c>
      <c r="D555" t="inlineStr">
        <is>
          <t>4, 5</t>
        </is>
      </c>
      <c r="E555" s="5" t="inlineStr">
        <is>
          <t>ELI scheme (R5): new dated statute IN.ELI (employment-linked incentive; all dates, amounts, wage bands, first-time-employee definition, additional-employee baseline and instalment rules marked verify) holds eligibility conditions for first-time and additional employees, per-employee employer incentive slabs, the ECR fields that evidence it, and the UAN activation (face authentication via UMANG) and Aadhaar-bank seeding prerequisites.</t>
        </is>
      </c>
      <c r="F555" t="inlineStr">
        <is>
          <t>Not started</t>
        </is>
      </c>
      <c r="H555">
        <f>IF(G555&lt;&gt;"",G555,F555)</f>
        <v/>
      </c>
      <c r="I555" t="n">
        <v>0</v>
      </c>
      <c r="J555" t="n">
        <v>0</v>
      </c>
      <c r="K555" t="n">
        <v>0</v>
      </c>
      <c r="L555" s="5" t="inlineStr"/>
      <c r="M555" s="5" t="n"/>
    </row>
    <row r="556">
      <c r="A556" t="inlineStr">
        <is>
          <t>YX-STAT-30</t>
        </is>
      </c>
      <c r="B556" t="inlineStr">
        <is>
          <t>P07</t>
        </is>
      </c>
      <c r="C556" t="inlineStr">
        <is>
          <t>YX-STAT</t>
        </is>
      </c>
      <c r="D556" t="inlineStr">
        <is>
          <t>4, 5</t>
        </is>
      </c>
      <c r="E556" s="5" t="inlineStr">
        <is>
          <t>ESI PwD wage ceiling (R8): the IN.ESI coverage ceiling is conditioned on disability: ₹21,000 general, ₹25,000 for an employee with a disability (verify), read from the employee's consented disability status (field owned by M01); without consent the general ceiling applies.</t>
        </is>
      </c>
      <c r="F556" t="inlineStr">
        <is>
          <t>UI prototype only</t>
        </is>
      </c>
      <c r="H556">
        <f>IF(G556&lt;&gt;"",G556,F556)</f>
        <v/>
      </c>
      <c r="I556" t="n">
        <v>0</v>
      </c>
      <c r="J556" t="n">
        <v>0</v>
      </c>
      <c r="K556" t="n">
        <v>2</v>
      </c>
      <c r="L556" s="5" t="inlineStr"/>
      <c r="M556" s="5" t="n"/>
    </row>
    <row r="557">
      <c r="A557" t="inlineStr">
        <is>
          <t>YX-STAT-31</t>
        </is>
      </c>
      <c r="B557" t="inlineStr">
        <is>
          <t>P07</t>
        </is>
      </c>
      <c r="C557" t="inlineStr">
        <is>
          <t>YX-STAT</t>
        </is>
      </c>
      <c r="D557" t="inlineStr">
        <is>
          <t>4, 5</t>
        </is>
      </c>
      <c r="E557" s="5" t="inlineStr">
        <is>
          <t>Piece-rate and tips wage rules (V1, V6): IN.WAGES-CODE / state minimum-wage rule sets hold the piece-rate guarantee (piece-rate earnings topped up to the time-rate minimum for the days worked) and the OT basis for piece-rated workers (verify per state); IN.WAGES-CODE, IN.PF, IN.ESI and IN.TDS hold the treatment of tips and service-charge distributions (paid through payroll vs directly by customers; wage or not; taxable as salary) as dated parameters marked verify.</t>
        </is>
      </c>
      <c r="F557" t="inlineStr">
        <is>
          <t>Not started</t>
        </is>
      </c>
      <c r="H557">
        <f>IF(G557&lt;&gt;"",G557,F557)</f>
        <v/>
      </c>
      <c r="I557" t="n">
        <v>0</v>
      </c>
      <c r="J557" t="n">
        <v>0</v>
      </c>
      <c r="K557" t="n">
        <v>0</v>
      </c>
      <c r="L557" s="5" t="inlineStr"/>
      <c r="M557" s="5" t="n"/>
    </row>
    <row r="558">
      <c r="A558" t="inlineStr">
        <is>
          <t>YX-STAT-32</t>
        </is>
      </c>
      <c r="B558" t="inlineStr">
        <is>
          <t>P07</t>
        </is>
      </c>
      <c r="C558" t="inlineStr">
        <is>
          <t>YX-STAT</t>
        </is>
      </c>
      <c r="D558" t="inlineStr">
        <is>
          <t>4, 5</t>
        </is>
      </c>
      <c r="E558" s="5" t="inlineStr">
        <is>
          <t>Industrial-relations money rules (J4): IN.IR holds lay-off compensation (50 % of basic + DA for laid-off days, maximum days per year, exclusions; verify) and check-off rules (deduction only with the worker's written authorisation, remittance time limit to the union; verify per state rules); IN.TDS holds the VRS exemption (₹5,00,000 once per lifetime with scheme conditions; section per law version, YX-STAT-24; verify).</t>
        </is>
      </c>
      <c r="F558" t="inlineStr">
        <is>
          <t>Not started</t>
        </is>
      </c>
      <c r="H558">
        <f>IF(G558&lt;&gt;"",G558,F558)</f>
        <v/>
      </c>
      <c r="I558" t="n">
        <v>0</v>
      </c>
      <c r="J558" t="n">
        <v>0</v>
      </c>
      <c r="K558" t="n">
        <v>0</v>
      </c>
      <c r="L558" s="5" t="inlineStr"/>
      <c r="M558" s="5" t="n"/>
    </row>
    <row r="559">
      <c r="A559" t="inlineStr">
        <is>
          <t>YX-AUD-01</t>
        </is>
      </c>
      <c r="B559" t="inlineStr">
        <is>
          <t>P08</t>
        </is>
      </c>
      <c r="C559" t="inlineStr">
        <is>
          <t>YX-AUD</t>
        </is>
      </c>
      <c r="D559" t="inlineStr">
        <is>
          <t>5</t>
        </is>
      </c>
      <c r="E559" s="5" t="inlineStr">
        <is>
          <t>All categories in B2 are audited; audit writes are in the same transaction as the change they describe.</t>
        </is>
      </c>
      <c r="F559" t="inlineStr">
        <is>
          <t>Not started</t>
        </is>
      </c>
      <c r="H559">
        <f>IF(G559&lt;&gt;"",G559,F559)</f>
        <v/>
      </c>
      <c r="I559" t="n">
        <v>0</v>
      </c>
      <c r="J559" t="n">
        <v>0</v>
      </c>
      <c r="K559" t="n">
        <v>0</v>
      </c>
      <c r="L559" s="5" t="inlineStr"/>
      <c r="M559" s="5" t="n"/>
    </row>
    <row r="560">
      <c r="A560" t="inlineStr">
        <is>
          <t>YX-AUD-02</t>
        </is>
      </c>
      <c r="B560" t="inlineStr">
        <is>
          <t>P08</t>
        </is>
      </c>
      <c r="C560" t="inlineStr">
        <is>
          <t>YX-AUD</t>
        </is>
      </c>
      <c r="D560" t="inlineStr">
        <is>
          <t>5</t>
        </is>
      </c>
      <c r="E560" s="5" t="inlineStr">
        <is>
          <t>Audit rows are append-only at the database level (INSERT/SELECT grants only, UPDATE/DELETE blocked); actor details are snapshots.</t>
        </is>
      </c>
      <c r="F560" t="inlineStr">
        <is>
          <t>Not started</t>
        </is>
      </c>
      <c r="H560">
        <f>IF(G560&lt;&gt;"",G560,F560)</f>
        <v/>
      </c>
      <c r="I560" t="n">
        <v>0</v>
      </c>
      <c r="J560" t="n">
        <v>0</v>
      </c>
      <c r="K560" t="n">
        <v>0</v>
      </c>
      <c r="L560" s="5" t="inlineStr"/>
      <c r="M560" s="5" t="n"/>
    </row>
    <row r="561">
      <c r="A561" t="inlineStr">
        <is>
          <t>YX-AUD-03</t>
        </is>
      </c>
      <c r="B561" t="inlineStr">
        <is>
          <t>P08</t>
        </is>
      </c>
      <c r="C561" t="inlineStr">
        <is>
          <t>YX-AUD</t>
        </is>
      </c>
      <c r="D561" t="inlineStr">
        <is>
          <t>5</t>
        </is>
      </c>
      <c r="E561" s="5" t="inlineStr">
        <is>
          <t>A per-tenant hash chain links audit rows; a daily job verifies it and stores an anchor; verification failures alert YukthiX security and the tenant's System Admins.</t>
        </is>
      </c>
      <c r="F561" t="inlineStr">
        <is>
          <t>Not started</t>
        </is>
      </c>
      <c r="H561">
        <f>IF(G561&lt;&gt;"",G561,F561)</f>
        <v/>
      </c>
      <c r="I561" t="n">
        <v>0</v>
      </c>
      <c r="J561" t="n">
        <v>0</v>
      </c>
      <c r="K561" t="n">
        <v>0</v>
      </c>
      <c r="L561" s="5" t="inlineStr"/>
      <c r="M561" s="5" t="n"/>
    </row>
    <row r="562">
      <c r="A562" t="inlineStr">
        <is>
          <t>YX-AUD-04</t>
        </is>
      </c>
      <c r="B562" t="inlineStr">
        <is>
          <t>P08</t>
        </is>
      </c>
      <c r="C562" t="inlineStr">
        <is>
          <t>YX-AUD</t>
        </is>
      </c>
      <c r="D562" t="inlineStr">
        <is>
          <t>5</t>
        </is>
      </c>
      <c r="E562" s="5" t="inlineStr">
        <is>
          <t>Sensitive-view events are deduplicated per viewer × subject × class within 30 minutes.</t>
        </is>
      </c>
      <c r="F562" t="inlineStr">
        <is>
          <t>Not started</t>
        </is>
      </c>
      <c r="H562">
        <f>IF(G562&lt;&gt;"",G562,F562)</f>
        <v/>
      </c>
      <c r="I562" t="n">
        <v>0</v>
      </c>
      <c r="J562" t="n">
        <v>0</v>
      </c>
      <c r="K562" t="n">
        <v>0</v>
      </c>
      <c r="L562" s="5" t="inlineStr"/>
      <c r="M562" s="5" t="n"/>
    </row>
    <row r="563">
      <c r="A563" t="inlineStr">
        <is>
          <t>YX-AUD-05</t>
        </is>
      </c>
      <c r="B563" t="inlineStr">
        <is>
          <t>P08</t>
        </is>
      </c>
      <c r="C563" t="inlineStr">
        <is>
          <t>YX-AUD</t>
        </is>
      </c>
      <c r="D563" t="inlineStr">
        <is>
          <t>5</t>
        </is>
      </c>
      <c r="E563" s="5" t="inlineStr">
        <is>
          <t>Record activity timelines show business events only; system field churn is visible only in the audit log (U12).</t>
        </is>
      </c>
      <c r="F563" t="inlineStr">
        <is>
          <t>Not started</t>
        </is>
      </c>
      <c r="H563">
        <f>IF(G563&lt;&gt;"",G563,F563)</f>
        <v/>
      </c>
      <c r="I563" t="n">
        <v>0</v>
      </c>
      <c r="J563" t="n">
        <v>0</v>
      </c>
      <c r="K563" t="n">
        <v>0</v>
      </c>
      <c r="L563" s="5" t="inlineStr"/>
      <c r="M563" s="5" t="n"/>
    </row>
    <row r="564">
      <c r="A564" t="inlineStr">
        <is>
          <t>YX-AUD-06</t>
        </is>
      </c>
      <c r="B564" t="inlineStr">
        <is>
          <t>P08</t>
        </is>
      </c>
      <c r="C564" t="inlineStr">
        <is>
          <t>YX-AUD</t>
        </is>
      </c>
      <c r="D564" t="inlineStr">
        <is>
          <t>5</t>
        </is>
      </c>
      <c r="E564" s="5" t="inlineStr">
        <is>
          <t>Audit read access follows P02 scopes; restricted-area audit (POSH, disciplinary, grievance, whistleblower, medical) is visible only to that area's members; Confidential/Special values in diffs are masked for readers without that field permission.</t>
        </is>
      </c>
      <c r="F564" t="inlineStr">
        <is>
          <t>Not started</t>
        </is>
      </c>
      <c r="H564">
        <f>IF(G564&lt;&gt;"",G564,F564)</f>
        <v/>
      </c>
      <c r="I564" t="n">
        <v>0</v>
      </c>
      <c r="J564" t="n">
        <v>0</v>
      </c>
      <c r="K564" t="n">
        <v>0</v>
      </c>
      <c r="L564" s="5" t="inlineStr"/>
      <c r="M564" s="5" t="n"/>
    </row>
    <row r="565">
      <c r="A565" t="inlineStr">
        <is>
          <t>YX-AUD-07</t>
        </is>
      </c>
      <c r="B565" t="inlineStr">
        <is>
          <t>P08</t>
        </is>
      </c>
      <c r="C565" t="inlineStr">
        <is>
          <t>YX-AUD</t>
        </is>
      </c>
      <c r="D565" t="inlineStr">
        <is>
          <t>5</t>
        </is>
      </c>
      <c r="E565" s="5" t="inlineStr">
        <is>
          <t>Audit exports are themselves audited.</t>
        </is>
      </c>
      <c r="F565" t="inlineStr">
        <is>
          <t>Not started</t>
        </is>
      </c>
      <c r="H565">
        <f>IF(G565&lt;&gt;"",G565,F565)</f>
        <v/>
      </c>
      <c r="I565" t="n">
        <v>0</v>
      </c>
      <c r="J565" t="n">
        <v>0</v>
      </c>
      <c r="K565" t="n">
        <v>0</v>
      </c>
      <c r="L565" s="5" t="inlineStr"/>
      <c r="M565" s="5" t="n"/>
    </row>
    <row r="566">
      <c r="A566" t="inlineStr">
        <is>
          <t>YX-AUD-08</t>
        </is>
      </c>
      <c r="B566" t="inlineStr">
        <is>
          <t>P08</t>
        </is>
      </c>
      <c r="C566" t="inlineStr">
        <is>
          <t>YX-AUD</t>
        </is>
      </c>
      <c r="D566" t="inlineStr">
        <is>
          <t>5</t>
        </is>
      </c>
      <c r="E566" s="5" t="inlineStr">
        <is>
          <t>Audit is retained 8 years (last 13 months online, older partitions archived); the tenant can extend but never shorten below 8 years; the retention job writes a deletion record when it deletes; a legal hold on a case (M08 Q7) blocks archive/deletion of that case's audit entries.</t>
        </is>
      </c>
      <c r="F566" t="inlineStr">
        <is>
          <t>Not started</t>
        </is>
      </c>
      <c r="H566">
        <f>IF(G566&lt;&gt;"",G566,F566)</f>
        <v/>
      </c>
      <c r="I566" t="n">
        <v>0</v>
      </c>
      <c r="J566" t="n">
        <v>0</v>
      </c>
      <c r="K566" t="n">
        <v>0</v>
      </c>
      <c r="L566" s="5" t="inlineStr"/>
      <c r="M566" s="5" t="n"/>
    </row>
    <row r="567">
      <c r="A567" t="inlineStr">
        <is>
          <t>YX-AUD-09</t>
        </is>
      </c>
      <c r="B567" t="inlineStr">
        <is>
          <t>P08</t>
        </is>
      </c>
      <c r="C567" t="inlineStr">
        <is>
          <t>YX-AUD</t>
        </is>
      </c>
      <c r="D567" t="inlineStr">
        <is>
          <t>5</t>
        </is>
      </c>
      <c r="E567" s="5" t="inlineStr">
        <is>
          <t>Every irreversible action confirmed through the irreversible-action dialog (APX-D §6.4: publish payslips, release bank file, approve run / lock period, reopen, bulk changes and transfers, bulk approve, invalidate attempt and the other listed actions) stores in its audit event (metadata) the typed confirmation text (or, for bulk approve, the confirmed count), the impact-preview totals shown (people / records affected, amounts) and the reason where one was required, so the log shows exactly what the actor saw and confirmed.</t>
        </is>
      </c>
      <c r="F567" t="inlineStr">
        <is>
          <t>Not started</t>
        </is>
      </c>
      <c r="H567">
        <f>IF(G567&lt;&gt;"",G567,F567)</f>
        <v/>
      </c>
      <c r="I567" t="n">
        <v>0</v>
      </c>
      <c r="J567" t="n">
        <v>0</v>
      </c>
      <c r="K567" t="n">
        <v>0</v>
      </c>
      <c r="L567" s="5" t="inlineStr"/>
      <c r="M567" s="5" t="n"/>
    </row>
    <row r="568">
      <c r="A568" t="inlineStr">
        <is>
          <t>YX-LOCK-01</t>
        </is>
      </c>
      <c r="B568" t="inlineStr">
        <is>
          <t>P08</t>
        </is>
      </c>
      <c r="C568" t="inlineStr">
        <is>
          <t>YX-LOCK</t>
        </is>
      </c>
      <c r="D568" t="inlineStr">
        <is>
          <t>5</t>
        </is>
      </c>
      <c r="E568" s="5" t="inlineStr">
        <is>
          <t>Every write to attendance, leave (pay-affecting), payroll inputs and paid expenses checks the lock service in the same transaction.</t>
        </is>
      </c>
      <c r="F568" t="inlineStr">
        <is>
          <t>Not started</t>
        </is>
      </c>
      <c r="H568">
        <f>IF(G568&lt;&gt;"",G568,F568)</f>
        <v/>
      </c>
      <c r="I568" t="n">
        <v>0</v>
      </c>
      <c r="J568" t="n">
        <v>0</v>
      </c>
      <c r="K568" t="n">
        <v>0</v>
      </c>
      <c r="L568" s="5" t="inlineStr"/>
      <c r="M568" s="5" t="n"/>
    </row>
    <row r="569">
      <c r="A569" t="inlineStr">
        <is>
          <t>YX-LOCK-02</t>
        </is>
      </c>
      <c r="B569" t="inlineStr">
        <is>
          <t>P08</t>
        </is>
      </c>
      <c r="C569" t="inlineStr">
        <is>
          <t>YX-LOCK</t>
        </is>
      </c>
      <c r="D569" t="inlineStr">
        <is>
          <t>5</t>
        </is>
      </c>
      <c r="E569" s="5" t="inlineStr">
        <is>
          <t>Frozen and locked dates accept employee changes only as late requests with an extra HR approval step, within the tenant's maximum lateness (e.g. 60 days); after that, only HR corrections. The effect lands in the next payroll (arrears / LOP reversal). Device batches and night-shift punches follow YX-LOCK-09.</t>
        </is>
      </c>
      <c r="F569" t="inlineStr">
        <is>
          <t>Not started</t>
        </is>
      </c>
      <c r="H569">
        <f>IF(G569&lt;&gt;"",G569,F569)</f>
        <v/>
      </c>
      <c r="I569" t="n">
        <v>0</v>
      </c>
      <c r="J569" t="n">
        <v>0</v>
      </c>
      <c r="K569" t="n">
        <v>0</v>
      </c>
      <c r="L569" s="5" t="inlineStr"/>
      <c r="M569" s="5" t="n"/>
    </row>
    <row r="570">
      <c r="A570" t="inlineStr">
        <is>
          <t>YX-LOCK-03</t>
        </is>
      </c>
      <c r="B570" t="inlineStr">
        <is>
          <t>P08</t>
        </is>
      </c>
      <c r="C570" t="inlineStr">
        <is>
          <t>YX-LOCK</t>
        </is>
      </c>
      <c r="D570" t="inlineStr">
        <is>
          <t>5</t>
        </is>
      </c>
      <c r="E570" s="5" t="inlineStr">
        <is>
          <t>Locked and filed periods are never modified; late requests and corrections on them become P06 corrections with arrears/recoveries in the next payroll.</t>
        </is>
      </c>
      <c r="F570" t="inlineStr">
        <is>
          <t>Not started</t>
        </is>
      </c>
      <c r="H570">
        <f>IF(G570&lt;&gt;"",G570,F570)</f>
        <v/>
      </c>
      <c r="I570" t="n">
        <v>0</v>
      </c>
      <c r="J570" t="n">
        <v>0</v>
      </c>
      <c r="K570" t="n">
        <v>0</v>
      </c>
      <c r="L570" s="5" t="inlineStr"/>
      <c r="M570" s="5" t="n"/>
    </row>
    <row r="571">
      <c r="A571" t="inlineStr">
        <is>
          <t>YX-LOCK-04</t>
        </is>
      </c>
      <c r="B571" t="inlineStr">
        <is>
          <t>P08</t>
        </is>
      </c>
      <c r="C571" t="inlineStr">
        <is>
          <t>YX-LOCK</t>
        </is>
      </c>
      <c r="D571" t="inlineStr">
        <is>
          <t>5</t>
        </is>
      </c>
      <c r="E571" s="5" t="inlineStr">
        <is>
          <t>Payroll locks on approval (maker ≠ checker per P02); attendance and pay-affecting leave for the period lock with it.</t>
        </is>
      </c>
      <c r="F571" t="inlineStr">
        <is>
          <t>Not started</t>
        </is>
      </c>
      <c r="H571">
        <f>IF(G571&lt;&gt;"",G571,F571)</f>
        <v/>
      </c>
      <c r="I571" t="n">
        <v>0</v>
      </c>
      <c r="J571" t="n">
        <v>0</v>
      </c>
      <c r="K571" t="n">
        <v>0</v>
      </c>
      <c r="L571" s="5" t="inlineStr"/>
      <c r="M571" s="5" t="n"/>
    </row>
    <row r="572">
      <c r="A572" t="inlineStr">
        <is>
          <t>YX-LOCK-05</t>
        </is>
      </c>
      <c r="B572" t="inlineStr">
        <is>
          <t>P08</t>
        </is>
      </c>
      <c r="C572" t="inlineStr">
        <is>
          <t>YX-LOCK</t>
        </is>
      </c>
      <c r="D572" t="inlineStr">
        <is>
          <t>5</t>
        </is>
      </c>
      <c r="E572" s="5" t="inlineStr">
        <is>
          <t>Reopen is a high-risk request (reason + Payroll Admin + System Admin/owner approval) and is refused once the bank file is released, payslips are published or a return is filed.</t>
        </is>
      </c>
      <c r="F572" t="inlineStr">
        <is>
          <t>Tested, code not linked</t>
        </is>
      </c>
      <c r="H572">
        <f>IF(G572&lt;&gt;"",G572,F572)</f>
        <v/>
      </c>
      <c r="I572" t="n">
        <v>0</v>
      </c>
      <c r="J572" t="n">
        <v>2</v>
      </c>
      <c r="K572" t="n">
        <v>2</v>
      </c>
      <c r="L572" s="5" t="inlineStr">
        <is>
          <t>exam-app-org:packages/yx-ui/src/screens/time/time.test.tsx
exam-app-ws:packages/yx-ui/src/screens/time/time.test.tsx</t>
        </is>
      </c>
      <c r="M572" s="5" t="n"/>
    </row>
    <row r="573">
      <c r="A573" t="inlineStr">
        <is>
          <t>YX-LOCK-06</t>
        </is>
      </c>
      <c r="B573" t="inlineStr">
        <is>
          <t>P08</t>
        </is>
      </c>
      <c r="C573" t="inlineStr">
        <is>
          <t>YX-LOCK</t>
        </is>
      </c>
      <c r="D573" t="inlineStr">
        <is>
          <t>5</t>
        </is>
      </c>
      <c r="E573" s="5" t="inlineStr">
        <is>
          <t>A reopened payroll creates new payslip versions; previous versions are kept and marked revised.</t>
        </is>
      </c>
      <c r="F573" t="inlineStr">
        <is>
          <t>Not started</t>
        </is>
      </c>
      <c r="H573">
        <f>IF(G573&lt;&gt;"",G573,F573)</f>
        <v/>
      </c>
      <c r="I573" t="n">
        <v>0</v>
      </c>
      <c r="J573" t="n">
        <v>0</v>
      </c>
      <c r="K573" t="n">
        <v>0</v>
      </c>
      <c r="L573" s="5" t="inlineStr"/>
      <c r="M573" s="5" t="n"/>
    </row>
    <row r="574">
      <c r="A574" t="inlineStr">
        <is>
          <t>YX-LOCK-07</t>
        </is>
      </c>
      <c r="B574" t="inlineStr">
        <is>
          <t>P08</t>
        </is>
      </c>
      <c r="C574" t="inlineStr">
        <is>
          <t>YX-LOCK</t>
        </is>
      </c>
      <c r="D574" t="inlineStr">
        <is>
          <t>5</t>
        </is>
      </c>
      <c r="E574" s="5" t="inlineStr">
        <is>
          <t>Attendance exceptions are raised only for employees in Punch mode (working day without complete punches or attendance and not covered by approved leave / WFH / on-duty / holiday / weekly off) and, in Timesheet mode, for a missing approved timesheet; Assumed-present employees raise none (HR enters LOP manually). Expected status comes from employment status: no exceptions, nudges or late penalties for days an employee is suspended, on long leave (maternity / sabbatical / LWP), in an absconding process or pre-boarding. Exceptions are detected daily and notified: employee next day, manager weekly,</t>
        </is>
      </c>
      <c r="F574" t="inlineStr">
        <is>
          <t>Not started</t>
        </is>
      </c>
      <c r="H574">
        <f>IF(G574&lt;&gt;"",G574,F574)</f>
        <v/>
      </c>
      <c r="I574" t="n">
        <v>0</v>
      </c>
      <c r="J574" t="n">
        <v>0</v>
      </c>
      <c r="K574" t="n">
        <v>0</v>
      </c>
      <c r="L574" s="5" t="inlineStr"/>
      <c r="M574" s="5" t="n"/>
    </row>
    <row r="575">
      <c r="A575" t="inlineStr">
        <is>
          <t>YX-LOCK-08</t>
        </is>
      </c>
      <c r="B575" t="inlineStr">
        <is>
          <t>P08</t>
        </is>
      </c>
      <c r="C575" t="inlineStr">
        <is>
          <t>YX-LOCK</t>
        </is>
      </c>
      <c r="D575" t="inlineStr">
        <is>
          <t>5</t>
        </is>
      </c>
      <c r="E575" s="5" t="inlineStr">
        <is>
          <t>Where the group's attendance.missing_punch_effect is block (default), payroll cannot be approved while the period has open attendance exceptions; where it is warn, they are listed as warnings in the pre-flight and payroll may be approved. Blocking exceptions must be closed by the employee's approved request or by an HR resolution with reason (absent/LOP, leave deducted, present with approval), which is audited.</t>
        </is>
      </c>
      <c r="F575" t="inlineStr">
        <is>
          <t>Not started</t>
        </is>
      </c>
      <c r="H575">
        <f>IF(G575&lt;&gt;"",G575,F575)</f>
        <v/>
      </c>
      <c r="I575" t="n">
        <v>0</v>
      </c>
      <c r="J575" t="n">
        <v>0</v>
      </c>
      <c r="K575" t="n">
        <v>0</v>
      </c>
      <c r="L575" s="5" t="inlineStr"/>
      <c r="M575" s="5" t="n"/>
    </row>
    <row r="576">
      <c r="A576" t="inlineStr">
        <is>
          <t>YX-LOCK-09</t>
        </is>
      </c>
      <c r="B576" t="inlineStr">
        <is>
          <t>P08</t>
        </is>
      </c>
      <c r="C576" t="inlineStr">
        <is>
          <t>YX-LOCK</t>
        </is>
      </c>
      <c r="D576" t="inlineStr">
        <is>
          <t>5</t>
        </is>
      </c>
      <c r="E576" s="5" t="inlineStr">
        <is>
          <t>Exceptions to YX-LOCK-02: (a) punches for frozen/locked dates arriving in a late biometric batch are applied by an HR bulk device backfill correction (one audited action per batch, with reason; effects in the next payroll per YX-LOCK-03), not by per-employee late requests; (b) a punch for a shift that started before the freeze / lock point attaches to that shift without a late request when it falls within the shift's normal punch window.</t>
        </is>
      </c>
      <c r="F576" t="inlineStr">
        <is>
          <t>UI prototype only</t>
        </is>
      </c>
      <c r="H576">
        <f>IF(G576&lt;&gt;"",G576,F576)</f>
        <v/>
      </c>
      <c r="I576" t="n">
        <v>0</v>
      </c>
      <c r="J576" t="n">
        <v>0</v>
      </c>
      <c r="K576" t="n">
        <v>2</v>
      </c>
      <c r="L576" s="5" t="inlineStr"/>
      <c r="M576" s="5" t="n"/>
    </row>
    <row r="577">
      <c r="A577" t="inlineStr">
        <is>
          <t>YX-MET-01</t>
        </is>
      </c>
      <c r="B577" t="inlineStr">
        <is>
          <t>P09</t>
        </is>
      </c>
      <c r="C577" t="inlineStr">
        <is>
          <t>YX-MET</t>
        </is>
      </c>
      <c r="D577" t="inlineStr">
        <is>
          <t>6+</t>
        </is>
      </c>
      <c r="E577" s="5" t="inlineStr">
        <is>
          <t>Every number in dashboards, reports, exports, mobile cards (deferred to wave 6, §4.8) and AI answers comes from a registered metric or a record query through the metric layer; operational screen counts use the same definitions.</t>
        </is>
      </c>
      <c r="F577" t="inlineStr">
        <is>
          <t>Not started</t>
        </is>
      </c>
      <c r="H577">
        <f>IF(G577&lt;&gt;"",G577,F577)</f>
        <v/>
      </c>
      <c r="I577" t="n">
        <v>0</v>
      </c>
      <c r="J577" t="n">
        <v>0</v>
      </c>
      <c r="K577" t="n">
        <v>0</v>
      </c>
      <c r="L577" s="5" t="inlineStr"/>
      <c r="M577" s="5" t="n"/>
    </row>
    <row r="578">
      <c r="A578" t="inlineStr">
        <is>
          <t>YX-MET-02</t>
        </is>
      </c>
      <c r="B578" t="inlineStr">
        <is>
          <t>P09</t>
        </is>
      </c>
      <c r="C578" t="inlineStr">
        <is>
          <t>YX-MET</t>
        </is>
      </c>
      <c r="D578" t="inlineStr">
        <is>
          <t>6+</t>
        </is>
      </c>
      <c r="E578" s="5" t="inlineStr">
        <is>
          <t>Metrics are versioned with golden tests; a definition change bumps the version and appears in the catalogue changelog.</t>
        </is>
      </c>
      <c r="F578" t="inlineStr">
        <is>
          <t>Not started</t>
        </is>
      </c>
      <c r="H578">
        <f>IF(G578&lt;&gt;"",G578,F578)</f>
        <v/>
      </c>
      <c r="I578" t="n">
        <v>0</v>
      </c>
      <c r="J578" t="n">
        <v>0</v>
      </c>
      <c r="K578" t="n">
        <v>0</v>
      </c>
      <c r="L578" s="5" t="inlineStr"/>
      <c r="M578" s="5" t="n"/>
    </row>
    <row r="579">
      <c r="A579" t="inlineStr">
        <is>
          <t>YX-MET-03</t>
        </is>
      </c>
      <c r="B579" t="inlineStr">
        <is>
          <t>P09</t>
        </is>
      </c>
      <c r="C579" t="inlineStr">
        <is>
          <t>YX-MET</t>
        </is>
      </c>
      <c r="D579" t="inlineStr">
        <is>
          <t>6+</t>
        </is>
      </c>
      <c r="E579" s="5" t="inlineStr">
        <is>
          <t>All analytics queries apply tenant RLS, the viewer's P02 scope and field-class permissions.</t>
        </is>
      </c>
      <c r="F579" t="inlineStr">
        <is>
          <t>Not started</t>
        </is>
      </c>
      <c r="H579">
        <f>IF(G579&lt;&gt;"",G579,F579)</f>
        <v/>
      </c>
      <c r="I579" t="n">
        <v>0</v>
      </c>
      <c r="J579" t="n">
        <v>0</v>
      </c>
      <c r="K579" t="n">
        <v>0</v>
      </c>
      <c r="L579" s="5" t="inlineStr"/>
      <c r="M579" s="5" t="n"/>
    </row>
    <row r="580">
      <c r="A580" t="inlineStr">
        <is>
          <t>YX-MET-04</t>
        </is>
      </c>
      <c r="B580" t="inlineStr">
        <is>
          <t>P09</t>
        </is>
      </c>
      <c r="C580" t="inlineStr">
        <is>
          <t>YX-MET</t>
        </is>
      </c>
      <c r="D580" t="inlineStr">
        <is>
          <t>6+</t>
        </is>
      </c>
      <c r="E580" s="5" t="inlineStr">
        <is>
          <t>Breakdowns of Confidential/Special measures with groups below the tenant threshold (default 5, range 3–10) show "suppressed" (including in exports and subscriptions) for viewers without individual-level access to that data in that scope; viewers with individual access see all groups.</t>
        </is>
      </c>
      <c r="F580" t="inlineStr">
        <is>
          <t>UI prototype only</t>
        </is>
      </c>
      <c r="H580">
        <f>IF(G580&lt;&gt;"",G580,F580)</f>
        <v/>
      </c>
      <c r="I580" t="n">
        <v>0</v>
      </c>
      <c r="J580" t="n">
        <v>0</v>
      </c>
      <c r="K580" t="n">
        <v>4</v>
      </c>
      <c r="L580" s="5" t="inlineStr"/>
      <c r="M580" s="5" t="n"/>
    </row>
    <row r="581">
      <c r="A581" t="inlineStr">
        <is>
          <t>YX-MET-05</t>
        </is>
      </c>
      <c r="B581" t="inlineStr">
        <is>
          <t>P09</t>
        </is>
      </c>
      <c r="C581" t="inlineStr">
        <is>
          <t>YX-MET</t>
        </is>
      </c>
      <c r="D581" t="inlineStr">
        <is>
          <t>6+</t>
        </is>
      </c>
      <c r="E581" s="5" t="inlineStr">
        <is>
          <t>Every widget and report shows its scope and data freshness; there is no hidden default entity (U96).</t>
        </is>
      </c>
      <c r="F581" t="inlineStr">
        <is>
          <t>UI prototype only</t>
        </is>
      </c>
      <c r="H581">
        <f>IF(G581&lt;&gt;"",G581,F581)</f>
        <v/>
      </c>
      <c r="I581" t="n">
        <v>0</v>
      </c>
      <c r="J581" t="n">
        <v>0</v>
      </c>
      <c r="K581" t="n">
        <v>2</v>
      </c>
      <c r="L581" s="5" t="inlineStr"/>
      <c r="M581" s="5" t="n"/>
    </row>
    <row r="582">
      <c r="A582" t="inlineStr">
        <is>
          <t>YX-MET-06</t>
        </is>
      </c>
      <c r="B582" t="inlineStr">
        <is>
          <t>P09</t>
        </is>
      </c>
      <c r="C582" t="inlineStr">
        <is>
          <t>YX-MET</t>
        </is>
      </c>
      <c r="D582" t="inlineStr">
        <is>
          <t>6+</t>
        </is>
      </c>
      <c r="E582" s="5" t="inlineStr">
        <is>
          <t>Snapshots rebuild incrementally from the effective date of any back-dated change (P06).</t>
        </is>
      </c>
      <c r="F582" t="inlineStr">
        <is>
          <t>Not started</t>
        </is>
      </c>
      <c r="H582">
        <f>IF(G582&lt;&gt;"",G582,F582)</f>
        <v/>
      </c>
      <c r="I582" t="n">
        <v>0</v>
      </c>
      <c r="J582" t="n">
        <v>0</v>
      </c>
      <c r="K582" t="n">
        <v>0</v>
      </c>
      <c r="L582" s="5" t="inlineStr"/>
      <c r="M582" s="5" t="n"/>
    </row>
    <row r="583">
      <c r="A583" t="inlineStr">
        <is>
          <t>YX-MET-07</t>
        </is>
      </c>
      <c r="B583" t="inlineStr">
        <is>
          <t>P09</t>
        </is>
      </c>
      <c r="C583" t="inlineStr">
        <is>
          <t>YX-MET</t>
        </is>
      </c>
      <c r="D583" t="inlineStr">
        <is>
          <t>6+</t>
        </is>
      </c>
      <c r="E583" s="5" t="inlineStr">
        <is>
          <t>Shared dashboards/reports and subscriptions render with each viewer's or recipient's own permissions, never the author's.</t>
        </is>
      </c>
      <c r="F583" t="inlineStr">
        <is>
          <t>Not started</t>
        </is>
      </c>
      <c r="H583">
        <f>IF(G583&lt;&gt;"",G583,F583)</f>
        <v/>
      </c>
      <c r="I583" t="n">
        <v>0</v>
      </c>
      <c r="J583" t="n">
        <v>0</v>
      </c>
      <c r="K583" t="n">
        <v>0</v>
      </c>
      <c r="L583" s="5" t="inlineStr"/>
      <c r="M583" s="5" t="n"/>
    </row>
    <row r="584">
      <c r="A584" t="inlineStr">
        <is>
          <t>YX-MET-08</t>
        </is>
      </c>
      <c r="B584" t="inlineStr">
        <is>
          <t>P09</t>
        </is>
      </c>
      <c r="C584" t="inlineStr">
        <is>
          <t>YX-MET</t>
        </is>
      </c>
      <c r="D584" t="inlineStr">
        <is>
          <t>6+</t>
        </is>
      </c>
      <c r="E584" s="5" t="inlineStr">
        <is>
          <t>Scheduled deliveries attach files only when the content has no Confidential/Special data; otherwise email and WhatsApp carry a secure login link only (P04 Q6).</t>
        </is>
      </c>
      <c r="F584" t="inlineStr">
        <is>
          <t>Tested, code not linked</t>
        </is>
      </c>
      <c r="H584">
        <f>IF(G584&lt;&gt;"",G584,F584)</f>
        <v/>
      </c>
      <c r="I584" t="n">
        <v>0</v>
      </c>
      <c r="J584" t="n">
        <v>2</v>
      </c>
      <c r="K584" t="n">
        <v>2</v>
      </c>
      <c r="L584" s="5" t="inlineStr">
        <is>
          <t>exam-app-org:packages/yx-ui/src/screens/proctoring/proctoring.test.tsx
exam-app-ws:packages/yx-ui/src/screens/proctoring/proctoring.test.tsx</t>
        </is>
      </c>
      <c r="M584" s="5" t="n"/>
    </row>
    <row r="585">
      <c r="A585" t="inlineStr">
        <is>
          <t>YX-MET-09</t>
        </is>
      </c>
      <c r="B585" t="inlineStr">
        <is>
          <t>P09</t>
        </is>
      </c>
      <c r="C585" t="inlineStr">
        <is>
          <t>YX-MET</t>
        </is>
      </c>
      <c r="D585" t="inlineStr">
        <is>
          <t>6+</t>
        </is>
      </c>
      <c r="E585" s="5" t="inlineStr">
        <is>
          <t>Exports and scheduled deliveries are audited (P08).</t>
        </is>
      </c>
      <c r="F585" t="inlineStr">
        <is>
          <t>Not started</t>
        </is>
      </c>
      <c r="H585">
        <f>IF(G585&lt;&gt;"",G585,F585)</f>
        <v/>
      </c>
      <c r="I585" t="n">
        <v>0</v>
      </c>
      <c r="J585" t="n">
        <v>0</v>
      </c>
      <c r="K585" t="n">
        <v>0</v>
      </c>
      <c r="L585" s="5" t="inlineStr"/>
      <c r="M585" s="5" t="n"/>
    </row>
    <row r="586">
      <c r="A586" t="inlineStr">
        <is>
          <t>YX-MET-10</t>
        </is>
      </c>
      <c r="B586" t="inlineStr">
        <is>
          <t>P09</t>
        </is>
      </c>
      <c r="C586" t="inlineStr">
        <is>
          <t>YX-MET</t>
        </is>
      </c>
      <c r="D586" t="inlineStr">
        <is>
          <t>6+</t>
        </is>
      </c>
      <c r="E586" s="5" t="inlineStr">
        <is>
          <t>AI analytics answers only via governed metrics through the planner, showing the definitions and filters used; no free-form SQL.</t>
        </is>
      </c>
      <c r="F586" t="inlineStr">
        <is>
          <t>Not started</t>
        </is>
      </c>
      <c r="H586">
        <f>IF(G586&lt;&gt;"",G586,F586)</f>
        <v/>
      </c>
      <c r="I586" t="n">
        <v>0</v>
      </c>
      <c r="J586" t="n">
        <v>0</v>
      </c>
      <c r="K586" t="n">
        <v>0</v>
      </c>
      <c r="L586" s="5" t="inlineStr"/>
      <c r="M586" s="5" t="n"/>
    </row>
    <row r="587">
      <c r="A587" t="inlineStr">
        <is>
          <t>YX-MET-11</t>
        </is>
      </c>
      <c r="B587" t="inlineStr">
        <is>
          <t>P09</t>
        </is>
      </c>
      <c r="C587" t="inlineStr">
        <is>
          <t>YX-MET</t>
        </is>
      </c>
      <c r="D587" t="inlineStr">
        <is>
          <t>6+</t>
        </is>
      </c>
      <c r="E587" s="5" t="inlineStr">
        <is>
          <t>Tenant calculated metrics are expressions over governed metrics only; they inherit the most restrictive sensitivity of their inputs.</t>
        </is>
      </c>
      <c r="F587" t="inlineStr">
        <is>
          <t>Tested, code not linked</t>
        </is>
      </c>
      <c r="H587">
        <f>IF(G587&lt;&gt;"",G587,F587)</f>
        <v/>
      </c>
      <c r="I587" t="n">
        <v>0</v>
      </c>
      <c r="J587" t="n">
        <v>2</v>
      </c>
      <c r="K587" t="n">
        <v>2</v>
      </c>
      <c r="L587" s="5" t="inlineStr">
        <is>
          <t>exam-app-org:packages/yx-ui/src/screens/proctoring/proctoring.test.tsx
exam-app-ws:packages/yx-ui/src/screens/proctoring/proctoring.test.tsx</t>
        </is>
      </c>
      <c r="M587" s="5" t="n"/>
    </row>
    <row r="588">
      <c r="A588" t="inlineStr">
        <is>
          <t>YX-MET-12</t>
        </is>
      </c>
      <c r="B588" t="inlineStr">
        <is>
          <t>P09</t>
        </is>
      </c>
      <c r="C588" t="inlineStr">
        <is>
          <t>YX-MET</t>
        </is>
      </c>
      <c r="D588" t="inlineStr">
        <is>
          <t>6+</t>
        </is>
      </c>
      <c r="E588" s="5" t="inlineStr">
        <is>
          <t>Anonymous survey results (M09) apply the minimum group size to every viewer, including HR/Payroll Admins (no one has individual-level access to anonymous responses); teams below the minimum roll up into their parent group.</t>
        </is>
      </c>
      <c r="F588" t="inlineStr">
        <is>
          <t>Not started</t>
        </is>
      </c>
      <c r="H588">
        <f>IF(G588&lt;&gt;"",G588,F588)</f>
        <v/>
      </c>
      <c r="I588" t="n">
        <v>0</v>
      </c>
      <c r="J588" t="n">
        <v>0</v>
      </c>
      <c r="K588" t="n">
        <v>0</v>
      </c>
      <c r="L588" s="5" t="inlineStr"/>
      <c r="M588" s="5" t="n"/>
    </row>
    <row r="589">
      <c r="A589" t="inlineStr">
        <is>
          <t>YX-MET-13</t>
        </is>
      </c>
      <c r="B589" t="inlineStr">
        <is>
          <t>P09</t>
        </is>
      </c>
      <c r="C589" t="inlineStr">
        <is>
          <t>YX-MET</t>
        </is>
      </c>
      <c r="D589" t="inlineStr">
        <is>
          <t>6+</t>
        </is>
      </c>
      <c r="E589" s="5" t="inlineStr">
        <is>
          <t>Every standard report in the library (APX-C) is built on registered metrics or governed record queries through the metric layer; a standard report ships only with its catalogue row (owner, wave, audience, sensitivity, format, as-on / period), and each measure it shows is registered in the metric dictionary (11-analytics §5 or APX-C §2–§4).</t>
        </is>
      </c>
      <c r="F589" t="inlineStr">
        <is>
          <t>Not started</t>
        </is>
      </c>
      <c r="H589">
        <f>IF(G589&lt;&gt;"",G589,F589)</f>
        <v/>
      </c>
      <c r="I589" t="n">
        <v>0</v>
      </c>
      <c r="J589" t="n">
        <v>0</v>
      </c>
      <c r="K589" t="n">
        <v>0</v>
      </c>
      <c r="L589" s="5" t="inlineStr"/>
      <c r="M589" s="5" t="n"/>
    </row>
    <row r="590">
      <c r="A590" t="inlineStr">
        <is>
          <t>YX-MET-14</t>
        </is>
      </c>
      <c r="B590" t="inlineStr">
        <is>
          <t>P09</t>
        </is>
      </c>
      <c r="C590" t="inlineStr">
        <is>
          <t>YX-MET</t>
        </is>
      </c>
      <c r="D590" t="inlineStr">
        <is>
          <t>6+</t>
        </is>
      </c>
      <c r="E590" s="5" t="inlineStr">
        <is>
          <t>DEI (C3): diversity attributes come only from voluntary self-identification with "prefer not to say"; candidate self-ID is stored apart from the application and never shown to recruiters, interviewers or hiring managers; every DEI breakdown applies the small-group threshold to every viewer (HR included) for disability and for gender / age cells, rolling small cells into a combined group; the pay-gap metrics are Confidential.</t>
        </is>
      </c>
      <c r="F590" t="inlineStr">
        <is>
          <t>Not started</t>
        </is>
      </c>
      <c r="H590">
        <f>IF(G590&lt;&gt;"",G590,F590)</f>
        <v/>
      </c>
      <c r="I590" t="n">
        <v>0</v>
      </c>
      <c r="J590" t="n">
        <v>0</v>
      </c>
      <c r="K590" t="n">
        <v>0</v>
      </c>
      <c r="L590" s="5" t="inlineStr"/>
      <c r="M590" s="5" t="n"/>
    </row>
    <row r="591">
      <c r="A591" t="inlineStr">
        <is>
          <t>YX-MET-15</t>
        </is>
      </c>
      <c r="B591" t="inlineStr">
        <is>
          <t>P09</t>
        </is>
      </c>
      <c r="C591" t="inlineStr">
        <is>
          <t>YX-MET</t>
        </is>
      </c>
      <c r="D591" t="inlineStr">
        <is>
          <t>6+</t>
        </is>
      </c>
      <c r="E591" s="5" t="inlineStr">
        <is>
          <t>Tenant health (C8): the platform.tenant_health.* feed to YukthiX carries only counts, rates, scores and platform object IDs computed from usage metadata; it never carries employee or candidate names, HR record content or Confidential / Special values, and the tenant's admins can see the same scores.</t>
        </is>
      </c>
      <c r="F591" t="inlineStr">
        <is>
          <t>Not started</t>
        </is>
      </c>
      <c r="H591">
        <f>IF(G591&lt;&gt;"",G591,F591)</f>
        <v/>
      </c>
      <c r="I591" t="n">
        <v>0</v>
      </c>
      <c r="J591" t="n">
        <v>0</v>
      </c>
      <c r="K591" t="n">
        <v>0</v>
      </c>
      <c r="L591" s="5" t="inlineStr"/>
      <c r="M591" s="5" t="n"/>
    </row>
    <row r="592">
      <c r="A592" t="inlineStr">
        <is>
          <t>YX-MET-16</t>
        </is>
      </c>
      <c r="B592" t="inlineStr">
        <is>
          <t>P09</t>
        </is>
      </c>
      <c r="C592" t="inlineStr">
        <is>
          <t>YX-MET</t>
        </is>
      </c>
      <c r="D592" t="inlineStr">
        <is>
          <t>6+</t>
        </is>
      </c>
      <c r="E592" s="5" t="inlineStr">
        <is>
          <t>Attrition risk (B16): individual attrition-risk scores are Confidential, visible only to holders of analytics.attrition_risk.view, always shown with their contributing factors and model version, and never delivered in bulk exports or subscriptions to recipients without that grant; managers see band counts for their scope with suppression.</t>
        </is>
      </c>
      <c r="F592" t="inlineStr">
        <is>
          <t>Not started</t>
        </is>
      </c>
      <c r="H592">
        <f>IF(G592&lt;&gt;"",G592,F592)</f>
        <v/>
      </c>
      <c r="I592" t="n">
        <v>0</v>
      </c>
      <c r="J592" t="n">
        <v>0</v>
      </c>
      <c r="K592" t="n">
        <v>0</v>
      </c>
      <c r="L592" s="5" t="inlineStr"/>
      <c r="M592" s="5" t="n"/>
    </row>
    <row r="593">
      <c r="A593" t="inlineStr">
        <is>
          <t>YX-MET-17</t>
        </is>
      </c>
      <c r="B593" t="inlineStr">
        <is>
          <t>P09</t>
        </is>
      </c>
      <c r="C593" t="inlineStr">
        <is>
          <t>YX-MET</t>
        </is>
      </c>
      <c r="D593" t="inlineStr">
        <is>
          <t>6+</t>
        </is>
      </c>
      <c r="E593" s="5" t="inlineStr">
        <is>
          <t>AI quality (B13): every AI feature reports ai.eval.score, ai.drift.index, ai.bias.impact_ratio and ai.human_override_rate per model / prompt version through the metric layer; platform-level AI metrics are built from eval runs and anonymised counters only (no tenant content); a version below its registered thresholds is not promoted.</t>
        </is>
      </c>
      <c r="F593" t="inlineStr">
        <is>
          <t>Not started</t>
        </is>
      </c>
      <c r="H593">
        <f>IF(G593&lt;&gt;"",G593,F593)</f>
        <v/>
      </c>
      <c r="I593" t="n">
        <v>0</v>
      </c>
      <c r="J593" t="n">
        <v>0</v>
      </c>
      <c r="K593" t="n">
        <v>0</v>
      </c>
      <c r="L593" s="5" t="inlineStr"/>
      <c r="M593" s="5" t="n"/>
    </row>
    <row r="594">
      <c r="A594" t="inlineStr">
        <is>
          <t>YX-MET-18</t>
        </is>
      </c>
      <c r="B594" t="inlineStr">
        <is>
          <t>P09</t>
        </is>
      </c>
      <c r="C594" t="inlineStr">
        <is>
          <t>YX-MET</t>
        </is>
      </c>
      <c r="D594" t="inlineStr">
        <is>
          <t>6+</t>
        </is>
      </c>
      <c r="E594" s="5" t="inlineStr">
        <is>
          <t>Assessment fairness &amp; validity metrics (A13): assess.impact_ratio, assess.dif_grade, assess.predictive_validity and assess.fairness_findings.open, fed from T05 fairness_analyses / validity_studies, with the minimum-group suppression rule and an owner dashboard for test authors and HR analytics.</t>
        </is>
      </c>
      <c r="F594" t="inlineStr">
        <is>
          <t>Not started</t>
        </is>
      </c>
      <c r="H594">
        <f>IF(G594&lt;&gt;"",G594,F594)</f>
        <v/>
      </c>
      <c r="I594" t="n">
        <v>0</v>
      </c>
      <c r="J594" t="n">
        <v>0</v>
      </c>
      <c r="K594" t="n">
        <v>0</v>
      </c>
      <c r="L594" s="5" t="inlineStr"/>
      <c r="M594" s="5" t="n"/>
    </row>
    <row r="595">
      <c r="A595" t="inlineStr">
        <is>
          <t>YX-MET-19</t>
        </is>
      </c>
      <c r="B595" t="inlineStr">
        <is>
          <t>P09</t>
        </is>
      </c>
      <c r="C595" t="inlineStr">
        <is>
          <t>YX-MET</t>
        </is>
      </c>
      <c r="D595" t="inlineStr">
        <is>
          <t>6+</t>
        </is>
      </c>
      <c r="E595" s="5" t="inlineStr">
        <is>
          <t>Product analytics events (S1): product-analytics events are registered in code with their allowed properties and carry only event key, minute timestamp, product, module, screen ID, tenant pseudonym, pseudonymous user id, role template, surface, locale and size band; they never carry names, contact details, employee or candidate ids, record content, free text, amounts, search terms or any HR data. A CI check fails the build on an unregistered event or property; events are sent server-side, never through third-party scripts.</t>
        </is>
      </c>
      <c r="F595" t="inlineStr">
        <is>
          <t>Not started</t>
        </is>
      </c>
      <c r="H595">
        <f>IF(G595&lt;&gt;"",G595,F595)</f>
        <v/>
      </c>
      <c r="I595" t="n">
        <v>0</v>
      </c>
      <c r="J595" t="n">
        <v>0</v>
      </c>
      <c r="K595" t="n">
        <v>0</v>
      </c>
      <c r="L595" s="5" t="inlineStr"/>
      <c r="M595" s="5" t="n"/>
    </row>
    <row r="596">
      <c r="A596" t="inlineStr">
        <is>
          <t>YX-MET-20</t>
        </is>
      </c>
      <c r="B596" t="inlineStr">
        <is>
          <t>P09</t>
        </is>
      </c>
      <c r="C596" t="inlineStr">
        <is>
          <t>YX-MET</t>
        </is>
      </c>
      <c r="D596" t="inlineStr">
        <is>
          <t>6+</t>
        </is>
      </c>
      <c r="E596" s="5" t="inlineStr">
        <is>
          <t>Product analytics storage and access (S1): events live in the separate product_analytics schema, not joinable to tenant schemas; raw events are deleted after 13 months; only YukthiX staff with the product analytics role can read it (P14 YX-CONSOLE-08); a tenant that opts out of non-essential analytics emits no product-analytics events, while billing meters, security logs, the tenant-health feed and setup-hub progress continue.</t>
        </is>
      </c>
      <c r="F596" t="inlineStr">
        <is>
          <t>Not started</t>
        </is>
      </c>
      <c r="H596">
        <f>IF(G596&lt;&gt;"",G596,F596)</f>
        <v/>
      </c>
      <c r="I596" t="n">
        <v>0</v>
      </c>
      <c r="J596" t="n">
        <v>0</v>
      </c>
      <c r="K596" t="n">
        <v>0</v>
      </c>
      <c r="L596" s="5" t="inlineStr"/>
      <c r="M596" s="5" t="n"/>
    </row>
    <row r="597">
      <c r="A597" t="inlineStr">
        <is>
          <t>YX-MET-21</t>
        </is>
      </c>
      <c r="B597" t="inlineStr">
        <is>
          <t>P09</t>
        </is>
      </c>
      <c r="C597" t="inlineStr">
        <is>
          <t>YX-MET</t>
        </is>
      </c>
      <c r="D597" t="inlineStr">
        <is>
          <t>6+</t>
        </is>
      </c>
      <c r="E597" s="5" t="inlineStr">
        <is>
          <t>Product metrics (S1): funnel conversion (sign-up → first value → activated → paid), time to first value per product (HR first payslip preview, Assess first test invite sent, Hire first job posted), activation rate, trial conversion, cohort retention, feature adoption and quick-start completion are governed product.* metrics with versioned definitions and golden tests (YX-MET-02); growth dashboards and P20 reports use only these metrics.</t>
        </is>
      </c>
      <c r="F597" t="inlineStr">
        <is>
          <t>Not started</t>
        </is>
      </c>
      <c r="H597">
        <f>IF(G597&lt;&gt;"",G597,F597)</f>
        <v/>
      </c>
      <c r="I597" t="n">
        <v>0</v>
      </c>
      <c r="J597" t="n">
        <v>0</v>
      </c>
      <c r="K597" t="n">
        <v>0</v>
      </c>
      <c r="L597" s="5" t="inlineStr"/>
      <c r="M597" s="5" t="n"/>
    </row>
    <row r="598">
      <c r="A598" t="inlineStr">
        <is>
          <t>YX-MET-22</t>
        </is>
      </c>
      <c r="B598" t="inlineStr">
        <is>
          <t>P09</t>
        </is>
      </c>
      <c r="C598" t="inlineStr">
        <is>
          <t>YX-MET</t>
        </is>
      </c>
      <c r="D598" t="inlineStr">
        <is>
          <t>6+</t>
        </is>
      </c>
      <c r="E598" s="5" t="inlineStr">
        <is>
          <t>Total-workforce headcount counts persons (Validation pass 3 Must follow-up, 28 Sep 2026). The metric workforce.total_persons (distinct persons with at least one active workforce role on the date, from snap_person_day) is the only source for total-workforce headcount on dashboards, the directory filter and reports; role-level headcounts (employee headcount, contract-worker headcount) stay separate series and are never summed into a total (P01 YX-ORG-26, M13 YX-CLRA-14).</t>
        </is>
      </c>
      <c r="F598" t="inlineStr">
        <is>
          <t>Not started</t>
        </is>
      </c>
      <c r="H598">
        <f>IF(G598&lt;&gt;"",G598,F598)</f>
        <v/>
      </c>
      <c r="I598" t="n">
        <v>0</v>
      </c>
      <c r="J598" t="n">
        <v>0</v>
      </c>
      <c r="K598" t="n">
        <v>0</v>
      </c>
      <c r="L598" s="5" t="inlineStr"/>
      <c r="M598" s="5" t="n"/>
    </row>
    <row r="599">
      <c r="A599" t="inlineStr">
        <is>
          <t>YX-MET-23</t>
        </is>
      </c>
      <c r="B599" t="inlineStr">
        <is>
          <t>P09</t>
        </is>
      </c>
      <c r="C599" t="inlineStr">
        <is>
          <t>YX-MET</t>
        </is>
      </c>
      <c r="D599" t="inlineStr">
        <is>
          <t>6+</t>
        </is>
      </c>
      <c r="E599" s="5" t="inlineStr">
        <is>
          <t>Statutory and ESG disclosure packs (R6 / R7 / T5): the SEBI BRSR workforce pack and the Companies Act Board's-report pack are built only from registered esg.*, cases.*, learning.* and workforce metrics for a legal entity and financial year; each pack goes preparer → reviewer (CFO or Company Secretary) → approve, and on approval is frozen as a numbered version with its metric versions and data cut-off; a back-dated change never alters an approved version (a new version is prepared); every export is audited.</t>
        </is>
      </c>
      <c r="F599" t="inlineStr">
        <is>
          <t>Not started</t>
        </is>
      </c>
      <c r="H599">
        <f>IF(G599&lt;&gt;"",G599,F599)</f>
        <v/>
      </c>
      <c r="I599" t="n">
        <v>0</v>
      </c>
      <c r="J599" t="n">
        <v>0</v>
      </c>
      <c r="K599" t="n">
        <v>0</v>
      </c>
      <c r="L599" s="5" t="inlineStr"/>
      <c r="M599" s="5" t="n"/>
    </row>
    <row r="600">
      <c r="A600" t="inlineStr">
        <is>
          <t>YX-MET-24</t>
        </is>
      </c>
      <c r="B600" t="inlineStr">
        <is>
          <t>P09</t>
        </is>
      </c>
      <c r="C600" t="inlineStr">
        <is>
          <t>YX-MET</t>
        </is>
      </c>
      <c r="D600" t="inlineStr">
        <is>
          <t>6+</t>
        </is>
      </c>
      <c r="E600" s="5" t="inlineStr">
        <is>
          <t>Disclosure suppression and gender categories (R6 / R7): breakdowns below the legal-entity totals in the disclosure packs apply the small-group threshold to every viewer (as YX-MET-14); entity totals required by law are shown in full only to the pack's preparer and approvers, with small cells flagged and never sent in subscriptions; gender is counted as male / female / transgender / other with "prefer not to say" and unknown as separate counts, never inferred.</t>
        </is>
      </c>
      <c r="F600" t="inlineStr">
        <is>
          <t>Not started</t>
        </is>
      </c>
      <c r="H600">
        <f>IF(G600&lt;&gt;"",G600,F600)</f>
        <v/>
      </c>
      <c r="I600" t="n">
        <v>0</v>
      </c>
      <c r="J600" t="n">
        <v>0</v>
      </c>
      <c r="K600" t="n">
        <v>0</v>
      </c>
      <c r="L600" s="5" t="inlineStr"/>
      <c r="M600" s="5" t="n"/>
    </row>
    <row r="601">
      <c r="A601" t="inlineStr">
        <is>
          <t>YX-AI-01</t>
        </is>
      </c>
      <c r="B601" t="inlineStr">
        <is>
          <t>P10</t>
        </is>
      </c>
      <c r="C601" t="inlineStr">
        <is>
          <t>YX-AI</t>
        </is>
      </c>
      <c r="D601" t="inlineStr">
        <is>
          <t>6+</t>
        </is>
      </c>
      <c r="E601" s="5" t="inlineStr">
        <is>
          <t>AI never makes or executes decisions (no approving, rejecting or paying); it may give advisory scores (ATS candidate-fit, AI-interview rubric scores); outputs are suggestions a person accepts or edits, and a human always decides.</t>
        </is>
      </c>
      <c r="F601" t="inlineStr">
        <is>
          <t>Not started</t>
        </is>
      </c>
      <c r="H601">
        <f>IF(G601&lt;&gt;"",G601,F601)</f>
        <v/>
      </c>
      <c r="I601" t="n">
        <v>0</v>
      </c>
      <c r="J601" t="n">
        <v>0</v>
      </c>
      <c r="K601" t="n">
        <v>0</v>
      </c>
      <c r="L601" s="5" t="inlineStr"/>
      <c r="M601" s="5" t="n"/>
    </row>
    <row r="602">
      <c r="A602" t="inlineStr">
        <is>
          <t>YX-AI-02</t>
        </is>
      </c>
      <c r="B602" t="inlineStr">
        <is>
          <t>P10</t>
        </is>
      </c>
      <c r="C602" t="inlineStr">
        <is>
          <t>YX-AI</t>
        </is>
      </c>
      <c r="D602" t="inlineStr">
        <is>
          <t>6+</t>
        </is>
      </c>
      <c r="E602" s="5" t="inlineStr">
        <is>
          <t>Special-class data is never sent to external LLMs; Confidential values are masked/excluded unless the feature is explicitly approved for them; ID-document extraction uses in-region OCR.</t>
        </is>
      </c>
      <c r="F602" t="inlineStr">
        <is>
          <t>Not started</t>
        </is>
      </c>
      <c r="H602">
        <f>IF(G602&lt;&gt;"",G602,F602)</f>
        <v/>
      </c>
      <c r="I602" t="n">
        <v>0</v>
      </c>
      <c r="J602" t="n">
        <v>0</v>
      </c>
      <c r="K602" t="n">
        <v>0</v>
      </c>
      <c r="L602" s="5" t="inlineStr"/>
      <c r="M602" s="5" t="n"/>
    </row>
    <row r="603">
      <c r="A603" t="inlineStr">
        <is>
          <t>YX-AI-03</t>
        </is>
      </c>
      <c r="B603" t="inlineStr">
        <is>
          <t>P10</t>
        </is>
      </c>
      <c r="C603" t="inlineStr">
        <is>
          <t>YX-AI</t>
        </is>
      </c>
      <c r="D603" t="inlineStr">
        <is>
          <t>6+</t>
        </is>
      </c>
      <c r="E603" s="5" t="inlineStr">
        <is>
          <t>AI features are opt-in per tenant, metered in AI credits and audited per call (feature, user, data classes, provider, tokens).</t>
        </is>
      </c>
      <c r="F603" t="inlineStr">
        <is>
          <t>Not started</t>
        </is>
      </c>
      <c r="H603">
        <f>IF(G603&lt;&gt;"",G603,F603)</f>
        <v/>
      </c>
      <c r="I603" t="n">
        <v>0</v>
      </c>
      <c r="J603" t="n">
        <v>0</v>
      </c>
      <c r="K603" t="n">
        <v>0</v>
      </c>
      <c r="L603" s="5" t="inlineStr"/>
      <c r="M603" s="5" t="n"/>
    </row>
    <row r="604">
      <c r="A604" t="inlineStr">
        <is>
          <t>YX-AI-04</t>
        </is>
      </c>
      <c r="B604" t="inlineStr">
        <is>
          <t>P10</t>
        </is>
      </c>
      <c r="C604" t="inlineStr">
        <is>
          <t>YX-AI</t>
        </is>
      </c>
      <c r="D604" t="inlineStr">
        <is>
          <t>6+</t>
        </is>
      </c>
      <c r="E604" s="5" t="inlineStr">
        <is>
          <t>Providers must contractually exclude training on customer data and be consistent with the tenant's region; they are listed as sub-processors.</t>
        </is>
      </c>
      <c r="F604" t="inlineStr">
        <is>
          <t>Not started</t>
        </is>
      </c>
      <c r="H604">
        <f>IF(G604&lt;&gt;"",G604,F604)</f>
        <v/>
      </c>
      <c r="I604" t="n">
        <v>0</v>
      </c>
      <c r="J604" t="n">
        <v>0</v>
      </c>
      <c r="K604" t="n">
        <v>0</v>
      </c>
      <c r="L604" s="5" t="inlineStr"/>
      <c r="M604" s="5" t="n"/>
    </row>
    <row r="605">
      <c r="A605" t="inlineStr">
        <is>
          <t>YX-AI-05</t>
        </is>
      </c>
      <c r="B605" t="inlineStr">
        <is>
          <t>P10</t>
        </is>
      </c>
      <c r="C605" t="inlineStr">
        <is>
          <t>YX-AI</t>
        </is>
      </c>
      <c r="D605" t="inlineStr">
        <is>
          <t>6+</t>
        </is>
      </c>
      <c r="E605" s="5" t="inlineStr">
        <is>
          <t>Uploaded documents are treated as untrusted data in prompts; AI tools are limited to read-only governed APIs.</t>
        </is>
      </c>
      <c r="F605" t="inlineStr">
        <is>
          <t>Not started</t>
        </is>
      </c>
      <c r="H605">
        <f>IF(G605&lt;&gt;"",G605,F605)</f>
        <v/>
      </c>
      <c r="I605" t="n">
        <v>0</v>
      </c>
      <c r="J605" t="n">
        <v>0</v>
      </c>
      <c r="K605" t="n">
        <v>0</v>
      </c>
      <c r="L605" s="5" t="inlineStr"/>
      <c r="M605" s="5" t="n"/>
    </row>
    <row r="606">
      <c r="A606" t="inlineStr">
        <is>
          <t>YX-AI-06</t>
        </is>
      </c>
      <c r="B606" t="inlineStr">
        <is>
          <t>P10</t>
        </is>
      </c>
      <c r="C606" t="inlineStr">
        <is>
          <t>YX-AI</t>
        </is>
      </c>
      <c r="D606" t="inlineStr">
        <is>
          <t>6+</t>
        </is>
      </c>
      <c r="E606" s="5" t="inlineStr">
        <is>
          <t>Face templates are Special data: explicit consent, stored encrypted in-region, used only for check-in, deleted on exit or consent withdrawal.</t>
        </is>
      </c>
      <c r="F606" t="inlineStr">
        <is>
          <t>Not started</t>
        </is>
      </c>
      <c r="H606">
        <f>IF(G606&lt;&gt;"",G606,F606)</f>
        <v/>
      </c>
      <c r="I606" t="n">
        <v>0</v>
      </c>
      <c r="J606" t="n">
        <v>0</v>
      </c>
      <c r="K606" t="n">
        <v>0</v>
      </c>
      <c r="L606" s="5" t="inlineStr"/>
      <c r="M606" s="5" t="n"/>
    </row>
    <row r="607">
      <c r="A607" t="inlineStr">
        <is>
          <t>YX-AI-07</t>
        </is>
      </c>
      <c r="B607" t="inlineStr">
        <is>
          <t>P10</t>
        </is>
      </c>
      <c r="C607" t="inlineStr">
        <is>
          <t>YX-AI</t>
        </is>
      </c>
      <c r="D607" t="inlineStr">
        <is>
          <t>6+</t>
        </is>
      </c>
      <c r="E607" s="5" t="inlineStr">
        <is>
          <t>Registry (B13): every AI call runs a registered, approved feature version (provider, model, region, prompt hash, allowed data classes) and records that version in ai_calls; an unregistered model or prompt cannot be called in production.</t>
        </is>
      </c>
      <c r="F607" t="inlineStr">
        <is>
          <t>Not started</t>
        </is>
      </c>
      <c r="H607">
        <f>IF(G607&lt;&gt;"",G607,F607)</f>
        <v/>
      </c>
      <c r="I607" t="n">
        <v>0</v>
      </c>
      <c r="J607" t="n">
        <v>0</v>
      </c>
      <c r="K607" t="n">
        <v>0</v>
      </c>
      <c r="L607" s="5" t="inlineStr"/>
      <c r="M607" s="5" t="n"/>
    </row>
    <row r="608">
      <c r="A608" t="inlineStr">
        <is>
          <t>YX-AI-08</t>
        </is>
      </c>
      <c r="B608" t="inlineStr">
        <is>
          <t>P10</t>
        </is>
      </c>
      <c r="C608" t="inlineStr">
        <is>
          <t>YX-AI</t>
        </is>
      </c>
      <c r="D608" t="inlineStr">
        <is>
          <t>6+</t>
        </is>
      </c>
      <c r="E608" s="5" t="inlineStr">
        <is>
          <t>Eval gate (B13): a new model, provider, region or prompt version goes live only after its feature's eval set meets the acceptance thresholds and shows no significant regression, reviewed by a second person; drift metrics are monitored weekly per feature with alerts.</t>
        </is>
      </c>
      <c r="F608" t="inlineStr">
        <is>
          <t>Not started</t>
        </is>
      </c>
      <c r="H608">
        <f>IF(G608&lt;&gt;"",G608,F608)</f>
        <v/>
      </c>
      <c r="I608" t="n">
        <v>0</v>
      </c>
      <c r="J608" t="n">
        <v>0</v>
      </c>
      <c r="K608" t="n">
        <v>0</v>
      </c>
      <c r="L608" s="5" t="inlineStr"/>
      <c r="M608" s="5" t="n"/>
    </row>
    <row r="609">
      <c r="A609" t="inlineStr">
        <is>
          <t>YX-AI-09</t>
        </is>
      </c>
      <c r="B609" t="inlineStr">
        <is>
          <t>P10</t>
        </is>
      </c>
      <c r="C609" t="inlineStr">
        <is>
          <t>YX-AI</t>
        </is>
      </c>
      <c r="D609" t="inlineStr">
        <is>
          <t>6+</t>
        </is>
      </c>
      <c r="E609" s="5" t="inlineStr">
        <is>
          <t>Bias &amp; red-team (B13): AI interview and candidate-fit scores are tested across groups (adverse-impact 4/5ths and score gaps) before release and quarterly; a failing gap blocks release or disables the feature. Red-team and indirect prompt-injection tests (policy documents, résumés, receipts, chat inputs) run before launch and quarterly; canary instructions are never followed.</t>
        </is>
      </c>
      <c r="F609" t="inlineStr">
        <is>
          <t>Not started</t>
        </is>
      </c>
      <c r="H609">
        <f>IF(G609&lt;&gt;"",G609,F609)</f>
        <v/>
      </c>
      <c r="I609" t="n">
        <v>0</v>
      </c>
      <c r="J609" t="n">
        <v>0</v>
      </c>
      <c r="K609" t="n">
        <v>0</v>
      </c>
      <c r="L609" s="5" t="inlineStr"/>
      <c r="M609" s="5" t="n"/>
    </row>
    <row r="610">
      <c r="A610" t="inlineStr">
        <is>
          <t>YX-AI-10</t>
        </is>
      </c>
      <c r="B610" t="inlineStr">
        <is>
          <t>P10</t>
        </is>
      </c>
      <c r="C610" t="inlineStr">
        <is>
          <t>YX-AI</t>
        </is>
      </c>
      <c r="D610" t="inlineStr">
        <is>
          <t>6+</t>
        </is>
      </c>
      <c r="E610" s="5" t="inlineStr">
        <is>
          <t>AI incidents &amp; EU (B13): every AI feature has a kill switch (platform or tenant) with a non-AI fallback; AI incidents follow severity, tenant notice and post-mortem, linked to P12 when personal data is involved. High-risk employment AI (Annex III(4), every "yes" / "depends" feature in §A4; YX-AI-11) stays off for EU tenants until EU AI Act provider obligations are met; emotion recognition from face or voice is never built.</t>
        </is>
      </c>
      <c r="F610" t="inlineStr">
        <is>
          <t>Not started</t>
        </is>
      </c>
      <c r="H610">
        <f>IF(G610&lt;&gt;"",G610,F610)</f>
        <v/>
      </c>
      <c r="I610" t="n">
        <v>0</v>
      </c>
      <c r="J610" t="n">
        <v>0</v>
      </c>
      <c r="K610" t="n">
        <v>0</v>
      </c>
      <c r="L610" s="5" t="inlineStr"/>
      <c r="M610" s="5" t="n"/>
    </row>
    <row r="611">
      <c r="A611" t="inlineStr">
        <is>
          <t>YX-AI-11</t>
        </is>
      </c>
      <c r="B611" t="inlineStr">
        <is>
          <t>P10</t>
        </is>
      </c>
      <c r="C611" t="inlineStr">
        <is>
          <t>YX-AI</t>
        </is>
      </c>
      <c r="D611" t="inlineStr">
        <is>
          <t>6+</t>
        </is>
      </c>
      <c r="E611" s="5" t="inlineStr">
        <is>
          <t>EU AI Act classification (C4). Every AI feature's registry entry (YX-AI-07) states whether it is high-risk under Annex III(4) (yes / no / depends, with the condition) and its EU default; a feature can't go live without it. For EU-established tenants and EU candidates / workers, every "yes" or "depends" feature, hiring and employee-side (promotion / termination, task allocation on behaviour or traits, performance and behaviour monitoring), is off until YukthiX completes the provider obligations (target before 2 Dec 2027, the Digital Omnibus date) and ships with human oversight, logging, a trans</t>
        </is>
      </c>
      <c r="F611" t="inlineStr">
        <is>
          <t>Not started</t>
        </is>
      </c>
      <c r="H611">
        <f>IF(G611&lt;&gt;"",G611,F611)</f>
        <v/>
      </c>
      <c r="I611" t="n">
        <v>0</v>
      </c>
      <c r="J611" t="n">
        <v>0</v>
      </c>
      <c r="K611" t="n">
        <v>0</v>
      </c>
      <c r="L611" s="5" t="inlineStr"/>
      <c r="M611" s="5" t="n"/>
    </row>
    <row r="612">
      <c r="A612" t="inlineStr">
        <is>
          <t>YX-AI-12</t>
        </is>
      </c>
      <c r="B612" t="inlineStr">
        <is>
          <t>P10</t>
        </is>
      </c>
      <c r="C612" t="inlineStr">
        <is>
          <t>YX-AI</t>
        </is>
      </c>
      <c r="D612" t="inlineStr">
        <is>
          <t>6+</t>
        </is>
      </c>
      <c r="E612" s="5" t="inlineStr">
        <is>
          <t>EU deployer notice &amp; AI literacy (C4). An EU tenant can enable a high-risk employment feature only after a tenant admin records that the notice to workers' representatives and affected workers (APX-G G-36; Art. 26(7)) was given, with date and audience, as a legal_acceptances row (audited, P08). The AI literacy guidance (APX-G G-37; Art. 4, applies since 2 Feb 2025) is shown to tenant admins before they enable any AI feature and to users before their first use.</t>
        </is>
      </c>
      <c r="F612" t="inlineStr">
        <is>
          <t>Not started</t>
        </is>
      </c>
      <c r="H612">
        <f>IF(G612&lt;&gt;"",G612,F612)</f>
        <v/>
      </c>
      <c r="I612" t="n">
        <v>0</v>
      </c>
      <c r="J612" t="n">
        <v>0</v>
      </c>
      <c r="K612" t="n">
        <v>0</v>
      </c>
      <c r="L612" s="5" t="inlineStr"/>
      <c r="M612" s="5" t="n"/>
    </row>
    <row r="613">
      <c r="A613" t="inlineStr">
        <is>
          <t>YX-AI-13</t>
        </is>
      </c>
      <c r="B613" t="inlineStr">
        <is>
          <t>P10</t>
        </is>
      </c>
      <c r="C613" t="inlineStr">
        <is>
          <t>YX-AI</t>
        </is>
      </c>
      <c r="D613" t="inlineStr">
        <is>
          <t>6+</t>
        </is>
      </c>
      <c r="E613" s="5" t="inlineStr">
        <is>
          <t xml:space="preserve">Agent action contract (T1). An agent (copilot, chat-app bot or scheduled assistant) runs only as a registered feature (YX-AI-07) with a declared agent scope (actions it may prepare, data classes it may read) no wider than the person's own P02 rights. Every write is prepared as a normal P03 request or draft with source agent:&lt;feature&gt; and needs the person's explicit confirmation (a confirm button or card, never implied by the conversation); agent_actions records person, feature and version, scope, channel and confirmation. Agents can never approve or reject a request, release a payment or bank </t>
        </is>
      </c>
      <c r="F613" t="inlineStr">
        <is>
          <t>UI prototype only</t>
        </is>
      </c>
      <c r="H613">
        <f>IF(G613&lt;&gt;"",G613,F613)</f>
        <v/>
      </c>
      <c r="I613" t="n">
        <v>0</v>
      </c>
      <c r="J613" t="n">
        <v>0</v>
      </c>
      <c r="K613" t="n">
        <v>2</v>
      </c>
      <c r="L613" s="5" t="inlineStr"/>
      <c r="M613" s="5" t="n"/>
    </row>
    <row r="614">
      <c r="A614" t="inlineStr">
        <is>
          <t>YX-AI-14</t>
        </is>
      </c>
      <c r="B614" t="inlineStr">
        <is>
          <t>P10</t>
        </is>
      </c>
      <c r="C614" t="inlineStr">
        <is>
          <t>YX-AI</t>
        </is>
      </c>
      <c r="D614" t="inlineStr">
        <is>
          <t>6+</t>
        </is>
      </c>
      <c r="E614" s="5" t="inlineStr">
        <is>
          <t>Copilot channels and credits (T1). Slack / Teams copilots follow YX-INT-05; WhatsApp only on a number the employee has linked and verified (P04), with Confidential values masked in chat and a deep link to the app for anything Special or Confidential. Each tenant has a per-user monthly fair-use allowance (P14); beyond it, calls draw AI credits, and with no credits left the copilot answers with links into the app, never losing a pending confirmation.</t>
        </is>
      </c>
      <c r="F614" t="inlineStr">
        <is>
          <t>Not started</t>
        </is>
      </c>
      <c r="H614">
        <f>IF(G614&lt;&gt;"",G614,F614)</f>
        <v/>
      </c>
      <c r="I614" t="n">
        <v>0</v>
      </c>
      <c r="J614" t="n">
        <v>0</v>
      </c>
      <c r="K614" t="n">
        <v>0</v>
      </c>
      <c r="L614" s="5" t="inlineStr"/>
      <c r="M614" s="5" t="n"/>
    </row>
    <row r="615">
      <c r="A615" t="inlineStr">
        <is>
          <t>YX-AI-15</t>
        </is>
      </c>
      <c r="B615" t="inlineStr">
        <is>
          <t>P10</t>
        </is>
      </c>
      <c r="C615" t="inlineStr">
        <is>
          <t>YX-AI</t>
        </is>
      </c>
      <c r="D615" t="inlineStr">
        <is>
          <t>6+</t>
        </is>
      </c>
      <c r="E615" s="5" t="inlineStr">
        <is>
          <t>Plan approval for multi-step agent jobs (P22). For a "do this for me" request the agent first shows a plan (records, changes, screens / APIs, irreversible steps flagged); nothing runs until the person approves the plan. Execution uses only public APIs with the person's own permissions, stays inside the approved plan, shows progress, and ends with a summary and undo where reversible. Money (payroll release, payouts, bank files), statutory filing, approving or rejecting others' requests, candidate rejection, dismissal / termination and pay changes each need a separate explicit confirmation on th</t>
        </is>
      </c>
      <c r="F615" t="inlineStr">
        <is>
          <t>Not started</t>
        </is>
      </c>
      <c r="H615">
        <f>IF(G615&lt;&gt;"",G615,F615)</f>
        <v/>
      </c>
      <c r="I615" t="n">
        <v>0</v>
      </c>
      <c r="J615" t="n">
        <v>0</v>
      </c>
      <c r="K615" t="n">
        <v>0</v>
      </c>
      <c r="L615" s="5" t="inlineStr"/>
      <c r="M615" s="5" t="n"/>
    </row>
    <row r="616">
      <c r="A616" t="inlineStr">
        <is>
          <t>YX-INT-01</t>
        </is>
      </c>
      <c r="B616" t="inlineStr">
        <is>
          <t>P10</t>
        </is>
      </c>
      <c r="C616" t="inlineStr">
        <is>
          <t>YX-INT</t>
        </is>
      </c>
      <c r="D616" t="inlineStr">
        <is>
          <t>6+</t>
        </is>
      </c>
      <c r="E616" s="5" t="inlineStr">
        <is>
          <t>Every connection has an owner, encrypted credentials, health status and run logs; failures notify the owner.</t>
        </is>
      </c>
      <c r="F616" t="inlineStr">
        <is>
          <t>Not started</t>
        </is>
      </c>
      <c r="H616">
        <f>IF(G616&lt;&gt;"",G616,F616)</f>
        <v/>
      </c>
      <c r="I616" t="n">
        <v>0</v>
      </c>
      <c r="J616" t="n">
        <v>0</v>
      </c>
      <c r="K616" t="n">
        <v>0</v>
      </c>
      <c r="L616" s="5" t="inlineStr"/>
      <c r="M616" s="5" t="n"/>
    </row>
    <row r="617">
      <c r="A617" t="inlineStr">
        <is>
          <t>YX-INT-02</t>
        </is>
      </c>
      <c r="B617" t="inlineStr">
        <is>
          <t>P10</t>
        </is>
      </c>
      <c r="C617" t="inlineStr">
        <is>
          <t>YX-INT</t>
        </is>
      </c>
      <c r="D617" t="inlineStr">
        <is>
          <t>6+</t>
        </is>
      </c>
      <c r="E617" s="5" t="inlineStr">
        <is>
          <t>Inbound connectors are idempotent (duplicate punches/results ignored) and signature-verified.</t>
        </is>
      </c>
      <c r="F617" t="inlineStr">
        <is>
          <t>Not started</t>
        </is>
      </c>
      <c r="H617">
        <f>IF(G617&lt;&gt;"",G617,F617)</f>
        <v/>
      </c>
      <c r="I617" t="n">
        <v>0</v>
      </c>
      <c r="J617" t="n">
        <v>0</v>
      </c>
      <c r="K617" t="n">
        <v>0</v>
      </c>
      <c r="L617" s="5" t="inlineStr"/>
      <c r="M617" s="5" t="n"/>
    </row>
    <row r="618">
      <c r="A618" t="inlineStr">
        <is>
          <t>YX-INT-03</t>
        </is>
      </c>
      <c r="B618" t="inlineStr">
        <is>
          <t>P10</t>
        </is>
      </c>
      <c r="C618" t="inlineStr">
        <is>
          <t>YX-INT</t>
        </is>
      </c>
      <c r="D618" t="inlineStr">
        <is>
          <t>6+</t>
        </is>
      </c>
      <c r="E618" s="5" t="inlineStr">
        <is>
          <t>Generated exchange files (bank, accounting, statutory) are documents with hashes; downloads and releases are audited; bank file release follows maker ≠ checker.</t>
        </is>
      </c>
      <c r="F618" t="inlineStr">
        <is>
          <t>UI prototype only</t>
        </is>
      </c>
      <c r="H618">
        <f>IF(G618&lt;&gt;"",G618,F618)</f>
        <v/>
      </c>
      <c r="I618" t="n">
        <v>0</v>
      </c>
      <c r="J618" t="n">
        <v>0</v>
      </c>
      <c r="K618" t="n">
        <v>2</v>
      </c>
      <c r="L618" s="5" t="inlineStr"/>
      <c r="M618" s="5" t="n"/>
    </row>
    <row r="619">
      <c r="A619" t="inlineStr">
        <is>
          <t>YX-INT-04</t>
        </is>
      </c>
      <c r="B619" t="inlineStr">
        <is>
          <t>P10</t>
        </is>
      </c>
      <c r="C619" t="inlineStr">
        <is>
          <t>YX-INT</t>
        </is>
      </c>
      <c r="D619" t="inlineStr">
        <is>
          <t>6+</t>
        </is>
      </c>
      <c r="E619" s="5" t="inlineStr">
        <is>
          <t>Public API and webhooks apply the same P02 scopes and field classes as the app.</t>
        </is>
      </c>
      <c r="F619" t="inlineStr">
        <is>
          <t>Not started</t>
        </is>
      </c>
      <c r="H619">
        <f>IF(G619&lt;&gt;"",G619,F619)</f>
        <v/>
      </c>
      <c r="I619" t="n">
        <v>0</v>
      </c>
      <c r="J619" t="n">
        <v>0</v>
      </c>
      <c r="K619" t="n">
        <v>0</v>
      </c>
      <c r="L619" s="5" t="inlineStr"/>
      <c r="M619" s="5" t="n"/>
    </row>
    <row r="620">
      <c r="A620" t="inlineStr">
        <is>
          <t>YX-INT-05</t>
        </is>
      </c>
      <c r="B620" t="inlineStr">
        <is>
          <t>P10</t>
        </is>
      </c>
      <c r="C620" t="inlineStr">
        <is>
          <t>YX-INT</t>
        </is>
      </c>
      <c r="D620" t="inlineStr">
        <is>
          <t>6+</t>
        </is>
      </c>
      <c r="E620" s="5" t="inlineStr">
        <is>
          <t>Chat apps (B9): Slack / Teams apps are installed by tenant admin consent, act only for SSO / OAuth-linked users and call the public API as that user (P04 YX-NTF-16).</t>
        </is>
      </c>
      <c r="F620" t="inlineStr">
        <is>
          <t>Not started</t>
        </is>
      </c>
      <c r="H620">
        <f>IF(G620&lt;&gt;"",G620,F620)</f>
        <v/>
      </c>
      <c r="I620" t="n">
        <v>0</v>
      </c>
      <c r="J620" t="n">
        <v>0</v>
      </c>
      <c r="K620" t="n">
        <v>0</v>
      </c>
      <c r="L620" s="5" t="inlineStr"/>
      <c r="M620" s="5" t="n"/>
    </row>
    <row r="621">
      <c r="A621" t="inlineStr">
        <is>
          <t>YX-INT-06</t>
        </is>
      </c>
      <c r="B621" t="inlineStr">
        <is>
          <t>P10</t>
        </is>
      </c>
      <c r="C621" t="inlineStr">
        <is>
          <t>YX-INT</t>
        </is>
      </c>
      <c r="D621" t="inlineStr">
        <is>
          <t>6+</t>
        </is>
      </c>
      <c r="E621" s="5" t="inlineStr">
        <is>
          <t>Mailbox sync (C6): only threads matched to a candidate, ticket or YukthiX-sent message are imported; send-as uses the user's own OAuth grant; unlinking stops sync at once; synced content takes the attached record's P02 class.</t>
        </is>
      </c>
      <c r="F621" t="inlineStr">
        <is>
          <t>Not started</t>
        </is>
      </c>
      <c r="H621">
        <f>IF(G621&lt;&gt;"",G621,F621)</f>
        <v/>
      </c>
      <c r="I621" t="n">
        <v>0</v>
      </c>
      <c r="J621" t="n">
        <v>0</v>
      </c>
      <c r="K621" t="n">
        <v>0</v>
      </c>
      <c r="L621" s="5" t="inlineStr"/>
      <c r="M621" s="5" t="n"/>
    </row>
    <row r="622">
      <c r="A622" t="inlineStr">
        <is>
          <t>YX-INT-07</t>
        </is>
      </c>
      <c r="B622" t="inlineStr">
        <is>
          <t>P10</t>
        </is>
      </c>
      <c r="C622" t="inlineStr">
        <is>
          <t>YX-INT</t>
        </is>
      </c>
      <c r="D622" t="inlineStr">
        <is>
          <t>6+</t>
        </is>
      </c>
      <c r="E622" s="5" t="inlineStr">
        <is>
          <t>eKYC / DigiLocker (C6): only via a licensed partner, with explicit per-purpose consent recorded (YX-SEC-28); the full Aadhaar number is never stored (masked + partner reference, YX-SEC-08); pulled documents are stored as issuer-verified P05 documents; a non-Aadhaar path always exists.</t>
        </is>
      </c>
      <c r="F622" t="inlineStr">
        <is>
          <t>Not started</t>
        </is>
      </c>
      <c r="H622">
        <f>IF(G622&lt;&gt;"",G622,F622)</f>
        <v/>
      </c>
      <c r="I622" t="n">
        <v>0</v>
      </c>
      <c r="J622" t="n">
        <v>0</v>
      </c>
      <c r="K622" t="n">
        <v>0</v>
      </c>
      <c r="L622" s="5" t="inlineStr"/>
      <c r="M622" s="5" t="n"/>
    </row>
    <row r="623">
      <c r="A623" t="inlineStr">
        <is>
          <t>YX-INT-08</t>
        </is>
      </c>
      <c r="B623" t="inlineStr">
        <is>
          <t>P10</t>
        </is>
      </c>
      <c r="C623" t="inlineStr">
        <is>
          <t>YX-INT</t>
        </is>
      </c>
      <c r="D623" t="inlineStr">
        <is>
          <t>6+</t>
        </is>
      </c>
      <c r="E623" s="5" t="inlineStr">
        <is>
          <t>Earned wage access (B10): off unless the company enables it; the accessible amount never exceeds earned net pay to date × company cap; recovery is a payroll deduction within the P07 IN.WAGES cap (exit: F&amp;F within the cap); the partner receives only employee id, limit and bank-verified status; YukthiX never funds or lends.</t>
        </is>
      </c>
      <c r="F623" t="inlineStr">
        <is>
          <t>Not started</t>
        </is>
      </c>
      <c r="H623">
        <f>IF(G623&lt;&gt;"",G623,F623)</f>
        <v/>
      </c>
      <c r="I623" t="n">
        <v>0</v>
      </c>
      <c r="J623" t="n">
        <v>0</v>
      </c>
      <c r="K623" t="n">
        <v>0</v>
      </c>
      <c r="L623" s="5" t="inlineStr"/>
      <c r="M623" s="5" t="n"/>
    </row>
    <row r="624">
      <c r="A624" t="inlineStr">
        <is>
          <t>YX-INT-09</t>
        </is>
      </c>
      <c r="B624" t="inlineStr">
        <is>
          <t>P10</t>
        </is>
      </c>
      <c r="C624" t="inlineStr">
        <is>
          <t>YX-INT</t>
        </is>
      </c>
      <c r="D624" t="inlineStr">
        <is>
          <t>6+</t>
        </is>
      </c>
      <c r="E624" s="5" t="inlineStr">
        <is>
          <t>Partner connectors — data minimisation and contracts (gap-register tidy-up). Every B3 partner connector declares, in its connection record, the data classes it sends and whose contract pays the partner. Content providers, job boards and benchmark data run on the customer's own licence / account (connector included, D18); psychometric, plagiarism / leak, eKYC, EWA and benchmark partners are partner add-ons (P14 YX-BILL-11). Proctoring partners (psychometric, plagiarism / leak) receive only pseudonymous attempt ids and content, never candidate identity; the benchmark partner receives only job-co</t>
        </is>
      </c>
      <c r="F624" t="inlineStr">
        <is>
          <t>Not started</t>
        </is>
      </c>
      <c r="H624">
        <f>IF(G624&lt;&gt;"",G624,F624)</f>
        <v/>
      </c>
      <c r="I624" t="n">
        <v>0</v>
      </c>
      <c r="J624" t="n">
        <v>0</v>
      </c>
      <c r="K624" t="n">
        <v>0</v>
      </c>
      <c r="L624" s="5" t="inlineStr"/>
      <c r="M624" s="5" t="n"/>
    </row>
    <row r="625">
      <c r="A625" t="inlineStr">
        <is>
          <t>YX-INT-10</t>
        </is>
      </c>
      <c r="B625" t="inlineStr">
        <is>
          <t>P10</t>
        </is>
      </c>
      <c r="C625" t="inlineStr">
        <is>
          <t>YX-INT</t>
        </is>
      </c>
      <c r="D625" t="inlineStr">
        <is>
          <t>6+</t>
        </is>
      </c>
      <c r="E625" s="5" t="inlineStr">
        <is>
          <t xml:space="preserve">Jobs &amp; errors page (G6). IntegrationDelivery failures (webhooks / Slack / Teams / Zapier), connector sync-job dead letters (B2), import errors (P15), notification delivery failures (P04) and automation failures (P19 YX-RULE-11) all feed one admin Jobs &amp; errors page (APX-D PLT-38) in one record shape: kind, source, record, error in plain words, attempts, next retry, owner. Actions are Retry (idempotent, YX-INT-02), Skip with reason and open the record; every action is audited (P08). Nothing fails silently: a failure without an owner escalates to the System Admin, and the page's open count is a </t>
        </is>
      </c>
      <c r="F625" t="inlineStr">
        <is>
          <t>UI prototype only</t>
        </is>
      </c>
      <c r="H625">
        <f>IF(G625&lt;&gt;"",G625,F625)</f>
        <v/>
      </c>
      <c r="I625" t="n">
        <v>0</v>
      </c>
      <c r="J625" t="n">
        <v>0</v>
      </c>
      <c r="K625" t="n">
        <v>2</v>
      </c>
      <c r="L625" s="5" t="inlineStr"/>
      <c r="M625" s="5" t="n"/>
    </row>
    <row r="626">
      <c r="A626" t="inlineStr">
        <is>
          <t>YX-INT-11</t>
        </is>
      </c>
      <c r="B626" t="inlineStr">
        <is>
          <t>P10</t>
        </is>
      </c>
      <c r="C626" t="inlineStr">
        <is>
          <t>YX-INT</t>
        </is>
      </c>
      <c r="D626" t="inlineStr">
        <is>
          <t>6+</t>
        </is>
      </c>
      <c r="E626" s="5" t="inlineStr">
        <is>
          <t>Deepfake partner connector (T10). Called only for interview video / audio of a company that has enabled the add-on and a candidate who consented (T04 YX-PROC-20); each call sends the minimal clip / frames, records region, bytes sent and the result in deepfake_checks, and is covered by YX-INT-09 (data classes, DPA, no retention by the partner, sub-processor listing). A partner outage skips the check with a note for the reviewer; it never blocks or fails the interview.</t>
        </is>
      </c>
      <c r="F626" t="inlineStr">
        <is>
          <t>UI prototype only</t>
        </is>
      </c>
      <c r="H626">
        <f>IF(G626&lt;&gt;"",G626,F626)</f>
        <v/>
      </c>
      <c r="I626" t="n">
        <v>0</v>
      </c>
      <c r="J626" t="n">
        <v>0</v>
      </c>
      <c r="K626" t="n">
        <v>2</v>
      </c>
      <c r="L626" s="5" t="inlineStr"/>
      <c r="M626" s="5" t="n"/>
    </row>
    <row r="627">
      <c r="A627" t="inlineStr">
        <is>
          <t>YX-INT-12</t>
        </is>
      </c>
      <c r="B627" t="inlineStr">
        <is>
          <t>P10</t>
        </is>
      </c>
      <c r="C627" t="inlineStr">
        <is>
          <t>YX-INT</t>
        </is>
      </c>
      <c r="D627" t="inlineStr">
        <is>
          <t>6+</t>
        </is>
      </c>
      <c r="E627" s="5" t="inlineStr">
        <is>
          <t xml:space="preserve">Global payroll / EOR connectors (T17). For a country without a YukthiX pack, a company may connect a global payroll or EOR provider: YukthiX pushes HR data for workers in that country (joiners, leavers, changes, pay inputs, leave and attendance summaries) and pulls results (payslips as P05 documents, gross-to-net totals, employer cost, journals into the accounting export). YukthiX never computes that country's statutory pay; the provider is a listed sub-processor with a data-processing agreement, receives only the fields it needs (YX-INT-09), and pulled results are read-only and period-locked </t>
        </is>
      </c>
      <c r="F627" t="inlineStr">
        <is>
          <t>Not started</t>
        </is>
      </c>
      <c r="H627">
        <f>IF(G627&lt;&gt;"",G627,F627)</f>
        <v/>
      </c>
      <c r="I627" t="n">
        <v>0</v>
      </c>
      <c r="J627" t="n">
        <v>0</v>
      </c>
      <c r="K627" t="n">
        <v>0</v>
      </c>
      <c r="L627" s="5" t="inlineStr"/>
      <c r="M627" s="5" t="n"/>
    </row>
    <row r="628">
      <c r="A628" t="inlineStr">
        <is>
          <t>YX-API-01</t>
        </is>
      </c>
      <c r="B628" t="inlineStr">
        <is>
          <t>P11</t>
        </is>
      </c>
      <c r="C628" t="inlineStr">
        <is>
          <t>YX-API</t>
        </is>
      </c>
      <c r="D628" t="inlineStr">
        <is>
          <t>6+</t>
        </is>
      </c>
      <c r="E628" s="5" t="inlineStr">
        <is>
          <t>No hidden logic. Business rules, validation, permissions and calculations run only in the API. The web and mobile apps never compute a figure that the API doesn't also enforce.</t>
        </is>
      </c>
      <c r="F628" t="inlineStr">
        <is>
          <t>Not started</t>
        </is>
      </c>
      <c r="H628">
        <f>IF(G628&lt;&gt;"",G628,F628)</f>
        <v/>
      </c>
      <c r="I628" t="n">
        <v>0</v>
      </c>
      <c r="J628" t="n">
        <v>0</v>
      </c>
      <c r="K628" t="n">
        <v>0</v>
      </c>
      <c r="L628" s="5" t="inlineStr"/>
      <c r="M628" s="5" t="n"/>
    </row>
    <row r="629">
      <c r="A629" t="inlineStr">
        <is>
          <t>YX-API-02</t>
        </is>
      </c>
      <c r="B629" t="inlineStr">
        <is>
          <t>P11</t>
        </is>
      </c>
      <c r="C629" t="inlineStr">
        <is>
          <t>YX-API</t>
        </is>
      </c>
      <c r="D629" t="inlineStr">
        <is>
          <t>6+</t>
        </is>
      </c>
      <c r="E629" s="5" t="inlineStr">
        <is>
          <t>Our UI uses the same API. Every action in our apps goes through an API route. Public-class routes behave identically for our apps and for external clients. First-party routes may add UI aggregations, but never extra rights.</t>
        </is>
      </c>
      <c r="F629" t="inlineStr">
        <is>
          <t>Not started</t>
        </is>
      </c>
      <c r="H629">
        <f>IF(G629&lt;&gt;"",G629,F629)</f>
        <v/>
      </c>
      <c r="I629" t="n">
        <v>0</v>
      </c>
      <c r="J629" t="n">
        <v>0</v>
      </c>
      <c r="K629" t="n">
        <v>0</v>
      </c>
      <c r="L629" s="5" t="inlineStr"/>
      <c r="M629" s="5" t="n"/>
    </row>
    <row r="630">
      <c r="A630" t="inlineStr">
        <is>
          <t>YX-API-03</t>
        </is>
      </c>
      <c r="B630" t="inlineStr">
        <is>
          <t>P11</t>
        </is>
      </c>
      <c r="C630" t="inlineStr">
        <is>
          <t>YX-API</t>
        </is>
      </c>
      <c r="D630" t="inlineStr">
        <is>
          <t>6+</t>
        </is>
      </c>
      <c r="E630" s="5" t="inlineStr">
        <is>
          <t>Every request is tenant-scoped via P01 RLS (SET LOCAL app.current_org from the session, key or token) and permission-checked via P02, including field classes. A key or token can never exceed its owner's or grant's rights.</t>
        </is>
      </c>
      <c r="F630" t="inlineStr">
        <is>
          <t>Not started</t>
        </is>
      </c>
      <c r="H630">
        <f>IF(G630&lt;&gt;"",G630,F630)</f>
        <v/>
      </c>
      <c r="I630" t="n">
        <v>0</v>
      </c>
      <c r="J630" t="n">
        <v>0</v>
      </c>
      <c r="K630" t="n">
        <v>0</v>
      </c>
      <c r="L630" s="5" t="inlineStr"/>
      <c r="M630" s="5" t="n"/>
    </row>
    <row r="631">
      <c r="A631" t="inlineStr">
        <is>
          <t>YX-API-04</t>
        </is>
      </c>
      <c r="B631" t="inlineStr">
        <is>
          <t>P11</t>
        </is>
      </c>
      <c r="C631" t="inlineStr">
        <is>
          <t>YX-API</t>
        </is>
      </c>
      <c r="D631" t="inlineStr">
        <is>
          <t>6+</t>
        </is>
      </c>
      <c r="E631" s="5" t="inlineStr">
        <is>
          <t>The OpenAPI 3.1 spec is generated in CI. A build fails if a public route is undocumented, or if a change breaks the published contract without a new major version (Q3).</t>
        </is>
      </c>
      <c r="F631" t="inlineStr">
        <is>
          <t>Not started</t>
        </is>
      </c>
      <c r="H631">
        <f>IF(G631&lt;&gt;"",G631,F631)</f>
        <v/>
      </c>
      <c r="I631" t="n">
        <v>0</v>
      </c>
      <c r="J631" t="n">
        <v>0</v>
      </c>
      <c r="K631" t="n">
        <v>0</v>
      </c>
      <c r="L631" s="5" t="inlineStr"/>
      <c r="M631" s="5" t="n"/>
    </row>
    <row r="632">
      <c r="A632" t="inlineStr">
        <is>
          <t>YX-API-05</t>
        </is>
      </c>
      <c r="B632" t="inlineStr">
        <is>
          <t>P11</t>
        </is>
      </c>
      <c r="C632" t="inlineStr">
        <is>
          <t>YX-API</t>
        </is>
      </c>
      <c r="D632" t="inlineStr">
        <is>
          <t>6+</t>
        </is>
      </c>
      <c r="E632" s="5" t="inlineStr">
        <is>
          <t>Writes support Idempotency-Key. Replaying the same key and body returns the original result; the same key with a different body gets 409.</t>
        </is>
      </c>
      <c r="F632" t="inlineStr">
        <is>
          <t>Not started</t>
        </is>
      </c>
      <c r="H632">
        <f>IF(G632&lt;&gt;"",G632,F632)</f>
        <v/>
      </c>
      <c r="I632" t="n">
        <v>0</v>
      </c>
      <c r="J632" t="n">
        <v>0</v>
      </c>
      <c r="K632" t="n">
        <v>0</v>
      </c>
      <c r="L632" s="5" t="inlineStr"/>
      <c r="M632" s="5" t="n"/>
    </row>
    <row r="633">
      <c r="A633" t="inlineStr">
        <is>
          <t>YX-API-06</t>
        </is>
      </c>
      <c r="B633" t="inlineStr">
        <is>
          <t>P11</t>
        </is>
      </c>
      <c r="C633" t="inlineStr">
        <is>
          <t>YX-API</t>
        </is>
      </c>
      <c r="D633" t="inlineStr">
        <is>
          <t>6+</t>
        </is>
      </c>
      <c r="E633" s="5" t="inlineStr">
        <is>
          <t>Lists use cursor pagination, filtering and sorting on documented fields, and sparse fieldsets (fields=). Responses never include fields the caller's field classes don't allow; they are omitted, not nulled.</t>
        </is>
      </c>
      <c r="F633" t="inlineStr">
        <is>
          <t>Not started</t>
        </is>
      </c>
      <c r="H633">
        <f>IF(G633&lt;&gt;"",G633,F633)</f>
        <v/>
      </c>
      <c r="I633" t="n">
        <v>0</v>
      </c>
      <c r="J633" t="n">
        <v>0</v>
      </c>
      <c r="K633" t="n">
        <v>0</v>
      </c>
      <c r="L633" s="5" t="inlineStr"/>
      <c r="M633" s="5" t="n"/>
    </row>
    <row r="634">
      <c r="A634" t="inlineStr">
        <is>
          <t>YX-API-07</t>
        </is>
      </c>
      <c r="B634" t="inlineStr">
        <is>
          <t>P11</t>
        </is>
      </c>
      <c r="C634" t="inlineStr">
        <is>
          <t>YX-API</t>
        </is>
      </c>
      <c r="D634" t="inlineStr">
        <is>
          <t>6+</t>
        </is>
      </c>
      <c r="E634" s="5" t="inlineStr">
        <is>
          <t>Errors use one format (RFC 9457 problem details) with a stable code, a human message, and field errors. Validation messages match the UI's.</t>
        </is>
      </c>
      <c r="F634" t="inlineStr">
        <is>
          <t>Not started</t>
        </is>
      </c>
      <c r="H634">
        <f>IF(G634&lt;&gt;"",G634,F634)</f>
        <v/>
      </c>
      <c r="I634" t="n">
        <v>0</v>
      </c>
      <c r="J634" t="n">
        <v>0</v>
      </c>
      <c r="K634" t="n">
        <v>0</v>
      </c>
      <c r="L634" s="5" t="inlineStr"/>
      <c r="M634" s="5" t="n"/>
    </row>
    <row r="635">
      <c r="A635" t="inlineStr">
        <is>
          <t>YX-API-08</t>
        </is>
      </c>
      <c r="B635" t="inlineStr">
        <is>
          <t>P11</t>
        </is>
      </c>
      <c r="C635" t="inlineStr">
        <is>
          <t>YX-API</t>
        </is>
      </c>
      <c r="D635" t="inlineStr">
        <is>
          <t>6+</t>
        </is>
      </c>
      <c r="E635" s="5" t="inlineStr">
        <is>
          <t>Rate limits apply per key / token / user and per tenant, from the plan's fair-use limits or the limits add-on (Q8). Responses carry RateLimit-* headers. Limits never block our own apps' interactive traffic below the tenant quota.</t>
        </is>
      </c>
      <c r="F635" t="inlineStr">
        <is>
          <t>Not started</t>
        </is>
      </c>
      <c r="H635">
        <f>IF(G635&lt;&gt;"",G635,F635)</f>
        <v/>
      </c>
      <c r="I635" t="n">
        <v>0</v>
      </c>
      <c r="J635" t="n">
        <v>0</v>
      </c>
      <c r="K635" t="n">
        <v>0</v>
      </c>
      <c r="L635" s="5" t="inlineStr"/>
      <c r="M635" s="5" t="n"/>
    </row>
    <row r="636">
      <c r="A636" t="inlineStr">
        <is>
          <t>YX-API-09</t>
        </is>
      </c>
      <c r="B636" t="inlineStr">
        <is>
          <t>P11</t>
        </is>
      </c>
      <c r="C636" t="inlineStr">
        <is>
          <t>YX-API</t>
        </is>
      </c>
      <c r="D636" t="inlineStr">
        <is>
          <t>6+</t>
        </is>
      </c>
      <c r="E636" s="5" t="inlineStr">
        <is>
          <t>Webhooks are signed (HMAC-SHA256 with a timestamp, replay window of 5 min or less) and retried with exponential backoff for up to 24 h. After repeated failure the endpoint is disabled and admins are notified. Deliveries can be replayed (Q5).</t>
        </is>
      </c>
      <c r="F636" t="inlineStr">
        <is>
          <t>Not started</t>
        </is>
      </c>
      <c r="H636">
        <f>IF(G636&lt;&gt;"",G636,F636)</f>
        <v/>
      </c>
      <c r="I636" t="n">
        <v>0</v>
      </c>
      <c r="J636" t="n">
        <v>0</v>
      </c>
      <c r="K636" t="n">
        <v>0</v>
      </c>
      <c r="L636" s="5" t="inlineStr"/>
      <c r="M636" s="5" t="n"/>
    </row>
    <row r="637">
      <c r="A637" t="inlineStr">
        <is>
          <t>YX-API-10</t>
        </is>
      </c>
      <c r="B637" t="inlineStr">
        <is>
          <t>P11</t>
        </is>
      </c>
      <c r="C637" t="inlineStr">
        <is>
          <t>YX-API</t>
        </is>
      </c>
      <c r="D637" t="inlineStr">
        <is>
          <t>6+</t>
        </is>
      </c>
      <c r="E637" s="5" t="inlineStr">
        <is>
          <t>Webhook payloads for Confidential or Special entities (salary, payslips, bank, cases) carry IDs and change type only. The receiver fetches details through the API with a properly scoped key.</t>
        </is>
      </c>
      <c r="F637" t="inlineStr">
        <is>
          <t>Not started</t>
        </is>
      </c>
      <c r="H637">
        <f>IF(G637&lt;&gt;"",G637,F637)</f>
        <v/>
      </c>
      <c r="I637" t="n">
        <v>0</v>
      </c>
      <c r="J637" t="n">
        <v>0</v>
      </c>
      <c r="K637" t="n">
        <v>0</v>
      </c>
      <c r="L637" s="5" t="inlineStr"/>
      <c r="M637" s="5" t="n"/>
    </row>
    <row r="638">
      <c r="A638" t="inlineStr">
        <is>
          <t>YX-API-11</t>
        </is>
      </c>
      <c r="B638" t="inlineStr">
        <is>
          <t>P11</t>
        </is>
      </c>
      <c r="C638" t="inlineStr">
        <is>
          <t>YX-API</t>
        </is>
      </c>
      <c r="D638" t="inlineStr">
        <is>
          <t>6+</t>
        </is>
      </c>
      <c r="E638" s="5" t="inlineStr">
        <is>
          <t>Every API write is audited (P08) with the caller identity: user, key name, or OAuth app + user. "Who accessed my data" (P08 Q6) includes API access by apps and keys.</t>
        </is>
      </c>
      <c r="F638" t="inlineStr">
        <is>
          <t>Not started</t>
        </is>
      </c>
      <c r="H638">
        <f>IF(G638&lt;&gt;"",G638,F638)</f>
        <v/>
      </c>
      <c r="I638" t="n">
        <v>0</v>
      </c>
      <c r="J638" t="n">
        <v>0</v>
      </c>
      <c r="K638" t="n">
        <v>0</v>
      </c>
      <c r="L638" s="5" t="inlineStr"/>
      <c r="M638" s="5" t="n"/>
    </row>
    <row r="639">
      <c r="A639" t="inlineStr">
        <is>
          <t>YX-API-12</t>
        </is>
      </c>
      <c r="B639" t="inlineStr">
        <is>
          <t>P11</t>
        </is>
      </c>
      <c r="C639" t="inlineStr">
        <is>
          <t>YX-API</t>
        </is>
      </c>
      <c r="D639" t="inlineStr">
        <is>
          <t>6+</t>
        </is>
      </c>
      <c r="E639" s="5" t="inlineStr">
        <is>
          <t>Payroll and statutory writes through the public API (run approval, payment status, filings) require a key with an explicit payroll-write scope and still go through P03 approvals and maker ≠ checker. There is never an API bypass of approvals or period locks (P08).</t>
        </is>
      </c>
      <c r="F639" t="inlineStr">
        <is>
          <t>Not started</t>
        </is>
      </c>
      <c r="H639">
        <f>IF(G639&lt;&gt;"",G639,F639)</f>
        <v/>
      </c>
      <c r="I639" t="n">
        <v>0</v>
      </c>
      <c r="J639" t="n">
        <v>0</v>
      </c>
      <c r="K639" t="n">
        <v>0</v>
      </c>
      <c r="L639" s="5" t="inlineStr"/>
      <c r="M639" s="5" t="n"/>
    </row>
    <row r="640">
      <c r="A640" t="inlineStr">
        <is>
          <t>YX-API-13</t>
        </is>
      </c>
      <c r="B640" t="inlineStr">
        <is>
          <t>P11</t>
        </is>
      </c>
      <c r="C640" t="inlineStr">
        <is>
          <t>YX-API</t>
        </is>
      </c>
      <c r="D640" t="inlineStr">
        <is>
          <t>6+</t>
        </is>
      </c>
      <c r="E640" s="5" t="inlineStr">
        <is>
          <t>A deprecated route or field returns Deprecation and Sunset headers for the whole notice period (Q3). Tenants using it are emailed.</t>
        </is>
      </c>
      <c r="F640" t="inlineStr">
        <is>
          <t>Not started</t>
        </is>
      </c>
      <c r="H640">
        <f>IF(G640&lt;&gt;"",G640,F640)</f>
        <v/>
      </c>
      <c r="I640" t="n">
        <v>0</v>
      </c>
      <c r="J640" t="n">
        <v>0</v>
      </c>
      <c r="K640" t="n">
        <v>0</v>
      </c>
      <c r="L640" s="5" t="inlineStr"/>
      <c r="M640" s="5" t="n"/>
    </row>
    <row r="641">
      <c r="A641" t="inlineStr">
        <is>
          <t>YX-API-14</t>
        </is>
      </c>
      <c r="B641" t="inlineStr">
        <is>
          <t>P11</t>
        </is>
      </c>
      <c r="C641" t="inlineStr">
        <is>
          <t>YX-API</t>
        </is>
      </c>
      <c r="D641" t="inlineStr">
        <is>
          <t>6+</t>
        </is>
      </c>
      <c r="E641" s="5" t="inlineStr">
        <is>
          <t>REST and GraphQL are thin transports over one service layer: the same call through either returns the same data, errors (GraphQL extensions.code = problem code), permissions and audit. No business rule lives in a resolver or controller.</t>
        </is>
      </c>
      <c r="F641" t="inlineStr">
        <is>
          <t>Not started</t>
        </is>
      </c>
      <c r="H641">
        <f>IF(G641&lt;&gt;"",G641,F641)</f>
        <v/>
      </c>
      <c r="I641" t="n">
        <v>0</v>
      </c>
      <c r="J641" t="n">
        <v>0</v>
      </c>
      <c r="K641" t="n">
        <v>0</v>
      </c>
      <c r="L641" s="5" t="inlineStr"/>
      <c r="M641" s="5" t="n"/>
    </row>
    <row r="642">
      <c r="A642" t="inlineStr">
        <is>
          <t>YX-API-15</t>
        </is>
      </c>
      <c r="B642" t="inlineStr">
        <is>
          <t>P11</t>
        </is>
      </c>
      <c r="C642" t="inlineStr">
        <is>
          <t>YX-API</t>
        </is>
      </c>
      <c r="D642" t="inlineStr">
        <is>
          <t>6+</t>
        </is>
      </c>
      <c r="E642" s="5" t="inlineStr">
        <is>
          <t>GraphQL is protected by depth and complexity limits, pagination on every list (connections), per-field authorisation from P02 field classes (unauthorised fields resolve to an error, never silently leak), disabled introspection in production for non-developer keys, and persisted queries for our own apps. Rate limits count query cost, not requests.</t>
        </is>
      </c>
      <c r="F642" t="inlineStr">
        <is>
          <t>Not started</t>
        </is>
      </c>
      <c r="H642">
        <f>IF(G642&lt;&gt;"",G642,F642)</f>
        <v/>
      </c>
      <c r="I642" t="n">
        <v>0</v>
      </c>
      <c r="J642" t="n">
        <v>0</v>
      </c>
      <c r="K642" t="n">
        <v>0</v>
      </c>
      <c r="L642" s="5" t="inlineStr"/>
      <c r="M642" s="5" t="n"/>
    </row>
    <row r="643">
      <c r="A643" t="inlineStr">
        <is>
          <t>YX-API-16</t>
        </is>
      </c>
      <c r="B643" t="inlineStr">
        <is>
          <t>P11</t>
        </is>
      </c>
      <c r="C643" t="inlineStr">
        <is>
          <t>YX-API</t>
        </is>
      </c>
      <c r="D643" t="inlineStr">
        <is>
          <t>6+</t>
        </is>
      </c>
      <c r="E643" s="5" t="inlineStr">
        <is>
          <t>Custom-object APIs (B20): publishing a custom object (P18) generates its REST resource, GraphQL type and custom.{object}.* webhook events with no code release; they obey YX-API-03/05/06/09/10/14/15 like built-in resources (P02 scopes and field classes per custom field, thin payloads for Confidential / Special objects); renaming or deleting a published object or field follows the Q3 deprecation rules for keys that use it.</t>
        </is>
      </c>
      <c r="F643" t="inlineStr">
        <is>
          <t>Not started</t>
        </is>
      </c>
      <c r="H643">
        <f>IF(G643&lt;&gt;"",G643,F643)</f>
        <v/>
      </c>
      <c r="I643" t="n">
        <v>0</v>
      </c>
      <c r="J643" t="n">
        <v>0</v>
      </c>
      <c r="K643" t="n">
        <v>0</v>
      </c>
      <c r="L643" s="5" t="inlineStr"/>
      <c r="M643" s="5" t="n"/>
    </row>
    <row r="644">
      <c r="A644" t="inlineStr">
        <is>
          <t>YX-IAM-01</t>
        </is>
      </c>
      <c r="B644" t="inlineStr">
        <is>
          <t>P12</t>
        </is>
      </c>
      <c r="C644" t="inlineStr">
        <is>
          <t>YX-IAM</t>
        </is>
      </c>
      <c r="D644" t="inlineStr">
        <is>
          <t>1</t>
        </is>
      </c>
      <c r="E644" s="5" t="inlineStr">
        <is>
          <t>Users in sensitive roles must reach AAL2 before using any sensitive-role permission. The tenant may extend MFA to everyone, but may not waive it for sensitive roles (Q1).</t>
        </is>
      </c>
      <c r="F644" t="inlineStr">
        <is>
          <t>Built + tested</t>
        </is>
      </c>
      <c r="H644">
        <f>IF(G644&lt;&gt;"",G644,F644)</f>
        <v/>
      </c>
      <c r="I644" t="n">
        <v>32</v>
      </c>
      <c r="J644" t="n">
        <v>20</v>
      </c>
      <c r="K644" t="n">
        <v>12</v>
      </c>
      <c r="L644" s="5" t="inlineStr">
        <is>
          <t>exam-app-org:apps/api/prisma/migrations/20261006200000_mfa/migration.sql
exam-app-org:apps/api/src/attempts-admin/attempts-admin.controller.ts
exam-app-org:apps/api/src/auth/auth.controller.ts</t>
        </is>
      </c>
      <c r="M644" s="5" t="n"/>
    </row>
    <row r="645">
      <c r="A645" t="inlineStr">
        <is>
          <t>YX-IAM-02</t>
        </is>
      </c>
      <c r="B645" t="inlineStr">
        <is>
          <t>P12</t>
        </is>
      </c>
      <c r="C645" t="inlineStr">
        <is>
          <t>YX-IAM</t>
        </is>
      </c>
      <c r="D645" t="inlineStr">
        <is>
          <t>1</t>
        </is>
      </c>
      <c r="E645" s="5" t="inlineStr">
        <is>
          <t>Step-up actions require AAL2 re-verification within the last N minutes (floor: 15). The re-verification is recorded on the audit entry.</t>
        </is>
      </c>
      <c r="F645" t="inlineStr">
        <is>
          <t>Built + tested</t>
        </is>
      </c>
      <c r="H645">
        <f>IF(G645&lt;&gt;"",G645,F645)</f>
        <v/>
      </c>
      <c r="I645" t="n">
        <v>19</v>
      </c>
      <c r="J645" t="n">
        <v>7</v>
      </c>
      <c r="K645" t="n">
        <v>6</v>
      </c>
      <c r="L645" s="5" t="inlineStr">
        <is>
          <t>exam-app-org:apps/api/prisma/migrations/20261006200000_mfa/migration.sql
exam-app-org:apps/api/src/access/access.controller.ts
exam-app-org:apps/api/src/auth/mfa.controller.ts</t>
        </is>
      </c>
      <c r="M645" s="5" t="n"/>
    </row>
    <row r="646">
      <c r="A646" t="inlineStr">
        <is>
          <t>YX-IAM-03</t>
        </is>
      </c>
      <c r="B646" t="inlineStr">
        <is>
          <t>P12</t>
        </is>
      </c>
      <c r="C646" t="inlineStr">
        <is>
          <t>YX-IAM</t>
        </is>
      </c>
      <c r="D646" t="inlineStr">
        <is>
          <t>1</t>
        </is>
      </c>
      <c r="E646" s="5" t="inlineStr">
        <is>
          <t>Passkeys are the preferred factor. TOTP is supported. SMS / WhatsApp / email OTP is a fallback factor only; it can't be the sole second factor for System Admin or Payroll Admin.</t>
        </is>
      </c>
      <c r="F646" t="inlineStr">
        <is>
          <t>Built + tested</t>
        </is>
      </c>
      <c r="H646">
        <f>IF(G646&lt;&gt;"",G646,F646)</f>
        <v/>
      </c>
      <c r="I646" t="n">
        <v>16</v>
      </c>
      <c r="J646" t="n">
        <v>6</v>
      </c>
      <c r="K646" t="n">
        <v>6</v>
      </c>
      <c r="L646" s="5" t="inlineStr">
        <is>
          <t>exam-app-org:apps/api/prisma/migrations/20261006300000_otp_sign_in/migration.sql
exam-app-org:apps/api/prisma/schema.prisma
exam-app-org:apps/api/src/auth/auth.service.spec.ts</t>
        </is>
      </c>
      <c r="M646" s="5" t="n"/>
    </row>
    <row r="647">
      <c r="A647" t="inlineStr">
        <is>
          <t>YX-IAM-04</t>
        </is>
      </c>
      <c r="B647" t="inlineStr">
        <is>
          <t>P12</t>
        </is>
      </c>
      <c r="C647" t="inlineStr">
        <is>
          <t>YX-IAM</t>
        </is>
      </c>
      <c r="D647" t="inlineStr">
        <is>
          <t>1</t>
        </is>
      </c>
      <c r="E647" s="5" t="inlineStr">
        <is>
          <t>SSO: a tenant may configure several IdPs, mapped by email domain. With SSO-only enabled, password login is disabled except for ≥ 2 named break-glass admin accounts with MFA; every break-glass login alerts all admins.</t>
        </is>
      </c>
      <c r="F647" t="inlineStr">
        <is>
          <t>Built + tested</t>
        </is>
      </c>
      <c r="H647">
        <f>IF(G647&lt;&gt;"",G647,F647)</f>
        <v/>
      </c>
      <c r="I647" t="n">
        <v>28</v>
      </c>
      <c r="J647" t="n">
        <v>18</v>
      </c>
      <c r="K647" t="n">
        <v>6</v>
      </c>
      <c r="L647" s="5" t="inlineStr">
        <is>
          <t>exam-app-org:apps/api/prisma/migrations/20261006400000_identity_providers/migration.sql
exam-app-org:apps/api/prisma/migrations/20261006500000_login_hardening/migration.sql
exam-app-org:apps/api/prisma/migrations/20261007100000_verified_domains/migration.sql</t>
        </is>
      </c>
      <c r="M647" s="5" t="n"/>
    </row>
    <row r="648">
      <c r="A648" t="inlineStr">
        <is>
          <t>YX-IAM-05</t>
        </is>
      </c>
      <c r="B648" t="inlineStr">
        <is>
          <t>P12</t>
        </is>
      </c>
      <c r="C648" t="inlineStr">
        <is>
          <t>YX-IAM</t>
        </is>
      </c>
      <c r="D648" t="inlineStr">
        <is>
          <t>1</t>
        </is>
      </c>
      <c r="E648" s="5" t="inlineStr">
        <is>
          <t>JIT provisioning creates a user only from an allowed domain and never grants a sensitive role automatically. SCIM deprovisioning (or IdP disable) revokes all sessions within 5 minutes and triggers the M01 exit deprovisioning where an employee is linked (Q2).</t>
        </is>
      </c>
      <c r="F648" t="inlineStr">
        <is>
          <t>Built + tested</t>
        </is>
      </c>
      <c r="H648">
        <f>IF(G648&lt;&gt;"",G648,F648)</f>
        <v/>
      </c>
      <c r="I648" t="n">
        <v>8</v>
      </c>
      <c r="J648" t="n">
        <v>4</v>
      </c>
      <c r="K648" t="n">
        <v>0</v>
      </c>
      <c r="L648" s="5" t="inlineStr">
        <is>
          <t>exam-app-org:apps/api/prisma/migrations/20261006400000_identity_providers/migration.sql
exam-app-org:apps/api/prisma/migrations/20261006500000_login_hardening/migration.sql
exam-app-org:apps/api/src/auth/identity-providers.service.spec.ts</t>
        </is>
      </c>
      <c r="M648" s="5" t="n"/>
    </row>
    <row r="649">
      <c r="A649" t="inlineStr">
        <is>
          <t>YX-IAM-06</t>
        </is>
      </c>
      <c r="B649" t="inlineStr">
        <is>
          <t>P12</t>
        </is>
      </c>
      <c r="C649" t="inlineStr">
        <is>
          <t>YX-IAM</t>
        </is>
      </c>
      <c r="D649" t="inlineStr">
        <is>
          <t>1</t>
        </is>
      </c>
      <c r="E649" s="5" t="inlineStr">
        <is>
          <t>Sessions are server-side. Idle and absolute limits follow the tenant policy within the floor (Q8). Users see and revoke their active sessions; admins can revoke any session in scope.</t>
        </is>
      </c>
      <c r="F649" t="inlineStr">
        <is>
          <t>Built + tested</t>
        </is>
      </c>
      <c r="H649">
        <f>IF(G649&lt;&gt;"",G649,F649)</f>
        <v/>
      </c>
      <c r="I649" t="n">
        <v>20</v>
      </c>
      <c r="J649" t="n">
        <v>18</v>
      </c>
      <c r="K649" t="n">
        <v>6</v>
      </c>
      <c r="L649" s="5" t="inlineStr">
        <is>
          <t>exam-app-org:apps/api/prisma/migrations/20261006000000_sessions_login_events/migration.sql
exam-app-org:apps/api/prisma/migrations/20261006100000_tenant_security_policies/migration.sql
exam-app-org:apps/api/prisma/schema.prisma</t>
        </is>
      </c>
      <c r="M649" s="5" t="n"/>
    </row>
    <row r="650">
      <c r="A650" t="inlineStr">
        <is>
          <t>YX-IAM-07</t>
        </is>
      </c>
      <c r="B650" t="inlineStr">
        <is>
          <t>P12</t>
        </is>
      </c>
      <c r="C650" t="inlineStr">
        <is>
          <t>YX-IAM</t>
        </is>
      </c>
      <c r="D650" t="inlineStr">
        <is>
          <t>1</t>
        </is>
      </c>
      <c r="E650" s="5" t="inlineStr">
        <is>
          <t>Login protection: progressive delays and temporary lock after repeated failures per account and per IP; bot challenge on public login / OTP / apply pages under attack; new-device and new-country login notifications to the user.</t>
        </is>
      </c>
      <c r="F650" t="inlineStr">
        <is>
          <t>Built + tested</t>
        </is>
      </c>
      <c r="H650">
        <f>IF(G650&lt;&gt;"",G650,F650)</f>
        <v/>
      </c>
      <c r="I650" t="n">
        <v>20</v>
      </c>
      <c r="J650" t="n">
        <v>16</v>
      </c>
      <c r="K650" t="n">
        <v>6</v>
      </c>
      <c r="L650" s="5" t="inlineStr">
        <is>
          <t>exam-app-org:apps/api/prisma/migrations/20261006000000_sessions_login_events/migration.sql
exam-app-org:apps/api/prisma/migrations/20261006600000_lockout_policy/migration.sql
exam-app-org:apps/api/prisma/schema.prisma</t>
        </is>
      </c>
      <c r="M650" s="5" t="n"/>
    </row>
    <row r="651">
      <c r="A651" t="inlineStr">
        <is>
          <t>YX-IAM-08</t>
        </is>
      </c>
      <c r="B651" t="inlineStr">
        <is>
          <t>P12</t>
        </is>
      </c>
      <c r="C651" t="inlineStr">
        <is>
          <t>YX-IAM</t>
        </is>
      </c>
      <c r="D651" t="inlineStr">
        <is>
          <t>1</t>
        </is>
      </c>
      <c r="E651" s="5" t="inlineStr">
        <is>
          <t>Passwords follow the floor (Q8): minimum length, breached-password check, no forced periodic rotation; argon2 hashing.</t>
        </is>
      </c>
      <c r="F651" t="inlineStr">
        <is>
          <t>Built + tested</t>
        </is>
      </c>
      <c r="H651">
        <f>IF(G651&lt;&gt;"",G651,F651)</f>
        <v/>
      </c>
      <c r="I651" t="n">
        <v>12</v>
      </c>
      <c r="J651" t="n">
        <v>10</v>
      </c>
      <c r="K651" t="n">
        <v>2</v>
      </c>
      <c r="L651" s="5" t="inlineStr">
        <is>
          <t>exam-app-org:apps/api/prisma/migrations/20261006500000_login_hardening/migration.sql
exam-app-org:apps/api/prisma/schema.prisma
exam-app-org:apps/api/src/auth/auth.service.spec.ts</t>
        </is>
      </c>
      <c r="M651" s="5" t="n"/>
    </row>
    <row r="652">
      <c r="A652" t="inlineStr">
        <is>
          <t>YX-IAM-09</t>
        </is>
      </c>
      <c r="B652" t="inlineStr">
        <is>
          <t>P12</t>
        </is>
      </c>
      <c r="C652" t="inlineStr">
        <is>
          <t>YX-IAM</t>
        </is>
      </c>
      <c r="D652" t="inlineStr">
        <is>
          <t>1</t>
        </is>
      </c>
      <c r="E652" s="5" t="inlineStr">
        <is>
          <t>Tenant IP allow-lists may be set separately for desk, admin console and API keys. Mobile app and candidate / external portals are exempt unless the tenant explicitly includes them.</t>
        </is>
      </c>
      <c r="F652" t="inlineStr">
        <is>
          <t>Built + tested</t>
        </is>
      </c>
      <c r="H652">
        <f>IF(G652&lt;&gt;"",G652,F652)</f>
        <v/>
      </c>
      <c r="I652" t="n">
        <v>12</v>
      </c>
      <c r="J652" t="n">
        <v>10</v>
      </c>
      <c r="K652" t="n">
        <v>0</v>
      </c>
      <c r="L652" s="5" t="inlineStr">
        <is>
          <t>exam-app-org:apps/api/src/auth/auth.service.ts
exam-app-org:apps/api/src/auth/jwt.strategy.spec.ts
exam-app-org:apps/api/src/auth/jwt.strategy.ts</t>
        </is>
      </c>
      <c r="M652" s="5" t="n"/>
    </row>
    <row r="653">
      <c r="A653" t="inlineStr">
        <is>
          <t>YX-IAM-10</t>
        </is>
      </c>
      <c r="B653" t="inlineStr">
        <is>
          <t>P12</t>
        </is>
      </c>
      <c r="C653" t="inlineStr">
        <is>
          <t>YX-IAM</t>
        </is>
      </c>
      <c r="D653" t="inlineStr">
        <is>
          <t>1</t>
        </is>
      </c>
      <c r="E653" s="5" t="inlineStr">
        <is>
          <t>Every login attempt, MFA change, recovery-code use, session revocation, IdP change and security-policy change is logged (login_events / P08). Users see their own login history; admins see their tenant's.</t>
        </is>
      </c>
      <c r="F653" t="inlineStr">
        <is>
          <t>Built + tested</t>
        </is>
      </c>
      <c r="H653">
        <f>IF(G653&lt;&gt;"",G653,F653)</f>
        <v/>
      </c>
      <c r="I653" t="n">
        <v>20</v>
      </c>
      <c r="J653" t="n">
        <v>12</v>
      </c>
      <c r="K653" t="n">
        <v>2</v>
      </c>
      <c r="L653" s="5" t="inlineStr">
        <is>
          <t>exam-app-org:apps/api/prisma/migrations/20261006500000_login_hardening/migration.sql
exam-app-org:apps/api/prisma/migrations/20261006600000_lockout_policy/migration.sql
exam-app-org:apps/api/prisma/schema.prisma</t>
        </is>
      </c>
      <c r="M653" s="5" t="n"/>
    </row>
    <row r="654">
      <c r="A654" t="inlineStr">
        <is>
          <t>YX-IAM-11</t>
        </is>
      </c>
      <c r="B654" t="inlineStr">
        <is>
          <t>P12</t>
        </is>
      </c>
      <c r="C654" t="inlineStr">
        <is>
          <t>YX-IAM</t>
        </is>
      </c>
      <c r="D654" t="inlineStr">
        <is>
          <t>1</t>
        </is>
      </c>
      <c r="E654" s="5" t="inlineStr">
        <is>
          <t>Account recovery for sensitive roles needs a second admin's approval, or identity re-verification. Recovery codes are single-use and shown once.</t>
        </is>
      </c>
      <c r="F654" t="inlineStr">
        <is>
          <t>Built + tested</t>
        </is>
      </c>
      <c r="H654">
        <f>IF(G654&lt;&gt;"",G654,F654)</f>
        <v/>
      </c>
      <c r="I654" t="n">
        <v>8</v>
      </c>
      <c r="J654" t="n">
        <v>4</v>
      </c>
      <c r="K654" t="n">
        <v>0</v>
      </c>
      <c r="L654" s="5" t="inlineStr">
        <is>
          <t>exam-app-org:apps/api/prisma/schema.prisma
exam-app-org:apps/api/src/auth/mfa-reset.service.ts
exam-app-org:apps/api/src/auth/mfa.controller.ts</t>
        </is>
      </c>
      <c r="M654" s="5" t="n"/>
    </row>
    <row r="655">
      <c r="A655" t="inlineStr">
        <is>
          <t>YX-SECOPS-01</t>
        </is>
      </c>
      <c r="B655" t="inlineStr">
        <is>
          <t>P12</t>
        </is>
      </c>
      <c r="C655" t="inlineStr">
        <is>
          <t>YX-SECOPS</t>
        </is>
      </c>
      <c r="D655" t="inlineStr">
        <is>
          <t>1</t>
        </is>
      </c>
      <c r="E655" s="5" t="inlineStr">
        <is>
          <t>All data is encrypted in transit (TLS 1.2+, HSTS) and at rest. Confidential and Special fields use envelope encryption with per-tenant data keys from a cloud KMS / HSM; keys rotate at least yearly (Q3).</t>
        </is>
      </c>
      <c r="F655" t="inlineStr">
        <is>
          <t>Verify (step done, not linked)</t>
        </is>
      </c>
      <c r="H655">
        <f>IF(G655&lt;&gt;"",G655,F655)</f>
        <v/>
      </c>
      <c r="I655" t="n">
        <v>0</v>
      </c>
      <c r="J655" t="n">
        <v>0</v>
      </c>
      <c r="K655" t="n">
        <v>0</v>
      </c>
      <c r="L655" s="5" t="inlineStr"/>
      <c r="M655" s="5" t="n"/>
    </row>
    <row r="656">
      <c r="A656" t="inlineStr">
        <is>
          <t>YX-SECOPS-02</t>
        </is>
      </c>
      <c r="B656" t="inlineStr">
        <is>
          <t>P12</t>
        </is>
      </c>
      <c r="C656" t="inlineStr">
        <is>
          <t>YX-SECOPS</t>
        </is>
      </c>
      <c r="D656" t="inlineStr">
        <is>
          <t>1</t>
        </is>
      </c>
      <c r="E656" s="5" t="inlineStr">
        <is>
          <t>Deleting a tenant destroys its data keys (crypto-shredding) after the P14 grace period. Backups that still hold its data become unreadable.</t>
        </is>
      </c>
      <c r="F656" t="inlineStr">
        <is>
          <t>Verify (step done, not linked)</t>
        </is>
      </c>
      <c r="H656">
        <f>IF(G656&lt;&gt;"",G656,F656)</f>
        <v/>
      </c>
      <c r="I656" t="n">
        <v>0</v>
      </c>
      <c r="J656" t="n">
        <v>0</v>
      </c>
      <c r="K656" t="n">
        <v>0</v>
      </c>
      <c r="L656" s="5" t="inlineStr"/>
      <c r="M656" s="5" t="n"/>
    </row>
    <row r="657">
      <c r="A657" t="inlineStr">
        <is>
          <t>YX-SECOPS-03</t>
        </is>
      </c>
      <c r="B657" t="inlineStr">
        <is>
          <t>P12</t>
        </is>
      </c>
      <c r="C657" t="inlineStr">
        <is>
          <t>YX-SECOPS</t>
        </is>
      </c>
      <c r="D657" t="inlineStr">
        <is>
          <t>1</t>
        </is>
      </c>
      <c r="E657" s="5" t="inlineStr">
        <is>
          <t>Secrets (DB, API, partner credentials) live only in a secrets manager, rotated per schedule. Never in code or images (gitleaks gate).</t>
        </is>
      </c>
      <c r="F657" t="inlineStr">
        <is>
          <t>Verify (step done, not linked)</t>
        </is>
      </c>
      <c r="H657">
        <f>IF(G657&lt;&gt;"",G657,F657)</f>
        <v/>
      </c>
      <c r="I657" t="n">
        <v>0</v>
      </c>
      <c r="J657" t="n">
        <v>0</v>
      </c>
      <c r="K657" t="n">
        <v>0</v>
      </c>
      <c r="L657" s="5" t="inlineStr"/>
      <c r="M657" s="5" t="n"/>
    </row>
    <row r="658">
      <c r="A658" t="inlineStr">
        <is>
          <t>YX-SECOPS-04</t>
        </is>
      </c>
      <c r="B658" t="inlineStr">
        <is>
          <t>P12</t>
        </is>
      </c>
      <c r="C658" t="inlineStr">
        <is>
          <t>YX-SECOPS</t>
        </is>
      </c>
      <c r="D658" t="inlineStr">
        <is>
          <t>1</t>
        </is>
      </c>
      <c r="E658" s="5" t="inlineStr">
        <is>
          <t>Secure SDLC gates in CI: dependency scan, SAST, secret scan, container / IaC scan, SBOM per release; DAST on staging before each release. A release is blocked on open Critical / High findings unless formally risk-accepted.</t>
        </is>
      </c>
      <c r="F658" t="inlineStr">
        <is>
          <t>Verify (step done, not linked)</t>
        </is>
      </c>
      <c r="H658">
        <f>IF(G658&lt;&gt;"",G658,F658)</f>
        <v/>
      </c>
      <c r="I658" t="n">
        <v>0</v>
      </c>
      <c r="J658" t="n">
        <v>0</v>
      </c>
      <c r="K658" t="n">
        <v>0</v>
      </c>
      <c r="L658" s="5" t="inlineStr"/>
      <c r="M658" s="5" t="n"/>
    </row>
    <row r="659">
      <c r="A659" t="inlineStr">
        <is>
          <t>YX-SECOPS-05</t>
        </is>
      </c>
      <c r="B659" t="inlineStr">
        <is>
          <t>P12</t>
        </is>
      </c>
      <c r="C659" t="inlineStr">
        <is>
          <t>YX-SECOPS</t>
        </is>
      </c>
      <c r="D659" t="inlineStr">
        <is>
          <t>1</t>
        </is>
      </c>
      <c r="E659" s="5" t="inlineStr">
        <is>
          <t>Vulnerability SLAs (Q5): Critical 72 h, High 14 days, Medium 45 days, Low 90 days, from triage.</t>
        </is>
      </c>
      <c r="F659" t="inlineStr">
        <is>
          <t>Verify (step done, not linked)</t>
        </is>
      </c>
      <c r="H659">
        <f>IF(G659&lt;&gt;"",G659,F659)</f>
        <v/>
      </c>
      <c r="I659" t="n">
        <v>0</v>
      </c>
      <c r="J659" t="n">
        <v>0</v>
      </c>
      <c r="K659" t="n">
        <v>0</v>
      </c>
      <c r="L659" s="5" t="inlineStr"/>
      <c r="M659" s="5" t="n"/>
    </row>
    <row r="660">
      <c r="A660" t="inlineStr">
        <is>
          <t>YX-SECOPS-06</t>
        </is>
      </c>
      <c r="B660" t="inlineStr">
        <is>
          <t>P12</t>
        </is>
      </c>
      <c r="C660" t="inlineStr">
        <is>
          <t>YX-SECOPS</t>
        </is>
      </c>
      <c r="D660" t="inlineStr">
        <is>
          <t>1</t>
        </is>
      </c>
      <c r="E660" s="5" t="inlineStr">
        <is>
          <t>An independent penetration test happens before the payroll pilot, before public launch, then yearly and after major architecture changes (Q5). Findings are tracked in vulnerabilities.</t>
        </is>
      </c>
      <c r="F660" t="inlineStr">
        <is>
          <t>Verify (step done, not linked)</t>
        </is>
      </c>
      <c r="H660">
        <f>IF(G660&lt;&gt;"",G660,F660)</f>
        <v/>
      </c>
      <c r="I660" t="n">
        <v>0</v>
      </c>
      <c r="J660" t="n">
        <v>0</v>
      </c>
      <c r="K660" t="n">
        <v>0</v>
      </c>
      <c r="L660" s="5" t="inlineStr"/>
      <c r="M660" s="5" t="n"/>
    </row>
    <row r="661">
      <c r="A661" t="inlineStr">
        <is>
          <t>YX-SECOPS-07</t>
        </is>
      </c>
      <c r="B661" t="inlineStr">
        <is>
          <t>P12</t>
        </is>
      </c>
      <c r="C661" t="inlineStr">
        <is>
          <t>YX-SECOPS</t>
        </is>
      </c>
      <c r="D661" t="inlineStr">
        <is>
          <t>1</t>
        </is>
      </c>
      <c r="E661" s="5" t="inlineStr">
        <is>
          <t>Incident response follows a written plan with severities and roles. Regulatory and customer notifications follow Q6 timelines (incl. CERT-In 6-hour reporting, and DPDP breach intimation to the Data Protection Board and affected Data Principals without delay with a detailed Board report within 72 hours, P02 YX-SEC-32). Security, processing and traffic logs are kept at least 1 year (DPDP Rules 2025 security safeguards; longer where another law requires), which also satisfies CERT-In's 180 days (amended C3). Every incident gets a post-mortem.</t>
        </is>
      </c>
      <c r="F661" t="inlineStr">
        <is>
          <t>Verify (step done, not linked)</t>
        </is>
      </c>
      <c r="H661">
        <f>IF(G661&lt;&gt;"",G661,F661)</f>
        <v/>
      </c>
      <c r="I661" t="n">
        <v>0</v>
      </c>
      <c r="J661" t="n">
        <v>0</v>
      </c>
      <c r="K661" t="n">
        <v>0</v>
      </c>
      <c r="L661" s="5" t="inlineStr"/>
      <c r="M661" s="5" t="n"/>
    </row>
    <row r="662">
      <c r="A662" t="inlineStr">
        <is>
          <t>YX-SECOPS-08</t>
        </is>
      </c>
      <c r="B662" t="inlineStr">
        <is>
          <t>P12</t>
        </is>
      </c>
      <c r="C662" t="inlineStr">
        <is>
          <t>YX-SECOPS</t>
        </is>
      </c>
      <c r="D662" t="inlineStr">
        <is>
          <t>1</t>
        </is>
      </c>
      <c r="E662" s="5" t="inlineStr">
        <is>
          <t>YukthiX staff access follows Q7: individual accounts only, hardware-key MFA, least privilege, just-in-time elevation with approval, and tenant data only via P02 support sessions / proctor grants. All staff actions are audited.</t>
        </is>
      </c>
      <c r="F662" t="inlineStr">
        <is>
          <t>Verify (step done, not linked)</t>
        </is>
      </c>
      <c r="H662">
        <f>IF(G662&lt;&gt;"",G662,F662)</f>
        <v/>
      </c>
      <c r="I662" t="n">
        <v>0</v>
      </c>
      <c r="J662" t="n">
        <v>0</v>
      </c>
      <c r="K662" t="n">
        <v>0</v>
      </c>
      <c r="L662" s="5" t="inlineStr"/>
      <c r="M662" s="5" t="n"/>
    </row>
    <row r="663">
      <c r="A663" t="inlineStr">
        <is>
          <t>YX-SECOPS-09</t>
        </is>
      </c>
      <c r="B663" t="inlineStr">
        <is>
          <t>P12</t>
        </is>
      </c>
      <c r="C663" t="inlineStr">
        <is>
          <t>YX-SECOPS</t>
        </is>
      </c>
      <c r="D663" t="inlineStr">
        <is>
          <t>1</t>
        </is>
      </c>
      <c r="E663" s="5" t="inlineStr">
        <is>
          <t>Sub-processors are security-assessed before onboarding and yearly (the partners from D15 / P10). The list is published (APX-G), and changes are notified to tenants 30 days ahead.</t>
        </is>
      </c>
      <c r="F663" t="inlineStr">
        <is>
          <t>Verify (step done, not linked)</t>
        </is>
      </c>
      <c r="H663">
        <f>IF(G663&lt;&gt;"",G663,F663)</f>
        <v/>
      </c>
      <c r="I663" t="n">
        <v>0</v>
      </c>
      <c r="J663" t="n">
        <v>0</v>
      </c>
      <c r="K663" t="n">
        <v>0</v>
      </c>
      <c r="L663" s="5" t="inlineStr"/>
      <c r="M663" s="5" t="n"/>
    </row>
    <row r="664">
      <c r="A664" t="inlineStr">
        <is>
          <t>YX-SECOPS-10</t>
        </is>
      </c>
      <c r="B664" t="inlineStr">
        <is>
          <t>P12</t>
        </is>
      </c>
      <c r="C664" t="inlineStr">
        <is>
          <t>YX-SECOPS</t>
        </is>
      </c>
      <c r="D664" t="inlineStr">
        <is>
          <t>1</t>
        </is>
      </c>
      <c r="E664" s="5" t="inlineStr">
        <is>
          <t>Security certifications follow the Q4 roadmap. Controls are mapped once and evidence is collected continuously (tooling), not per audit.</t>
        </is>
      </c>
      <c r="F664" t="inlineStr">
        <is>
          <t>Verify (step done, not linked)</t>
        </is>
      </c>
      <c r="H664">
        <f>IF(G664&lt;&gt;"",G664,F664)</f>
        <v/>
      </c>
      <c r="I664" t="n">
        <v>0</v>
      </c>
      <c r="J664" t="n">
        <v>0</v>
      </c>
      <c r="K664" t="n">
        <v>0</v>
      </c>
      <c r="L664" s="5" t="inlineStr"/>
      <c r="M664" s="5" t="n"/>
    </row>
    <row r="665">
      <c r="A665" t="inlineStr">
        <is>
          <t>YX-SECOPS-11</t>
        </is>
      </c>
      <c r="B665" t="inlineStr">
        <is>
          <t>P12</t>
        </is>
      </c>
      <c r="C665" t="inlineStr">
        <is>
          <t>YX-SECOPS</t>
        </is>
      </c>
      <c r="D665" t="inlineStr">
        <is>
          <t>1</t>
        </is>
      </c>
      <c r="E665" s="5" t="inlineStr">
        <is>
          <t>Bring your own key (BYOK) is available from day one: a tenant may connect a customer-managed key in Azure Key Vault, AWS KMS or Google Cloud KMS, granting YukthiX wrap / unwrap only. The tenant's data keys are wrapped by that key, key health is checked continuously, and admins are alerted on access failures. If the tenant disables or revokes the key, its encrypted data becomes unreadable; the product shows this consequence and requires typed confirmation before connecting or rotating, and logs every key operation (P08). BYOK is included in the plan (D15).</t>
        </is>
      </c>
      <c r="F665" t="inlineStr">
        <is>
          <t>Verify (step done, not linked)</t>
        </is>
      </c>
      <c r="H665">
        <f>IF(G665&lt;&gt;"",G665,F665)</f>
        <v/>
      </c>
      <c r="I665" t="n">
        <v>0</v>
      </c>
      <c r="J665" t="n">
        <v>0</v>
      </c>
      <c r="K665" t="n">
        <v>0</v>
      </c>
      <c r="L665" s="5" t="inlineStr"/>
      <c r="M665" s="5" t="n"/>
    </row>
    <row r="666">
      <c r="A666" t="inlineStr">
        <is>
          <t>YX-SECOPS-12</t>
        </is>
      </c>
      <c r="B666" t="inlineStr">
        <is>
          <t>P12</t>
        </is>
      </c>
      <c r="C666" t="inlineStr">
        <is>
          <t>YX-SECOPS</t>
        </is>
      </c>
      <c r="D666" t="inlineStr">
        <is>
          <t>1</t>
        </is>
      </c>
      <c r="E666" s="5" t="inlineStr">
        <is>
          <t>Tenant breach containment. A single "contain" action (YukthiX security on-call, or a tenant owner for their own tenant, with a reason and step-up auth) at once: revokes all sessions, API keys, OAuth and partner grants; forces re-auth with MFA for every user; freezes bank-detail changes, bulk exports and payout release; shows an incident banner to the tenant's users. Lifting containment is a separate audited action needing two people; frozen items resume only after the lift. The action opens the DPDP / CERT-In breach clock record (YX-SECOPS-07).</t>
        </is>
      </c>
      <c r="F666" t="inlineStr">
        <is>
          <t>Verify (step done, not linked)</t>
        </is>
      </c>
      <c r="H666">
        <f>IF(G666&lt;&gt;"",G666,F666)</f>
        <v/>
      </c>
      <c r="I666" t="n">
        <v>0</v>
      </c>
      <c r="J666" t="n">
        <v>0</v>
      </c>
      <c r="K666" t="n">
        <v>0</v>
      </c>
      <c r="L666" s="5" t="inlineStr"/>
      <c r="M666" s="5" t="n"/>
    </row>
    <row r="667">
      <c r="A667" t="inlineStr">
        <is>
          <t>YX-BILL-01</t>
        </is>
      </c>
      <c r="B667" t="inlineStr">
        <is>
          <t>P14</t>
        </is>
      </c>
      <c r="C667" t="inlineStr">
        <is>
          <t>YX-BILL</t>
        </is>
      </c>
      <c r="D667" t="inlineStr">
        <is>
          <t>3</t>
        </is>
      </c>
      <c r="E667" s="5" t="inlineStr">
        <is>
          <t>Each product has exactly one plan. Tenants buy products and add-ons, never tiers (D15). The bundle discount applies automatically for 2+ products.</t>
        </is>
      </c>
      <c r="F667" t="inlineStr">
        <is>
          <t>Not started</t>
        </is>
      </c>
      <c r="H667">
        <f>IF(G667&lt;&gt;"",G667,F667)</f>
        <v/>
      </c>
      <c r="I667" t="n">
        <v>0</v>
      </c>
      <c r="J667" t="n">
        <v>0</v>
      </c>
      <c r="K667" t="n">
        <v>0</v>
      </c>
      <c r="L667" s="5" t="inlineStr"/>
      <c r="M667" s="5" t="n"/>
    </row>
    <row r="668">
      <c r="A668" t="inlineStr">
        <is>
          <t>YX-BILL-02</t>
        </is>
      </c>
      <c r="B668" t="inlineStr">
        <is>
          <t>P14</t>
        </is>
      </c>
      <c r="C668" t="inlineStr">
        <is>
          <t>YX-BILL</t>
        </is>
      </c>
      <c r="D668" t="inlineStr">
        <is>
          <t>3</t>
        </is>
      </c>
      <c r="E668" s="5" t="inlineStr">
        <is>
          <t>Billable units are counted from the meter ledger using the Q1 / Q2 definitions. Every invoice line links to the monthly snapshot and the list of counted ids, which the tenant can download. Amended 28 Sep 2026 (validation pass 3, J15b): a billable unit is counted once per person per product per tenant per month across all the tenant's legal entities, using the P01 person record; a person transferred between entities in the month, or employed by two entities at once, is one unit. For accounting, the HRMS line shows the cost split by legal entity, pro-rata by days active in each entity that month</t>
        </is>
      </c>
      <c r="F668" t="inlineStr">
        <is>
          <t>Not started</t>
        </is>
      </c>
      <c r="H668">
        <f>IF(G668&lt;&gt;"",G668,F668)</f>
        <v/>
      </c>
      <c r="I668" t="n">
        <v>0</v>
      </c>
      <c r="J668" t="n">
        <v>0</v>
      </c>
      <c r="K668" t="n">
        <v>0</v>
      </c>
      <c r="L668" s="5" t="inlineStr"/>
      <c r="M668" s="5" t="n"/>
    </row>
    <row r="669">
      <c r="A669" t="inlineStr">
        <is>
          <t>YX-BILL-03</t>
        </is>
      </c>
      <c r="B669" t="inlineStr">
        <is>
          <t>P14</t>
        </is>
      </c>
      <c r="C669" t="inlineStr">
        <is>
          <t>YX-BILL</t>
        </is>
      </c>
      <c r="D669" t="inlineStr">
        <is>
          <t>3</t>
        </is>
      </c>
      <c r="E669" s="5" t="inlineStr">
        <is>
          <t>Not billed: pre-boarders, alumni and nominees, external logins (YX-SEC-21), ATS hiring managers and panel, practice attempts, and attempts reset for a technical failure (T03). Amended 28 Sep 2026 (J15b): also never billed again: a second or later employment, consultant engagement or entity assignment of the same person in the same product and month (YX-BILL-02).</t>
        </is>
      </c>
      <c r="F669" t="inlineStr">
        <is>
          <t>Not started</t>
        </is>
      </c>
      <c r="H669">
        <f>IF(G669&lt;&gt;"",G669,F669)</f>
        <v/>
      </c>
      <c r="I669" t="n">
        <v>0</v>
      </c>
      <c r="J669" t="n">
        <v>0</v>
      </c>
      <c r="K669" t="n">
        <v>0</v>
      </c>
      <c r="L669" s="5" t="inlineStr"/>
      <c r="M669" s="5" t="n"/>
    </row>
    <row r="670">
      <c r="A670" t="inlineStr">
        <is>
          <t>YX-BILL-04</t>
        </is>
      </c>
      <c r="B670" t="inlineStr">
        <is>
          <t>P14</t>
        </is>
      </c>
      <c r="C670" t="inlineStr">
        <is>
          <t>YX-BILL</t>
        </is>
      </c>
      <c r="D670" t="inlineStr">
        <is>
          <t>3</t>
        </is>
      </c>
      <c r="E670" s="5" t="inlineStr">
        <is>
          <t>Invoices are GST tax invoices with correct place of supply and tax split, SAC code, both GSTINs, and e-invoice IRN / QR when YukthiX's turnover requires it. Corrections are made only by credit note.</t>
        </is>
      </c>
      <c r="F670" t="inlineStr">
        <is>
          <t>Not started</t>
        </is>
      </c>
      <c r="H670">
        <f>IF(G670&lt;&gt;"",G670,F670)</f>
        <v/>
      </c>
      <c r="I670" t="n">
        <v>0</v>
      </c>
      <c r="J670" t="n">
        <v>0</v>
      </c>
      <c r="K670" t="n">
        <v>0</v>
      </c>
      <c r="L670" s="5" t="inlineStr"/>
      <c r="M670" s="5" t="n"/>
    </row>
    <row r="671">
      <c r="A671" t="inlineStr">
        <is>
          <t>YX-BILL-05</t>
        </is>
      </c>
      <c r="B671" t="inlineStr">
        <is>
          <t>P14</t>
        </is>
      </c>
      <c r="C671" t="inlineStr">
        <is>
          <t>YX-BILL</t>
        </is>
      </c>
      <c r="D671" t="inlineStr">
        <is>
          <t>3</t>
        </is>
      </c>
      <c r="E671" s="5" t="inlineStr">
        <is>
          <t>Payment methods follow Q3. Card / bank credentials are never stored by YukthiX (gateway tokens only).</t>
        </is>
      </c>
      <c r="F671" t="inlineStr">
        <is>
          <t>Not started</t>
        </is>
      </c>
      <c r="H671">
        <f>IF(G671&lt;&gt;"",G671,F671)</f>
        <v/>
      </c>
      <c r="I671" t="n">
        <v>0</v>
      </c>
      <c r="J671" t="n">
        <v>0</v>
      </c>
      <c r="K671" t="n">
        <v>0</v>
      </c>
      <c r="L671" s="5" t="inlineStr"/>
      <c r="M671" s="5" t="n"/>
    </row>
    <row r="672">
      <c r="A672" t="inlineStr">
        <is>
          <t>YX-BILL-06</t>
        </is>
      </c>
      <c r="B672" t="inlineStr">
        <is>
          <t>P14</t>
        </is>
      </c>
      <c r="C672" t="inlineStr">
        <is>
          <t>YX-BILL</t>
        </is>
      </c>
      <c r="D672" t="inlineStr">
        <is>
          <t>3</t>
        </is>
      </c>
      <c r="E672" s="5" t="inlineStr">
        <is>
          <t>Plan changes: adding a product or add-on is prorated immediately; removing one takes effect at period end. Annual plans true up billable units monthly or quarterly in arrears (Q3).</t>
        </is>
      </c>
      <c r="F672" t="inlineStr">
        <is>
          <t>Not started</t>
        </is>
      </c>
      <c r="H672">
        <f>IF(G672&lt;&gt;"",G672,F672)</f>
        <v/>
      </c>
      <c r="I672" t="n">
        <v>0</v>
      </c>
      <c r="J672" t="n">
        <v>0</v>
      </c>
      <c r="K672" t="n">
        <v>0</v>
      </c>
      <c r="L672" s="5" t="inlineStr"/>
      <c r="M672" s="5" t="n"/>
    </row>
    <row r="673">
      <c r="A673" t="inlineStr">
        <is>
          <t>YX-BILL-07</t>
        </is>
      </c>
      <c r="B673" t="inlineStr">
        <is>
          <t>P14</t>
        </is>
      </c>
      <c r="C673" t="inlineStr">
        <is>
          <t>YX-BILL</t>
        </is>
      </c>
      <c r="D673" t="inlineStr">
        <is>
          <t>3</t>
        </is>
      </c>
      <c r="E673" s="5" t="inlineStr">
        <is>
          <t>Fair-use limits are shown on the usage page. Alerts go out at 80 % and 100 %. Overage follows the add-on's billing mode and cap (P04 Q3). A hard cap never blocks statutory or mandatory messages (YX-NTF-14).</t>
        </is>
      </c>
      <c r="F673" t="inlineStr">
        <is>
          <t>Not started</t>
        </is>
      </c>
      <c r="H673">
        <f>IF(G673&lt;&gt;"",G673,F673)</f>
        <v/>
      </c>
      <c r="I673" t="n">
        <v>0</v>
      </c>
      <c r="J673" t="n">
        <v>0</v>
      </c>
      <c r="K673" t="n">
        <v>0</v>
      </c>
      <c r="L673" s="5" t="inlineStr"/>
      <c r="M673" s="5" t="n"/>
    </row>
    <row r="674">
      <c r="A674" t="inlineStr">
        <is>
          <t>YX-BILL-08</t>
        </is>
      </c>
      <c r="B674" t="inlineStr">
        <is>
          <t>P14</t>
        </is>
      </c>
      <c r="C674" t="inlineStr">
        <is>
          <t>YX-BILL</t>
        </is>
      </c>
      <c r="D674" t="inlineStr">
        <is>
          <t>3</t>
        </is>
      </c>
      <c r="E674" s="5" t="inlineStr">
        <is>
          <t>Partner add-on usage is metered per call with the partner reference, so pass-through charges are auditable.</t>
        </is>
      </c>
      <c r="F674" t="inlineStr">
        <is>
          <t>Not started</t>
        </is>
      </c>
      <c r="H674">
        <f>IF(G674&lt;&gt;"",G674,F674)</f>
        <v/>
      </c>
      <c r="I674" t="n">
        <v>0</v>
      </c>
      <c r="J674" t="n">
        <v>0</v>
      </c>
      <c r="K674" t="n">
        <v>0</v>
      </c>
      <c r="L674" s="5" t="inlineStr"/>
      <c r="M674" s="5" t="n"/>
    </row>
    <row r="675">
      <c r="A675" t="inlineStr">
        <is>
          <t>YX-BILL-09</t>
        </is>
      </c>
      <c r="B675" t="inlineStr">
        <is>
          <t>P14</t>
        </is>
      </c>
      <c r="C675" t="inlineStr">
        <is>
          <t>YX-BILL</t>
        </is>
      </c>
      <c r="D675" t="inlineStr">
        <is>
          <t>3</t>
        </is>
      </c>
      <c r="E675" s="5" t="inlineStr">
        <is>
          <t xml:space="preserve">Unit economics guard (D18): each product's fully loaded running cost per billable unit (infrastructure, gateway fees, messaging included in the base, support, security programme share) is tracked monthly in the platform console against the $1 price; any feature whose per-unit cost would push this above the agreed margin must be metered as an add-on before release. A small minimum monthly amount applies per product. Margin test (27 Sep 2026): fully loaded cost per unit must be ≤ 40 % of the unit price from month 18 after launch; earlier months are expected to run at a loss because the security </t>
        </is>
      </c>
      <c r="F675" t="inlineStr">
        <is>
          <t>Not started</t>
        </is>
      </c>
      <c r="H675">
        <f>IF(G675&lt;&gt;"",G675,F675)</f>
        <v/>
      </c>
      <c r="I675" t="n">
        <v>0</v>
      </c>
      <c r="J675" t="n">
        <v>0</v>
      </c>
      <c r="K675" t="n">
        <v>0</v>
      </c>
      <c r="L675" s="5" t="inlineStr"/>
      <c r="M675" s="5" t="n"/>
    </row>
    <row r="676">
      <c r="A676" t="inlineStr">
        <is>
          <t>YX-BILL-10</t>
        </is>
      </c>
      <c r="B676" t="inlineStr">
        <is>
          <t>P14</t>
        </is>
      </c>
      <c r="C676" t="inlineStr">
        <is>
          <t>YX-BILL</t>
        </is>
      </c>
      <c r="D676" t="inlineStr">
        <is>
          <t>3</t>
        </is>
      </c>
      <c r="E676" s="5" t="inlineStr">
        <is>
          <t>Consultants (A8): each consultant paid in the billing month (at least one approved invoice paid through M03 in that month, YX-PAY-38) counts as one HRMS billable unit, however many invoices are paid (amended 28 Sep 2026, J15b: once per person across all legal entities, and not again if the same person is also a billable employee that month, YX-BILL-02); they are listed in the monthly snapshot with the reason "consultant paid". The Consultant login itself is never billed (YX-BILL-03); a registered consultant with no payment that month is not counted.</t>
        </is>
      </c>
      <c r="F676" t="inlineStr">
        <is>
          <t>Not started</t>
        </is>
      </c>
      <c r="H676">
        <f>IF(G676&lt;&gt;"",G676,F676)</f>
        <v/>
      </c>
      <c r="I676" t="n">
        <v>0</v>
      </c>
      <c r="J676" t="n">
        <v>0</v>
      </c>
      <c r="K676" t="n">
        <v>0</v>
      </c>
      <c r="L676" s="5" t="inlineStr"/>
      <c r="M676" s="5" t="n"/>
    </row>
    <row r="677">
      <c r="A677" t="inlineStr">
        <is>
          <t>YX-BILL-11</t>
        </is>
      </c>
      <c r="B677" t="inlineStr">
        <is>
          <t>P14</t>
        </is>
      </c>
      <c r="C677" t="inlineStr">
        <is>
          <t>YX-BILL</t>
        </is>
      </c>
      <c r="D677" t="inlineStr">
        <is>
          <t>3</t>
        </is>
      </c>
      <c r="E677" s="5" t="inlineStr">
        <is>
          <t>Partner add-ons with outside costs (26 Sep 2026): the connector or integration for every partner service (EWA, benchmarking data, learning content, Aadhaar eKYC / DigiLocker, job boards) is included in the price (D18); only the partner's own charge is an add-on, metered per use (YX-BILL-08) or billed by the partner directly. Job-board posting fees are never billed by YukthiX: they stay on the customer's own board account. EWA funds are provided by the regulated partner; YukthiX never lends, holds or guarantees them.</t>
        </is>
      </c>
      <c r="F677" t="inlineStr">
        <is>
          <t>Not started</t>
        </is>
      </c>
      <c r="H677">
        <f>IF(G677&lt;&gt;"",G677,F677)</f>
        <v/>
      </c>
      <c r="I677" t="n">
        <v>0</v>
      </c>
      <c r="J677" t="n">
        <v>0</v>
      </c>
      <c r="K677" t="n">
        <v>0</v>
      </c>
      <c r="L677" s="5" t="inlineStr"/>
      <c r="M677" s="5" t="n"/>
    </row>
    <row r="678">
      <c r="A678" t="inlineStr">
        <is>
          <t>YX-BILL-12</t>
        </is>
      </c>
      <c r="B678" t="inlineStr">
        <is>
          <t>P14</t>
        </is>
      </c>
      <c r="C678" t="inlineStr">
        <is>
          <t>YX-BILL</t>
        </is>
      </c>
      <c r="D678" t="inlineStr">
        <is>
          <t>3</t>
        </is>
      </c>
      <c r="E678" s="5" t="inlineStr">
        <is>
          <t>Billing starts at go-live, never at signature (G1): the meter for a product starts on the day the tenant marks that product live (for HRMS: the go-live date or the first live payroll run, whichever comes first); the Q4 trial covers set-up and data migration; self-service onboarding carries no implementation fee (only assisted migration is paid, P15 Q3 / D18).</t>
        </is>
      </c>
      <c r="F678" t="inlineStr">
        <is>
          <t>Not started</t>
        </is>
      </c>
      <c r="H678">
        <f>IF(G678&lt;&gt;"",G678,F678)</f>
        <v/>
      </c>
      <c r="I678" t="n">
        <v>0</v>
      </c>
      <c r="J678" t="n">
        <v>0</v>
      </c>
      <c r="K678" t="n">
        <v>0</v>
      </c>
      <c r="L678" s="5" t="inlineStr"/>
      <c r="M678" s="5" t="n"/>
    </row>
    <row r="679">
      <c r="A679" t="inlineStr">
        <is>
          <t>YX-BILL-13</t>
        </is>
      </c>
      <c r="B679" t="inlineStr">
        <is>
          <t>P14</t>
        </is>
      </c>
      <c r="C679" t="inlineStr">
        <is>
          <t>YX-BILL</t>
        </is>
      </c>
      <c r="D679" t="inlineStr">
        <is>
          <t>3</t>
        </is>
      </c>
      <c r="E679" s="5" t="inlineStr">
        <is>
          <t>Price and change commitments (G2): at least 90 days' notice to every tenant's admins and billing contact before any list-price change; an annual term's price never changes mid-term; a feature is removed only with at least 6 months' notice and an export path for its data (YX-TEN-05); annual renewals are announced 30 and 7 days before the renewal date with the renewal price; monthly plans can be cancelled at any time from Settings › Billing &amp; Account, effective at period end (YX-BILL-06).</t>
        </is>
      </c>
      <c r="F679" t="inlineStr">
        <is>
          <t>Not started</t>
        </is>
      </c>
      <c r="H679">
        <f>IF(G679&lt;&gt;"",G679,F679)</f>
        <v/>
      </c>
      <c r="I679" t="n">
        <v>0</v>
      </c>
      <c r="J679" t="n">
        <v>0</v>
      </c>
      <c r="K679" t="n">
        <v>0</v>
      </c>
      <c r="L679" s="5" t="inlineStr"/>
      <c r="M679" s="5" t="n"/>
    </row>
    <row r="680">
      <c r="A680" t="inlineStr">
        <is>
          <t>YX-BILL-14</t>
        </is>
      </c>
      <c r="B680" t="inlineStr">
        <is>
          <t>P14</t>
        </is>
      </c>
      <c r="C680" t="inlineStr">
        <is>
          <t>YX-BILL</t>
        </is>
      </c>
      <c r="D680" t="inlineStr">
        <is>
          <t>3</t>
        </is>
      </c>
      <c r="E680" s="5" t="inlineStr">
        <is>
          <t xml:space="preserve">Published price list (G3): the price of every product and add-on, the bundle / annual / band discounts and the per-product minimum monthly amount (YX-BILL-09) are published on the website and shown in the app before purchase and on every invoice; the minimum is kept low enough that a 5-person company pays a few dollars a month, never a seat floor. No unpublished price applies to a self-service customer. Team action: set the exact minimum (D18 example: 10 units). Exact minimums (decided 27 Sep 2026): HRMS ₹499 (US $5), ATS ₹999 ($10), Proctoring ₹999 ($10) charged only in a month with at least </t>
        </is>
      </c>
      <c r="F680" t="inlineStr">
        <is>
          <t>Not started</t>
        </is>
      </c>
      <c r="H680">
        <f>IF(G680&lt;&gt;"",G680,F680)</f>
        <v/>
      </c>
      <c r="I680" t="n">
        <v>0</v>
      </c>
      <c r="J680" t="n">
        <v>0</v>
      </c>
      <c r="K680" t="n">
        <v>0</v>
      </c>
      <c r="L680" s="5" t="inlineStr"/>
      <c r="M680" s="5" t="n"/>
    </row>
    <row r="681">
      <c r="A681" t="inlineStr">
        <is>
          <t>YX-BILL-15</t>
        </is>
      </c>
      <c r="B681" t="inlineStr">
        <is>
          <t>P14</t>
        </is>
      </c>
      <c r="C681" t="inlineStr">
        <is>
          <t>YX-BILL</t>
        </is>
      </c>
      <c r="D681" t="inlineStr">
        <is>
          <t>3</t>
        </is>
      </c>
      <c r="E681" s="5" t="inlineStr">
        <is>
          <t xml:space="preserve">Payment rails and bank-rail discount (27 Sep 2026): the default payment method is bank auto-debit (e-NACH) for monthly plans and NEFT / RTGS for annual invoices; UPI Autopay is offered below ₹15,000 a month and cards stay available at list price. Tenants paying by e-NACH, UPI Autopay or NEFT receive a 2 % bank-rail discount shown as a discount line, never a card surcharge. Every tenant gets a virtual account number so bank transfers reconcile automatically; unmatched receipts are surfaced in the Jobs &amp; errors page (YX-INT-10). Non-INR customers pay by annual prepay, ACH or SEPA; international </t>
        </is>
      </c>
      <c r="F681" t="inlineStr">
        <is>
          <t>Not started</t>
        </is>
      </c>
      <c r="H681">
        <f>IF(G681&lt;&gt;"",G681,F681)</f>
        <v/>
      </c>
      <c r="I681" t="n">
        <v>0</v>
      </c>
      <c r="J681" t="n">
        <v>0</v>
      </c>
      <c r="K681" t="n">
        <v>0</v>
      </c>
      <c r="L681" s="5" t="inlineStr"/>
      <c r="M681" s="5" t="n"/>
    </row>
    <row r="682">
      <c r="A682" t="inlineStr">
        <is>
          <t>YX-BILL-16</t>
        </is>
      </c>
      <c r="B682" t="inlineStr">
        <is>
          <t>P14</t>
        </is>
      </c>
      <c r="C682" t="inlineStr">
        <is>
          <t>YX-BILL</t>
        </is>
      </c>
      <c r="D682" t="inlineStr">
        <is>
          <t>3</t>
        </is>
      </c>
      <c r="E682" s="5" t="inlineStr">
        <is>
          <t>Export invoices under LUT (S12, 28 Sep 2026): an invoice to a customer outside India that qualifies as an export of services is zero-rated under YukthiX's GST Letter of Undertaking (LUT): no IGST is charged; the invoice carries the LUT reference (ARN and financial year), the words "Supply meant for export under LUT without payment of IGST", the customer's country and currency, and the INR value at the applicable exchange rate. The LUT is filed every financial year, before the first export invoice of that year; the billing engine refuses to issue an export invoice without a valid lut_registrati</t>
        </is>
      </c>
      <c r="F682" t="inlineStr">
        <is>
          <t>Not started</t>
        </is>
      </c>
      <c r="H682">
        <f>IF(G682&lt;&gt;"",G682,F682)</f>
        <v/>
      </c>
      <c r="I682" t="n">
        <v>0</v>
      </c>
      <c r="J682" t="n">
        <v>0</v>
      </c>
      <c r="K682" t="n">
        <v>0</v>
      </c>
      <c r="L682" s="5" t="inlineStr"/>
      <c r="M682" s="5" t="n"/>
    </row>
    <row r="683">
      <c r="A683" t="inlineStr">
        <is>
          <t>YX-BILL-17</t>
        </is>
      </c>
      <c r="B683" t="inlineStr">
        <is>
          <t>P14</t>
        </is>
      </c>
      <c r="C683" t="inlineStr">
        <is>
          <t>YX-BILL</t>
        </is>
      </c>
      <c r="D683" t="inlineStr">
        <is>
          <t>3</t>
        </is>
      </c>
      <c r="E683" s="5" t="inlineStr">
        <is>
          <t>Foreign receipts reconciliation (S12): every foreign-currency receipt is matched to its export invoice(s) and to a FIRC or e-BRC; unmatched or short-realised receipts (bank charges, exchange difference) stay in the console billing queue until resolved, and the realised INR value is recorded for the GST return and the accounts.</t>
        </is>
      </c>
      <c r="F683" t="inlineStr">
        <is>
          <t>UI prototype only</t>
        </is>
      </c>
      <c r="H683">
        <f>IF(G683&lt;&gt;"",G683,F683)</f>
        <v/>
      </c>
      <c r="I683" t="n">
        <v>0</v>
      </c>
      <c r="J683" t="n">
        <v>0</v>
      </c>
      <c r="K683" t="n">
        <v>2</v>
      </c>
      <c r="L683" s="5" t="inlineStr"/>
      <c r="M683" s="5" t="n"/>
    </row>
    <row r="684">
      <c r="A684" t="inlineStr">
        <is>
          <t>YX-BILL-18</t>
        </is>
      </c>
      <c r="B684" t="inlineStr">
        <is>
          <t>P14</t>
        </is>
      </c>
      <c r="C684" t="inlineStr">
        <is>
          <t>YX-BILL</t>
        </is>
      </c>
      <c r="D684" t="inlineStr">
        <is>
          <t>3</t>
        </is>
      </c>
      <c r="E684" s="5" t="inlineStr">
        <is>
          <t>Go-live payment readiness. The first payroll can run while the auto-debit mandate is pending (one grace run; that invoice is paid by bank transfer). Salary payout is released only when payout partner KYB is approved, the funding / virtual account is set up and a balance check shows enough funds. If the balance is short, the admin chooses a partial payout (selected people) or waits; unpaid lines stay open and are never marked paid. Readiness is a go-live checklist item.</t>
        </is>
      </c>
      <c r="F684" t="inlineStr">
        <is>
          <t>UI prototype only</t>
        </is>
      </c>
      <c r="H684">
        <f>IF(G684&lt;&gt;"",G684,F684)</f>
        <v/>
      </c>
      <c r="I684" t="n">
        <v>0</v>
      </c>
      <c r="J684" t="n">
        <v>0</v>
      </c>
      <c r="K684" t="n">
        <v>2</v>
      </c>
      <c r="L684" s="5" t="inlineStr"/>
      <c r="M684" s="5" t="n"/>
    </row>
    <row r="685">
      <c r="A685" t="inlineStr">
        <is>
          <t>YX-BILL-19</t>
        </is>
      </c>
      <c r="B685" t="inlineStr">
        <is>
          <t>P14</t>
        </is>
      </c>
      <c r="C685" t="inlineStr">
        <is>
          <t>YX-BILL</t>
        </is>
      </c>
      <c r="D685" t="inlineStr">
        <is>
          <t>3</t>
        </is>
      </c>
      <c r="E685" s="5" t="inlineStr">
        <is>
          <t>GST invoice per legal entity. For a company group, YukthiX raises one GST invoice per legal entity / GSTIN (billing address, GSTIN, place of supply), using the per-entity cost split from YX-BILL-10; a group can also receive one consolidated statement, in addition to the invoices, never instead.</t>
        </is>
      </c>
      <c r="F685" t="inlineStr">
        <is>
          <t>Not started</t>
        </is>
      </c>
      <c r="H685">
        <f>IF(G685&lt;&gt;"",G685,F685)</f>
        <v/>
      </c>
      <c r="I685" t="n">
        <v>0</v>
      </c>
      <c r="J685" t="n">
        <v>0</v>
      </c>
      <c r="K685" t="n">
        <v>0</v>
      </c>
      <c r="L685" s="5" t="inlineStr"/>
      <c r="M685" s="5" t="n"/>
    </row>
    <row r="686">
      <c r="A686" t="inlineStr">
        <is>
          <t>YX-BILL-20</t>
        </is>
      </c>
      <c r="B686" t="inlineStr">
        <is>
          <t>P14</t>
        </is>
      </c>
      <c r="C686" t="inlineStr">
        <is>
          <t>YX-BILL</t>
        </is>
      </c>
      <c r="D686" t="inlineStr">
        <is>
          <t>3</t>
        </is>
      </c>
      <c r="E686" s="5" t="inlineStr">
        <is>
          <t>E-invoice 30-day guard. While YukthiX's AATO is at or above the e-invoice 30-day reporting threshold (understood as ₹10 crore: verify), each YukthiX invoice must be reported to the IRP within 30 days of its date; finance is alerted from day 20 and an invoice without an IRN cannot be marked final after day 25. Threshold held as dated data.</t>
        </is>
      </c>
      <c r="F686" t="inlineStr">
        <is>
          <t>Not started</t>
        </is>
      </c>
      <c r="H686">
        <f>IF(G686&lt;&gt;"",G686,F686)</f>
        <v/>
      </c>
      <c r="I686" t="n">
        <v>0</v>
      </c>
      <c r="J686" t="n">
        <v>0</v>
      </c>
      <c r="K686" t="n">
        <v>0</v>
      </c>
      <c r="L686" s="5" t="inlineStr"/>
      <c r="M686" s="5" t="n"/>
    </row>
    <row r="687">
      <c r="A687" t="inlineStr">
        <is>
          <t>YX-BILL-21</t>
        </is>
      </c>
      <c r="B687" t="inlineStr">
        <is>
          <t>P14</t>
        </is>
      </c>
      <c r="C687" t="inlineStr">
        <is>
          <t>YX-BILL</t>
        </is>
      </c>
      <c r="D687" t="inlineStr">
        <is>
          <t>3</t>
        </is>
      </c>
      <c r="E687" s="5" t="inlineStr">
        <is>
          <t>Referral credit. When a referred company's first paid month is settled, both companies receive a credit equal to one month of their own bill (new company: its first paid month; referrer: its latest monthly bill), applied to the next invoices; not cash, not transferable, expires 12 months after issue. The credit shows as a separate invoice line; GST treatment follows the credit note rules. Reversed if the referred company's first payment is refunded.</t>
        </is>
      </c>
      <c r="F687" t="inlineStr">
        <is>
          <t>UI prototype only</t>
        </is>
      </c>
      <c r="H687">
        <f>IF(G687&lt;&gt;"",G687,F687)</f>
        <v/>
      </c>
      <c r="I687" t="n">
        <v>0</v>
      </c>
      <c r="J687" t="n">
        <v>0</v>
      </c>
      <c r="K687" t="n">
        <v>2</v>
      </c>
      <c r="L687" s="5" t="inlineStr"/>
      <c r="M687" s="5" t="n"/>
    </row>
    <row r="688">
      <c r="A688" t="inlineStr">
        <is>
          <t>YX-CONSOLE-01</t>
        </is>
      </c>
      <c r="B688" t="inlineStr">
        <is>
          <t>P14</t>
        </is>
      </c>
      <c r="C688" t="inlineStr">
        <is>
          <t>YX-CONSOLE</t>
        </is>
      </c>
      <c r="D688" t="inlineStr">
        <is>
          <t>3</t>
        </is>
      </c>
      <c r="E688" s="5" t="inlineStr">
        <is>
          <t>Staff act only through console roles with least privilege and JIT elevation (P12 Q7). Tenant data is reached only via P02 support sessions. Billing staff see billing data, not HR data.</t>
        </is>
      </c>
      <c r="F688" t="inlineStr">
        <is>
          <t>Not started</t>
        </is>
      </c>
      <c r="H688">
        <f>IF(G688&lt;&gt;"",G688,F688)</f>
        <v/>
      </c>
      <c r="I688" t="n">
        <v>0</v>
      </c>
      <c r="J688" t="n">
        <v>0</v>
      </c>
      <c r="K688" t="n">
        <v>0</v>
      </c>
      <c r="L688" s="5" t="inlineStr"/>
      <c r="M688" s="5" t="n"/>
    </row>
    <row r="689">
      <c r="A689" t="inlineStr">
        <is>
          <t>YX-CONSOLE-02</t>
        </is>
      </c>
      <c r="B689" t="inlineStr">
        <is>
          <t>P14</t>
        </is>
      </c>
      <c r="C689" t="inlineStr">
        <is>
          <t>YX-CONSOLE</t>
        </is>
      </c>
      <c r="D689" t="inlineStr">
        <is>
          <t>3</t>
        </is>
      </c>
      <c r="E689" s="5" t="inlineStr">
        <is>
          <t>Every console action (plan / price change, credit note, suspension, reinstatement, statutory publish, export on behalf) is audited with staff identity and reason. Tenant-affecting actions are visible to the tenant's admins.</t>
        </is>
      </c>
      <c r="F689" t="inlineStr">
        <is>
          <t>Not started</t>
        </is>
      </c>
      <c r="H689">
        <f>IF(G689&lt;&gt;"",G689,F689)</f>
        <v/>
      </c>
      <c r="I689" t="n">
        <v>0</v>
      </c>
      <c r="J689" t="n">
        <v>0</v>
      </c>
      <c r="K689" t="n">
        <v>0</v>
      </c>
      <c r="L689" s="5" t="inlineStr"/>
      <c r="M689" s="5" t="n"/>
    </row>
    <row r="690">
      <c r="A690" t="inlineStr">
        <is>
          <t>YX-CONSOLE-03</t>
        </is>
      </c>
      <c r="B690" t="inlineStr">
        <is>
          <t>P14</t>
        </is>
      </c>
      <c r="C690" t="inlineStr">
        <is>
          <t>YX-CONSOLE</t>
        </is>
      </c>
      <c r="D690" t="inlineStr">
        <is>
          <t>3</t>
        </is>
      </c>
      <c r="E690" s="5" t="inlineStr">
        <is>
          <t>Support follows Q8 tiers and response times. Product support is separate from the tenant's own HR helpdesk (M08).</t>
        </is>
      </c>
      <c r="F690" t="inlineStr">
        <is>
          <t>Not started</t>
        </is>
      </c>
      <c r="H690">
        <f>IF(G690&lt;&gt;"",G690,F690)</f>
        <v/>
      </c>
      <c r="I690" t="n">
        <v>0</v>
      </c>
      <c r="J690" t="n">
        <v>0</v>
      </c>
      <c r="K690" t="n">
        <v>0</v>
      </c>
      <c r="L690" s="5" t="inlineStr"/>
      <c r="M690" s="5" t="n"/>
    </row>
    <row r="691">
      <c r="A691" t="inlineStr">
        <is>
          <t>YX-CONSOLE-04</t>
        </is>
      </c>
      <c r="B691" t="inlineStr">
        <is>
          <t>P14</t>
        </is>
      </c>
      <c r="C691" t="inlineStr">
        <is>
          <t>YX-CONSOLE</t>
        </is>
      </c>
      <c r="D691" t="inlineStr">
        <is>
          <t>3</t>
        </is>
      </c>
      <c r="E691" s="5" t="inlineStr">
        <is>
          <t>Support tickets carry the tenant's support tier. The queue always serves Priority Support tickets before Standard tickets of the same severity; Severity-1 incidents are handled 24×7 for every tier. Response / resolution targets per tier are measured and reported to Priority Support customers monthly.</t>
        </is>
      </c>
      <c r="F691" t="inlineStr">
        <is>
          <t>Not started</t>
        </is>
      </c>
      <c r="H691">
        <f>IF(G691&lt;&gt;"",G691,F691)</f>
        <v/>
      </c>
      <c r="I691" t="n">
        <v>0</v>
      </c>
      <c r="J691" t="n">
        <v>0</v>
      </c>
      <c r="K691" t="n">
        <v>0</v>
      </c>
      <c r="L691" s="5" t="inlineStr"/>
      <c r="M691" s="5" t="n"/>
    </row>
    <row r="692">
      <c r="A692" t="inlineStr">
        <is>
          <t>YX-CONSOLE-05</t>
        </is>
      </c>
      <c r="B692" t="inlineStr">
        <is>
          <t>P14</t>
        </is>
      </c>
      <c r="C692" t="inlineStr">
        <is>
          <t>YX-CONSOLE</t>
        </is>
      </c>
      <c r="D692" t="inlineStr">
        <is>
          <t>3</t>
        </is>
      </c>
      <c r="E692" s="5" t="inlineStr">
        <is>
          <t>Customer success (C8): the health score and churn-risk band are computed only from the tenant-health feed (usage metadata, setup completeness, tickets, NPS / CSAT, billing status; YX-MET-15); CS staff see scores, factors and billing status, never tenant HR data (YX-CONSOLE-01); a move to high churn risk or a score fall of 20+ points in 30 days raises a cs_alerts item to the assigned CS owner. The tenant's System Admins can see their own score and factors.</t>
        </is>
      </c>
      <c r="F692" t="inlineStr">
        <is>
          <t>Not started</t>
        </is>
      </c>
      <c r="H692">
        <f>IF(G692&lt;&gt;"",G692,F692)</f>
        <v/>
      </c>
      <c r="I692" t="n">
        <v>0</v>
      </c>
      <c r="J692" t="n">
        <v>0</v>
      </c>
      <c r="K692" t="n">
        <v>0</v>
      </c>
      <c r="L692" s="5" t="inlineStr"/>
      <c r="M692" s="5" t="n"/>
    </row>
    <row r="693">
      <c r="A693" t="inlineStr">
        <is>
          <t>YX-CONSOLE-06</t>
        </is>
      </c>
      <c r="B693" t="inlineStr">
        <is>
          <t>P14</t>
        </is>
      </c>
      <c r="C693" t="inlineStr">
        <is>
          <t>YX-CONSOLE</t>
        </is>
      </c>
      <c r="D693" t="inlineStr">
        <is>
          <t>3</t>
        </is>
      </c>
      <c r="E693" s="5" t="inlineStr">
        <is>
          <t>In-app messages to tenant admins (C8) reach only admin roles (System Admin, HR Admin, Payroll Admin, billing contact), never employees; each message is approved by a second staff member, dismissible, rate-limited (at most 2 non-critical messages per admin per week; trial lifecycle nudges follow P20 YX-GRO-03 instead, added 28 Sep 2026), tracked only for delivery / read, and marketing content respects the admin's opt-out; maintenance and security notices are always shown.</t>
        </is>
      </c>
      <c r="F693" t="inlineStr">
        <is>
          <t>UI prototype only</t>
        </is>
      </c>
      <c r="H693">
        <f>IF(G693&lt;&gt;"",G693,F693)</f>
        <v/>
      </c>
      <c r="I693" t="n">
        <v>0</v>
      </c>
      <c r="J693" t="n">
        <v>0</v>
      </c>
      <c r="K693" t="n">
        <v>2</v>
      </c>
      <c r="L693" s="5" t="inlineStr"/>
      <c r="M693" s="5" t="n"/>
    </row>
    <row r="694">
      <c r="A694" t="inlineStr">
        <is>
          <t>YX-CONSOLE-07</t>
        </is>
      </c>
      <c r="B694" t="inlineStr">
        <is>
          <t>P14</t>
        </is>
      </c>
      <c r="C694" t="inlineStr">
        <is>
          <t>YX-CONSOLE</t>
        </is>
      </c>
      <c r="D694" t="inlineStr">
        <is>
          <t>3</t>
        </is>
      </c>
      <c r="E694" s="5" t="inlineStr">
        <is>
          <t>Status page, maintenance and incident notices (G5): a public status page shows current and past availability per product and region; planned maintenance is announced to tenant admins at least 72 hours ahead (YX-CONSOLE-06 maintenance notice, always shown) and is never scheduled inside a tenant's payroll-critical window — company-configurable in Settings › Billing &amp; Account, starter template (D17) = the last 3 and first 7 calendar days of the month — nor on a statutory due date in the P07 calendar for that tenant's entities; a Severity-1 incident is posted on the status page and sent to affecte</t>
        </is>
      </c>
      <c r="F694" t="inlineStr">
        <is>
          <t>Not started</t>
        </is>
      </c>
      <c r="H694">
        <f>IF(G694&lt;&gt;"",G694,F694)</f>
        <v/>
      </c>
      <c r="I694" t="n">
        <v>0</v>
      </c>
      <c r="J694" t="n">
        <v>0</v>
      </c>
      <c r="K694" t="n">
        <v>0</v>
      </c>
      <c r="L694" s="5" t="inlineStr"/>
      <c r="M694" s="5" t="n"/>
    </row>
    <row r="695">
      <c r="A695" t="inlineStr">
        <is>
          <t>YX-CONSOLE-08</t>
        </is>
      </c>
      <c r="B695" t="inlineStr">
        <is>
          <t>P14</t>
        </is>
      </c>
      <c r="C695" t="inlineStr">
        <is>
          <t>YX-CONSOLE</t>
        </is>
      </c>
      <c r="D695" t="inlineStr">
        <is>
          <t>3</t>
        </is>
      </c>
      <c r="E695" s="5" t="inlineStr">
        <is>
          <t>Product analytics access (S1, 28 Sep 2026): the product_analytics schema (P09 §4.10) is readable only by YukthiX staff holding the product analytics console role (least privilege, P12); it holds pseudonymous usage events, never personal or HR data (YX-MET-19); access is audited (YX-CONSOLE-02); it is never joined with tenant HR data or with the billing contact list at person level; a tenant that opts out of non-essential analytics (Settings › Billing &amp; Account) sends no product-analytics events (YX-MET-20).</t>
        </is>
      </c>
      <c r="F695" t="inlineStr">
        <is>
          <t>Not started</t>
        </is>
      </c>
      <c r="H695">
        <f>IF(G695&lt;&gt;"",G695,F695)</f>
        <v/>
      </c>
      <c r="I695" t="n">
        <v>0</v>
      </c>
      <c r="J695" t="n">
        <v>0</v>
      </c>
      <c r="K695" t="n">
        <v>0</v>
      </c>
      <c r="L695" s="5" t="inlineStr"/>
      <c r="M695" s="5" t="n"/>
    </row>
    <row r="696">
      <c r="A696" t="inlineStr">
        <is>
          <t>YX-CONSOLE-09</t>
        </is>
      </c>
      <c r="B696" t="inlineStr">
        <is>
          <t>P14</t>
        </is>
      </c>
      <c r="C696" t="inlineStr">
        <is>
          <t>YX-CONSOLE</t>
        </is>
      </c>
      <c r="D696" t="inlineStr">
        <is>
          <t>3</t>
        </is>
      </c>
      <c r="E696" s="5" t="inlineStr">
        <is>
          <t>Cost per tenant. Storage, egress, AI (tokens / credits) and compute are attributed per tenant daily from metering tags and shown in the console beside the tenant's billed revenue, with gross margin and a flag when cost exceeds a set share of revenue. Staff-only (same access as YX-CONSOLE-08); shared costs are allocated by a documented key, not hidden.</t>
        </is>
      </c>
      <c r="F696" t="inlineStr">
        <is>
          <t>UI prototype only</t>
        </is>
      </c>
      <c r="H696">
        <f>IF(G696&lt;&gt;"",G696,F696)</f>
        <v/>
      </c>
      <c r="I696" t="n">
        <v>0</v>
      </c>
      <c r="J696" t="n">
        <v>0</v>
      </c>
      <c r="K696" t="n">
        <v>2</v>
      </c>
      <c r="L696" s="5" t="inlineStr"/>
      <c r="M696" s="5" t="n"/>
    </row>
    <row r="697">
      <c r="A697" t="inlineStr">
        <is>
          <t>YX-TEN-01</t>
        </is>
      </c>
      <c r="B697" t="inlineStr">
        <is>
          <t>P14</t>
        </is>
      </c>
      <c r="C697" t="inlineStr">
        <is>
          <t>YX-TEN</t>
        </is>
      </c>
      <c r="D697" t="inlineStr">
        <is>
          <t>3</t>
        </is>
      </c>
      <c r="E697" s="5" t="inlineStr">
        <is>
          <t>Trials follow Q4. Trial data can be converted to live in place (no re-entry), or wiped if the tenant chooses.</t>
        </is>
      </c>
      <c r="F697" t="inlineStr">
        <is>
          <t>Not started</t>
        </is>
      </c>
      <c r="H697">
        <f>IF(G697&lt;&gt;"",G697,F697)</f>
        <v/>
      </c>
      <c r="I697" t="n">
        <v>0</v>
      </c>
      <c r="J697" t="n">
        <v>0</v>
      </c>
      <c r="K697" t="n">
        <v>0</v>
      </c>
      <c r="L697" s="5" t="inlineStr"/>
      <c r="M697" s="5" t="n"/>
    </row>
    <row r="698">
      <c r="A698" t="inlineStr">
        <is>
          <t>YX-TEN-02</t>
        </is>
      </c>
      <c r="B698" t="inlineStr">
        <is>
          <t>P14</t>
        </is>
      </c>
      <c r="C698" t="inlineStr">
        <is>
          <t>YX-TEN</t>
        </is>
      </c>
      <c r="D698" t="inlineStr">
        <is>
          <t>3</t>
        </is>
      </c>
      <c r="E698" s="5" t="inlineStr">
        <is>
          <t>Non-payment follows the Q5 schedule. A restricted or suspended tenant never loses its employees' access to their own payslips, Form 16 and letters, or statutory records the employer must keep. A payroll run already approved is never stopped mid-way.</t>
        </is>
      </c>
      <c r="F698" t="inlineStr">
        <is>
          <t>Not started</t>
        </is>
      </c>
      <c r="H698">
        <f>IF(G698&lt;&gt;"",G698,F698)</f>
        <v/>
      </c>
      <c r="I698" t="n">
        <v>0</v>
      </c>
      <c r="J698" t="n">
        <v>0</v>
      </c>
      <c r="K698" t="n">
        <v>0</v>
      </c>
      <c r="L698" s="5" t="inlineStr"/>
      <c r="M698" s="5" t="n"/>
    </row>
    <row r="699">
      <c r="A699" t="inlineStr">
        <is>
          <t>YX-TEN-03</t>
        </is>
      </c>
      <c r="B699" t="inlineStr">
        <is>
          <t>P14</t>
        </is>
      </c>
      <c r="C699" t="inlineStr">
        <is>
          <t>YX-TEN</t>
        </is>
      </c>
      <c r="D699" t="inlineStr">
        <is>
          <t>3</t>
        </is>
      </c>
      <c r="E699" s="5" t="inlineStr">
        <is>
          <t>On cancellation, the tenant has the Q6 grace period in read-only mode with a full export (all entities, documents, audit log, in open formats) before deletion.</t>
        </is>
      </c>
      <c r="F699" t="inlineStr">
        <is>
          <t>Not started</t>
        </is>
      </c>
      <c r="H699">
        <f>IF(G699&lt;&gt;"",G699,F699)</f>
        <v/>
      </c>
      <c r="I699" t="n">
        <v>0</v>
      </c>
      <c r="J699" t="n">
        <v>0</v>
      </c>
      <c r="K699" t="n">
        <v>0</v>
      </c>
      <c r="L699" s="5" t="inlineStr"/>
      <c r="M699" s="5" t="n"/>
    </row>
    <row r="700">
      <c r="A700" t="inlineStr">
        <is>
          <t>YX-TEN-04</t>
        </is>
      </c>
      <c r="B700" t="inlineStr">
        <is>
          <t>P14</t>
        </is>
      </c>
      <c r="C700" t="inlineStr">
        <is>
          <t>YX-TEN</t>
        </is>
      </c>
      <c r="D700" t="inlineStr">
        <is>
          <t>3</t>
        </is>
      </c>
      <c r="E700" s="5" t="inlineStr">
        <is>
          <t>Deletion is complete: live data deleted, keys destroyed (crypto-shredding, YX-SECOPS-02), backups age out per the retention schedule, and a deletion certificate is issued. Legal holds (M08 Q7, T05) are honoured, and the tenant is told what is held and why.</t>
        </is>
      </c>
      <c r="F700" t="inlineStr">
        <is>
          <t>Not started</t>
        </is>
      </c>
      <c r="H700">
        <f>IF(G700&lt;&gt;"",G700,F700)</f>
        <v/>
      </c>
      <c r="I700" t="n">
        <v>0</v>
      </c>
      <c r="J700" t="n">
        <v>0</v>
      </c>
      <c r="K700" t="n">
        <v>0</v>
      </c>
      <c r="L700" s="5" t="inlineStr"/>
      <c r="M700" s="5" t="n"/>
    </row>
    <row r="701">
      <c r="A701" t="inlineStr">
        <is>
          <t>YX-TEN-05</t>
        </is>
      </c>
      <c r="B701" t="inlineStr">
        <is>
          <t>P14</t>
        </is>
      </c>
      <c r="C701" t="inlineStr">
        <is>
          <t>YX-TEN</t>
        </is>
      </c>
      <c r="D701" t="inlineStr">
        <is>
          <t>3</t>
        </is>
      </c>
      <c r="E701" s="5" t="inlineStr">
        <is>
          <t>Whole-tenant export is available on demand at any time (not only on exit): CSV / JSON per entity + a document archive + a manifest, produced asynchronously, downloadable by System Admin with step-up (P12), audited.</t>
        </is>
      </c>
      <c r="F701" t="inlineStr">
        <is>
          <t>Not started</t>
        </is>
      </c>
      <c r="H701">
        <f>IF(G701&lt;&gt;"",G701,F701)</f>
        <v/>
      </c>
      <c r="I701" t="n">
        <v>0</v>
      </c>
      <c r="J701" t="n">
        <v>0</v>
      </c>
      <c r="K701" t="n">
        <v>0</v>
      </c>
      <c r="L701" s="5" t="inlineStr"/>
      <c r="M701" s="5" t="n"/>
    </row>
    <row r="702">
      <c r="A702" t="inlineStr">
        <is>
          <t>YX-TEN-06</t>
        </is>
      </c>
      <c r="B702" t="inlineStr">
        <is>
          <t>P14</t>
        </is>
      </c>
      <c r="C702" t="inlineStr">
        <is>
          <t>YX-TEN</t>
        </is>
      </c>
      <c r="D702" t="inlineStr">
        <is>
          <t>3</t>
        </is>
      </c>
      <c r="E702" s="5" t="inlineStr">
        <is>
          <t>Billing staff can override the non-payment schedule per tenant (pause, extend, step forward / back, payment plan) with a reason and expiry; overrides are audited, shown to the tenant's admins, and the automatic schedule resumes when the override expires.</t>
        </is>
      </c>
      <c r="F702" t="inlineStr">
        <is>
          <t>Not started</t>
        </is>
      </c>
      <c r="H702">
        <f>IF(G702&lt;&gt;"",G702,F702)</f>
        <v/>
      </c>
      <c r="I702" t="n">
        <v>0</v>
      </c>
      <c r="J702" t="n">
        <v>0</v>
      </c>
      <c r="K702" t="n">
        <v>0</v>
      </c>
      <c r="L702" s="5" t="inlineStr"/>
      <c r="M702" s="5" t="n"/>
    </row>
    <row r="703">
      <c r="A703" t="inlineStr">
        <is>
          <t>YX-TEN-07</t>
        </is>
      </c>
      <c r="B703" t="inlineStr">
        <is>
          <t>P14</t>
        </is>
      </c>
      <c r="C703" t="inlineStr">
        <is>
          <t>YX-TEN</t>
        </is>
      </c>
      <c r="D703" t="inlineStr">
        <is>
          <t>3</t>
        </is>
      </c>
      <c r="E703" s="5" t="inlineStr">
        <is>
          <t>Employees keep their own documents through exit (G4): during the Q6 30-day read-only grace every employee (and alumnus, P05) can sign in and download their own payslips, Form 16 and letters, and is told the deadline in-app and by email at cancellation and at day 23; the YX-TEN-03 / 05 export includes a per-employee document pack (one folder per employee: payslips, Form 16, letters, with an index) so the employer can hand documents over after deletion.</t>
        </is>
      </c>
      <c r="F703" t="inlineStr">
        <is>
          <t>Not started</t>
        </is>
      </c>
      <c r="H703">
        <f>IF(G703&lt;&gt;"",G703,F703)</f>
        <v/>
      </c>
      <c r="I703" t="n">
        <v>0</v>
      </c>
      <c r="J703" t="n">
        <v>0</v>
      </c>
      <c r="K703" t="n">
        <v>0</v>
      </c>
      <c r="L703" s="5" t="inlineStr"/>
      <c r="M703" s="5" t="n"/>
    </row>
    <row r="704">
      <c r="A704" t="inlineStr">
        <is>
          <t>YX-TEN-08</t>
        </is>
      </c>
      <c r="B704" t="inlineStr">
        <is>
          <t>P14</t>
        </is>
      </c>
      <c r="C704" t="inlineStr">
        <is>
          <t>YX-TEN</t>
        </is>
      </c>
      <c r="D704" t="inlineStr">
        <is>
          <t>3</t>
        </is>
      </c>
      <c r="E704" s="5" t="inlineStr">
        <is>
          <t>Trial end without switching on (founder decision 28 Sep 2026). A trial runs 30 days, plus one 14-day extension (automatic when first value is reached, otherwise self-serve on request; P20 YX-GRO-06). If no product is switched on by the end: the account becomes read-only for 30 days (view and full export allowed; no payroll runs, no tests sent, no jobs published, no messages to employees or candidates); reminders go to all trial admins on the first day of read-only, day 15 and day 25; on day 30 of read-only all trial data is deleted under YX-TEN-04 and a deletion certificate is emailed. Switchi</t>
        </is>
      </c>
      <c r="F704" t="inlineStr">
        <is>
          <t>UI prototype only</t>
        </is>
      </c>
      <c r="H704">
        <f>IF(G704&lt;&gt;"",G704,F704)</f>
        <v/>
      </c>
      <c r="I704" t="n">
        <v>0</v>
      </c>
      <c r="J704" t="n">
        <v>0</v>
      </c>
      <c r="K704" t="n">
        <v>2</v>
      </c>
      <c r="L704" s="5" t="inlineStr"/>
      <c r="M704" s="5" t="n"/>
    </row>
    <row r="705">
      <c r="A705" t="inlineStr">
        <is>
          <t>YX-MIG-01</t>
        </is>
      </c>
      <c r="B705" t="inlineStr">
        <is>
          <t>P15</t>
        </is>
      </c>
      <c r="C705" t="inlineStr">
        <is>
          <t>YX-MIG</t>
        </is>
      </c>
      <c r="D705" t="inlineStr">
        <is>
          <t>6+</t>
        </is>
      </c>
      <c r="E705" s="5" t="inlineStr">
        <is>
          <t>Every import goes through upload → map → validate → preview → commit. Nothing is written before the user confirms the preview.</t>
        </is>
      </c>
      <c r="F705" t="inlineStr">
        <is>
          <t>Not started</t>
        </is>
      </c>
      <c r="H705">
        <f>IF(G705&lt;&gt;"",G705,F705)</f>
        <v/>
      </c>
      <c r="I705" t="n">
        <v>0</v>
      </c>
      <c r="J705" t="n">
        <v>0</v>
      </c>
      <c r="K705" t="n">
        <v>0</v>
      </c>
      <c r="L705" s="5" t="inlineStr"/>
      <c r="M705" s="5" t="n"/>
    </row>
    <row r="706">
      <c r="A706" t="inlineStr">
        <is>
          <t>YX-MIG-02</t>
        </is>
      </c>
      <c r="B706" t="inlineStr">
        <is>
          <t>P15</t>
        </is>
      </c>
      <c r="C706" t="inlineStr">
        <is>
          <t>YX-MIG</t>
        </is>
      </c>
      <c r="D706" t="inlineStr">
        <is>
          <t>6+</t>
        </is>
      </c>
      <c r="E706" s="5" t="inlineStr">
        <is>
          <t>Validation applies the same rules as the live forms and APIs (P11 YX-API-01): no import path bypasses statutory format checks, duplicate checks, P06 effective-dating or P02 permissions.</t>
        </is>
      </c>
      <c r="F706" t="inlineStr">
        <is>
          <t>Not started</t>
        </is>
      </c>
      <c r="H706">
        <f>IF(G706&lt;&gt;"",G706,F706)</f>
        <v/>
      </c>
      <c r="I706" t="n">
        <v>0</v>
      </c>
      <c r="J706" t="n">
        <v>0</v>
      </c>
      <c r="K706" t="n">
        <v>0</v>
      </c>
      <c r="L706" s="5" t="inlineStr"/>
      <c r="M706" s="5" t="n"/>
    </row>
    <row r="707">
      <c r="A707" t="inlineStr">
        <is>
          <t>YX-MIG-03</t>
        </is>
      </c>
      <c r="B707" t="inlineStr">
        <is>
          <t>P15</t>
        </is>
      </c>
      <c r="C707" t="inlineStr">
        <is>
          <t>YX-MIG</t>
        </is>
      </c>
      <c r="D707" t="inlineStr">
        <is>
          <t>6+</t>
        </is>
      </c>
      <c r="E707" s="5" t="inlineStr">
        <is>
          <t>Row errors never abort the whole job. Error rows are downloadable as an Excel file with messages next to each cell, so the user can fix them and re-upload only those rows.</t>
        </is>
      </c>
      <c r="F707" t="inlineStr">
        <is>
          <t>Not started</t>
        </is>
      </c>
      <c r="H707">
        <f>IF(G707&lt;&gt;"",G707,F707)</f>
        <v/>
      </c>
      <c r="I707" t="n">
        <v>0</v>
      </c>
      <c r="J707" t="n">
        <v>0</v>
      </c>
      <c r="K707" t="n">
        <v>0</v>
      </c>
      <c r="L707" s="5" t="inlineStr"/>
      <c r="M707" s="5" t="n"/>
    </row>
    <row r="708">
      <c r="A708" t="inlineStr">
        <is>
          <t>YX-MIG-04</t>
        </is>
      </c>
      <c r="B708" t="inlineStr">
        <is>
          <t>P15</t>
        </is>
      </c>
      <c r="C708" t="inlineStr">
        <is>
          <t>YX-MIG</t>
        </is>
      </c>
      <c r="D708" t="inlineStr">
        <is>
          <t>6+</t>
        </is>
      </c>
      <c r="E708" s="5" t="inlineStr">
        <is>
          <t>Committed batches can be rolled back per Q4. Rollback removes exactly the records the batch created and restores fields it updated; it is blocked once dependent records exist (e.g. a payroll run used them) or the period is locked (P08).</t>
        </is>
      </c>
      <c r="F708" t="inlineStr">
        <is>
          <t>Not started</t>
        </is>
      </c>
      <c r="H708">
        <f>IF(G708&lt;&gt;"",G708,F708)</f>
        <v/>
      </c>
      <c r="I708" t="n">
        <v>0</v>
      </c>
      <c r="J708" t="n">
        <v>0</v>
      </c>
      <c r="K708" t="n">
        <v>0</v>
      </c>
      <c r="L708" s="5" t="inlineStr"/>
      <c r="M708" s="5" t="n"/>
    </row>
    <row r="709">
      <c r="A709" t="inlineStr">
        <is>
          <t>YX-MIG-05</t>
        </is>
      </c>
      <c r="B709" t="inlineStr">
        <is>
          <t>P15</t>
        </is>
      </c>
      <c r="C709" t="inlineStr">
        <is>
          <t>YX-MIG</t>
        </is>
      </c>
      <c r="D709" t="inlineStr">
        <is>
          <t>6+</t>
        </is>
      </c>
      <c r="E709" s="5" t="inlineStr">
        <is>
          <t>Imported history is marked with its source and import batch, and is effective-dated (P06). Opening balances (leave, YTD, loans) enter as ledger entries with reason "migration opening", never as silent overwrites.</t>
        </is>
      </c>
      <c r="F709" t="inlineStr">
        <is>
          <t>Not started</t>
        </is>
      </c>
      <c r="H709">
        <f>IF(G709&lt;&gt;"",G709,F709)</f>
        <v/>
      </c>
      <c r="I709" t="n">
        <v>0</v>
      </c>
      <c r="J709" t="n">
        <v>0</v>
      </c>
      <c r="K709" t="n">
        <v>0</v>
      </c>
      <c r="L709" s="5" t="inlineStr"/>
      <c r="M709" s="5" t="n"/>
    </row>
    <row r="710">
      <c r="A710" t="inlineStr">
        <is>
          <t>YX-MIG-06</t>
        </is>
      </c>
      <c r="B710" t="inlineStr">
        <is>
          <t>P15</t>
        </is>
      </c>
      <c r="C710" t="inlineStr">
        <is>
          <t>YX-MIG</t>
        </is>
      </c>
      <c r="D710" t="inlineStr">
        <is>
          <t>6+</t>
        </is>
      </c>
      <c r="E710" s="5" t="inlineStr">
        <is>
          <t>Sensitive import data (bank, PAN, Aadhaar, salary) is encrypted at rest in staging, visible only to the importing admin, and purged after the retention period.</t>
        </is>
      </c>
      <c r="F710" t="inlineStr">
        <is>
          <t>Not started</t>
        </is>
      </c>
      <c r="H710">
        <f>IF(G710&lt;&gt;"",G710,F710)</f>
        <v/>
      </c>
      <c r="I710" t="n">
        <v>0</v>
      </c>
      <c r="J710" t="n">
        <v>0</v>
      </c>
      <c r="K710" t="n">
        <v>0</v>
      </c>
      <c r="L710" s="5" t="inlineStr"/>
      <c r="M710" s="5" t="n"/>
    </row>
    <row r="711">
      <c r="A711" t="inlineStr">
        <is>
          <t>YX-MIG-07</t>
        </is>
      </c>
      <c r="B711" t="inlineStr">
        <is>
          <t>P15</t>
        </is>
      </c>
      <c r="C711" t="inlineStr">
        <is>
          <t>YX-MIG</t>
        </is>
      </c>
      <c r="D711" t="inlineStr">
        <is>
          <t>6+</t>
        </is>
      </c>
      <c r="E711" s="5" t="inlineStr">
        <is>
          <t>Documents are imported as a ZIP + index file mapping each file to an employee and document type (P05); unmatched files are listed for manual assignment.</t>
        </is>
      </c>
      <c r="F711" t="inlineStr">
        <is>
          <t>Not started</t>
        </is>
      </c>
      <c r="H711">
        <f>IF(G711&lt;&gt;"",G711,F711)</f>
        <v/>
      </c>
      <c r="I711" t="n">
        <v>0</v>
      </c>
      <c r="J711" t="n">
        <v>0</v>
      </c>
      <c r="K711" t="n">
        <v>0</v>
      </c>
      <c r="L711" s="5" t="inlineStr"/>
      <c r="M711" s="5" t="n"/>
    </row>
    <row r="712">
      <c r="A712" t="inlineStr">
        <is>
          <t>YX-MIG-08</t>
        </is>
      </c>
      <c r="B712" t="inlineStr">
        <is>
          <t>P15</t>
        </is>
      </c>
      <c r="C712" t="inlineStr">
        <is>
          <t>YX-MIG</t>
        </is>
      </c>
      <c r="D712" t="inlineStr">
        <is>
          <t>6+</t>
        </is>
      </c>
      <c r="E712" s="5" t="inlineStr">
        <is>
          <t>Payroll go-live requires either a completed parallel run with variance signed off, or an explicit, audited waiver by the Payroll Admin (D17: the company decides the number of months).</t>
        </is>
      </c>
      <c r="F712" t="inlineStr">
        <is>
          <t>Not started</t>
        </is>
      </c>
      <c r="H712">
        <f>IF(G712&lt;&gt;"",G712,F712)</f>
        <v/>
      </c>
      <c r="I712" t="n">
        <v>0</v>
      </c>
      <c r="J712" t="n">
        <v>0</v>
      </c>
      <c r="K712" t="n">
        <v>0</v>
      </c>
      <c r="L712" s="5" t="inlineStr"/>
      <c r="M712" s="5" t="n"/>
    </row>
    <row r="713">
      <c r="A713" t="inlineStr">
        <is>
          <t>YX-MIG-09</t>
        </is>
      </c>
      <c r="B713" t="inlineStr">
        <is>
          <t>P15</t>
        </is>
      </c>
      <c r="C713" t="inlineStr">
        <is>
          <t>YX-MIG</t>
        </is>
      </c>
      <c r="D713" t="inlineStr">
        <is>
          <t>6+</t>
        </is>
      </c>
      <c r="E713" s="5" t="inlineStr">
        <is>
          <t>A sandbox never sends real notifications, bank files, filings or partner calls (all outbound channels are stubbed), and its data is masked per Q5.</t>
        </is>
      </c>
      <c r="F713" t="inlineStr">
        <is>
          <t>Not started</t>
        </is>
      </c>
      <c r="H713">
        <f>IF(G713&lt;&gt;"",G713,F713)</f>
        <v/>
      </c>
      <c r="I713" t="n">
        <v>0</v>
      </c>
      <c r="J713" t="n">
        <v>0</v>
      </c>
      <c r="K713" t="n">
        <v>0</v>
      </c>
      <c r="L713" s="5" t="inlineStr"/>
      <c r="M713" s="5" t="n"/>
    </row>
    <row r="714">
      <c r="A714" t="inlineStr">
        <is>
          <t>YX-MIG-10</t>
        </is>
      </c>
      <c r="B714" t="inlineStr">
        <is>
          <t>P15</t>
        </is>
      </c>
      <c r="C714" t="inlineStr">
        <is>
          <t>YX-MIG</t>
        </is>
      </c>
      <c r="D714" t="inlineStr">
        <is>
          <t>6+</t>
        </is>
      </c>
      <c r="E714" s="5" t="inlineStr">
        <is>
          <t>Configuration moves from sandbox to production only through a reviewed promotion (diff + approver, P03), never by copying data.</t>
        </is>
      </c>
      <c r="F714" t="inlineStr">
        <is>
          <t>Not started</t>
        </is>
      </c>
      <c r="H714">
        <f>IF(G714&lt;&gt;"",G714,F714)</f>
        <v/>
      </c>
      <c r="I714" t="n">
        <v>0</v>
      </c>
      <c r="J714" t="n">
        <v>0</v>
      </c>
      <c r="K714" t="n">
        <v>0</v>
      </c>
      <c r="L714" s="5" t="inlineStr"/>
      <c r="M714" s="5" t="n"/>
    </row>
    <row r="715">
      <c r="A715" t="inlineStr">
        <is>
          <t>YX-MIG-11</t>
        </is>
      </c>
      <c r="B715" t="inlineStr">
        <is>
          <t>P15</t>
        </is>
      </c>
      <c r="C715" t="inlineStr">
        <is>
          <t>YX-MIG</t>
        </is>
      </c>
      <c r="D715" t="inlineStr">
        <is>
          <t>6+</t>
        </is>
      </c>
      <c r="E715" s="5" t="inlineStr">
        <is>
          <t>Direct API pull connectors (Q1): the customer connects its own account on the old system (API key or OAuth consent) with read-only scope; data is pulled into the same staging → validate → preview → commit pipeline (never written directly); pulls can repeat during the parallel run; stored credentials are encrypted, limited to the migration, and deleted automatically when migration is marked complete or after 90 days; where a vendor offers no suitable API or its terms forbid it, the file mapper is used.</t>
        </is>
      </c>
      <c r="F715" t="inlineStr">
        <is>
          <t>Not started</t>
        </is>
      </c>
      <c r="H715">
        <f>IF(G715&lt;&gt;"",G715,F715)</f>
        <v/>
      </c>
      <c r="I715" t="n">
        <v>0</v>
      </c>
      <c r="J715" t="n">
        <v>0</v>
      </c>
      <c r="K715" t="n">
        <v>0</v>
      </c>
      <c r="L715" s="5" t="inlineStr"/>
      <c r="M715" s="5" t="n"/>
    </row>
    <row r="716">
      <c r="A716" t="inlineStr">
        <is>
          <t>YX-MIG-12</t>
        </is>
      </c>
      <c r="B716" t="inlineStr">
        <is>
          <t>P15</t>
        </is>
      </c>
      <c r="C716" t="inlineStr">
        <is>
          <t>YX-MIG</t>
        </is>
      </c>
      <c r="D716" t="inlineStr">
        <is>
          <t>6+</t>
        </is>
      </c>
      <c r="E716" s="5" t="inlineStr">
        <is>
          <t>Full-history import (Q2 option): past financial years imported as data are loaded as closed and locked periods (P08 status *filed / locked*), marked with their import batch, never recalculated by the payroll or leave engines, and used for reports, analytics, employee history and statutory look-ups; storage beyond fair use counts toward the storage add-on (D18).</t>
        </is>
      </c>
      <c r="F716" t="inlineStr">
        <is>
          <t>Not started</t>
        </is>
      </c>
      <c r="H716">
        <f>IF(G716&lt;&gt;"",G716,F716)</f>
        <v/>
      </c>
      <c r="I716" t="n">
        <v>0</v>
      </c>
      <c r="J716" t="n">
        <v>0</v>
      </c>
      <c r="K716" t="n">
        <v>0</v>
      </c>
      <c r="L716" s="5" t="inlineStr"/>
      <c r="M716" s="5" t="n"/>
    </row>
    <row r="717">
      <c r="A717" t="inlineStr">
        <is>
          <t>YX-MIG-13</t>
        </is>
      </c>
      <c r="B717" t="inlineStr">
        <is>
          <t>P15</t>
        </is>
      </c>
      <c r="C717" t="inlineStr">
        <is>
          <t>YX-MIG</t>
        </is>
      </c>
      <c r="D717" t="inlineStr">
        <is>
          <t>6+</t>
        </is>
      </c>
      <c r="E717" s="5" t="inlineStr">
        <is>
          <t>Public launch is gated on the Q6 pilot exit criteria, tracked in the platform console (P14) with evidence per criterion (variance reports, portal acknowledgements, incident register, readiness scores, customer sign-offs).</t>
        </is>
      </c>
      <c r="F717" t="inlineStr">
        <is>
          <t>Not started</t>
        </is>
      </c>
      <c r="H717">
        <f>IF(G717&lt;&gt;"",G717,F717)</f>
        <v/>
      </c>
      <c r="I717" t="n">
        <v>0</v>
      </c>
      <c r="J717" t="n">
        <v>0</v>
      </c>
      <c r="K717" t="n">
        <v>0</v>
      </c>
      <c r="L717" s="5" t="inlineStr"/>
      <c r="M717" s="5" t="n"/>
    </row>
    <row r="718">
      <c r="A718" t="inlineStr">
        <is>
          <t>YX-MIG-14</t>
        </is>
      </c>
      <c r="B718" t="inlineStr">
        <is>
          <t>P15</t>
        </is>
      </c>
      <c r="C718" t="inlineStr">
        <is>
          <t>YX-MIG</t>
        </is>
      </c>
      <c r="D718" t="inlineStr">
        <is>
          <t>6+</t>
        </is>
      </c>
      <c r="E718" s="5" t="inlineStr">
        <is>
          <t>ATS and open-source HR mappers (G11): ready file mappers (Q1 pipeline, YX-MIG-01–07) for Freshteam, OrangeHRM and Horilla standard exports and a generic ATS CSV template covering candidates, jobs, pipeline stages (mapped to the M10 stage set), notes and attachments (ZIP + index, YX-MIG-07); a public "Freshteam switch kit" page (export steps from Freshteam, field map, what carries over, what to check) is linked from the setup hub and the website. Included in the price (D18).</t>
        </is>
      </c>
      <c r="F718" t="inlineStr">
        <is>
          <t>Not started</t>
        </is>
      </c>
      <c r="H718">
        <f>IF(G718&lt;&gt;"",G718,F718)</f>
        <v/>
      </c>
      <c r="I718" t="n">
        <v>0</v>
      </c>
      <c r="J718" t="n">
        <v>0</v>
      </c>
      <c r="K718" t="n">
        <v>0</v>
      </c>
      <c r="L718" s="5" t="inlineStr"/>
      <c r="M718" s="5" t="n"/>
    </row>
    <row r="719">
      <c r="A719" t="inlineStr">
        <is>
          <t>YX-MIG-15</t>
        </is>
      </c>
      <c r="B719" t="inlineStr">
        <is>
          <t>P15</t>
        </is>
      </c>
      <c r="C719" t="inlineStr">
        <is>
          <t>YX-MIG</t>
        </is>
      </c>
      <c r="D719" t="inlineStr">
        <is>
          <t>6+</t>
        </is>
      </c>
      <c r="E719" s="5" t="inlineStr">
        <is>
          <t>As-paid pay lines (J3): payroll go-live needs, for every employee paid in the current tax year before go-live, the as-paid lines per month and per component (earnings, deductions, employer contributions, TDS, PF / ESI wages) — not only YTD totals; YTD for tax (M03 YX-TAX-15) is derived from them. Validation checks each month's lines add up to the imported net and statutory totals. They load as imported payslips in locked periods (source = import, import batch; never recalculated, YX-MIG-12) and are the as-paid base for arrears on back-dated revisions effective before go-live (M03 YX-PAY-52, la</t>
        </is>
      </c>
      <c r="F719" t="inlineStr">
        <is>
          <t>Not started</t>
        </is>
      </c>
      <c r="H719">
        <f>IF(G719&lt;&gt;"",G719,F719)</f>
        <v/>
      </c>
      <c r="I719" t="n">
        <v>0</v>
      </c>
      <c r="J719" t="n">
        <v>0</v>
      </c>
      <c r="K719" t="n">
        <v>0</v>
      </c>
      <c r="L719" s="5" t="inlineStr"/>
      <c r="M719" s="5" t="n"/>
    </row>
    <row r="720">
      <c r="A720" t="inlineStr">
        <is>
          <t>YX-PTR-01</t>
        </is>
      </c>
      <c r="B720" t="inlineStr">
        <is>
          <t>P16</t>
        </is>
      </c>
      <c r="C720" t="inlineStr">
        <is>
          <t>YX-PTR</t>
        </is>
      </c>
      <c r="D720" t="inlineStr">
        <is>
          <t>6+</t>
        </is>
      </c>
      <c r="E720" s="5" t="inlineStr">
        <is>
          <t>A partner firm must be verified (identity, tax ids, agreement) before any client link becomes active. Suspension of a partner immediately suspends all its client access.</t>
        </is>
      </c>
      <c r="F720" t="inlineStr">
        <is>
          <t>UI prototype only</t>
        </is>
      </c>
      <c r="H720">
        <f>IF(G720&lt;&gt;"",G720,F720)</f>
        <v/>
      </c>
      <c r="I720" t="n">
        <v>0</v>
      </c>
      <c r="J720" t="n">
        <v>0</v>
      </c>
      <c r="K720" t="n">
        <v>2</v>
      </c>
      <c r="L720" s="5" t="inlineStr"/>
      <c r="M720" s="5" t="n"/>
    </row>
    <row r="721">
      <c r="A721" t="inlineStr">
        <is>
          <t>YX-PTR-02</t>
        </is>
      </c>
      <c r="B721" t="inlineStr">
        <is>
          <t>P16</t>
        </is>
      </c>
      <c r="C721" t="inlineStr">
        <is>
          <t>YX-PTR</t>
        </is>
      </c>
      <c r="D721" t="inlineStr">
        <is>
          <t>6+</t>
        </is>
      </c>
      <c r="E721" s="5" t="inlineStr">
        <is>
          <t>Tenant ownership (client-owned or partner-owned) is chosen at creation and recorded on the link (Q2). In a client-owned tenant, partner access exists only through a grant approved by a client admin, who can view, change or end it at any time; ending it removes access immediately. In a partner-owned tenant, the named client contact always keeps audit-log view, full export and the right to transfer ownership, and the partner can't remove these.</t>
        </is>
      </c>
      <c r="F721" t="inlineStr">
        <is>
          <t>Not started</t>
        </is>
      </c>
      <c r="H721">
        <f>IF(G721&lt;&gt;"",G721,F721)</f>
        <v/>
      </c>
      <c r="I721" t="n">
        <v>0</v>
      </c>
      <c r="J721" t="n">
        <v>0</v>
      </c>
      <c r="K721" t="n">
        <v>0</v>
      </c>
      <c r="L721" s="5" t="inlineStr"/>
      <c r="M721" s="5" t="n"/>
    </row>
    <row r="722">
      <c r="A722" t="inlineStr">
        <is>
          <t>YX-PTR-03</t>
        </is>
      </c>
      <c r="B722" t="inlineStr">
        <is>
          <t>P16</t>
        </is>
      </c>
      <c r="C722" t="inlineStr">
        <is>
          <t>YX-PTR</t>
        </is>
      </c>
      <c r="D722" t="inlineStr">
        <is>
          <t>6+</t>
        </is>
      </c>
      <c r="E722" s="5" t="inlineStr">
        <is>
          <t>Partner users reach a client only if assigned to that client, and only within the grant's modules, entities and actions. Field classes (P02) apply as for tenant roles; Special data (medical, POSH, biometrics) is never in a partner grant.</t>
        </is>
      </c>
      <c r="F722" t="inlineStr">
        <is>
          <t>Not started</t>
        </is>
      </c>
      <c r="H722">
        <f>IF(G722&lt;&gt;"",G722,F722)</f>
        <v/>
      </c>
      <c r="I722" t="n">
        <v>0</v>
      </c>
      <c r="J722" t="n">
        <v>0</v>
      </c>
      <c r="K722" t="n">
        <v>0</v>
      </c>
      <c r="L722" s="5" t="inlineStr"/>
      <c r="M722" s="5" t="n"/>
    </row>
    <row r="723">
      <c r="A723" t="inlineStr">
        <is>
          <t>YX-PTR-04</t>
        </is>
      </c>
      <c r="B723" t="inlineStr">
        <is>
          <t>P16</t>
        </is>
      </c>
      <c r="C723" t="inlineStr">
        <is>
          <t>YX-PTR</t>
        </is>
      </c>
      <c r="D723" t="inlineStr">
        <is>
          <t>6+</t>
        </is>
      </c>
      <c r="E723" s="5" t="inlineStr">
        <is>
          <t>Every partner action inside a client tenant is recorded in that client's audit log with the partner firm and user, and is visible to the client in "who accessed my data" (P08).</t>
        </is>
      </c>
      <c r="F723" t="inlineStr">
        <is>
          <t>Not started</t>
        </is>
      </c>
      <c r="H723">
        <f>IF(G723&lt;&gt;"",G723,F723)</f>
        <v/>
      </c>
      <c r="I723" t="n">
        <v>0</v>
      </c>
      <c r="J723" t="n">
        <v>0</v>
      </c>
      <c r="K723" t="n">
        <v>0</v>
      </c>
      <c r="L723" s="5" t="inlineStr"/>
      <c r="M723" s="5" t="n"/>
    </row>
    <row r="724">
      <c r="A724" t="inlineStr">
        <is>
          <t>YX-PTR-05</t>
        </is>
      </c>
      <c r="B724" t="inlineStr">
        <is>
          <t>P16</t>
        </is>
      </c>
      <c r="C724" t="inlineStr">
        <is>
          <t>YX-PTR</t>
        </is>
      </c>
      <c r="D724" t="inlineStr">
        <is>
          <t>6+</t>
        </is>
      </c>
      <c r="E724" s="5" t="inlineStr">
        <is>
          <t>Payroll release, bank-file release, statutory filing and DSC signing need a client-side approval, unless the client has delegated that step to the partner in the grant (D17). Step-up MFA (P12) applies either way.</t>
        </is>
      </c>
      <c r="F724" t="inlineStr">
        <is>
          <t>Not started</t>
        </is>
      </c>
      <c r="H724">
        <f>IF(G724&lt;&gt;"",G724,F724)</f>
        <v/>
      </c>
      <c r="I724" t="n">
        <v>0</v>
      </c>
      <c r="J724" t="n">
        <v>0</v>
      </c>
      <c r="K724" t="n">
        <v>0</v>
      </c>
      <c r="L724" s="5" t="inlineStr"/>
      <c r="M724" s="5" t="n"/>
    </row>
    <row r="725">
      <c r="A725" t="inlineStr">
        <is>
          <t>YX-PTR-06</t>
        </is>
      </c>
      <c r="B725" t="inlineStr">
        <is>
          <t>P16</t>
        </is>
      </c>
      <c r="C725" t="inlineStr">
        <is>
          <t>YX-PTR</t>
        </is>
      </c>
      <c r="D725" t="inlineStr">
        <is>
          <t>6+</t>
        </is>
      </c>
      <c r="E725" s="5" t="inlineStr">
        <is>
          <t>Partner users must use MFA. Partners with 10+ users must use SSO or passkeys. Partner sessions follow the P12 desk session limits.</t>
        </is>
      </c>
      <c r="F725" t="inlineStr">
        <is>
          <t>Not started</t>
        </is>
      </c>
      <c r="H725">
        <f>IF(G725&lt;&gt;"",G725,F725)</f>
        <v/>
      </c>
      <c r="I725" t="n">
        <v>0</v>
      </c>
      <c r="J725" t="n">
        <v>0</v>
      </c>
      <c r="K725" t="n">
        <v>0</v>
      </c>
      <c r="L725" s="5" t="inlineStr"/>
      <c r="M725" s="5" t="n"/>
    </row>
    <row r="726">
      <c r="A726" t="inlineStr">
        <is>
          <t>YX-PTR-07</t>
        </is>
      </c>
      <c r="B726" t="inlineStr">
        <is>
          <t>P16</t>
        </is>
      </c>
      <c r="C726" t="inlineStr">
        <is>
          <t>YX-PTR</t>
        </is>
      </c>
      <c r="D726" t="inlineStr">
        <is>
          <t>6+</t>
        </is>
      </c>
      <c r="E726" s="5" t="inlineStr">
        <is>
          <t>The cross-client dashboard shows only statuses, counts and due dates from each client's partner status feed; no personal data leaves a client tenant for the dashboard.</t>
        </is>
      </c>
      <c r="F726" t="inlineStr">
        <is>
          <t>Not started</t>
        </is>
      </c>
      <c r="H726">
        <f>IF(G726&lt;&gt;"",G726,F726)</f>
        <v/>
      </c>
      <c r="I726" t="n">
        <v>0</v>
      </c>
      <c r="J726" t="n">
        <v>0</v>
      </c>
      <c r="K726" t="n">
        <v>0</v>
      </c>
      <c r="L726" s="5" t="inlineStr"/>
      <c r="M726" s="5" t="n"/>
    </row>
    <row r="727">
      <c r="A727" t="inlineStr">
        <is>
          <t>YX-PTR-08</t>
        </is>
      </c>
      <c r="B727" t="inlineStr">
        <is>
          <t>P16</t>
        </is>
      </c>
      <c r="C727" t="inlineStr">
        <is>
          <t>YX-PTR</t>
        </is>
      </c>
      <c r="D727" t="inlineStr">
        <is>
          <t>6+</t>
        </is>
      </c>
      <c r="E727" s="5" t="inlineStr">
        <is>
          <t>Every partner-created tenant must have a named client contact invited at creation. Live payroll can't run until that contact has accepted, whichever ownership model is chosen.</t>
        </is>
      </c>
      <c r="F727" t="inlineStr">
        <is>
          <t>Not started</t>
        </is>
      </c>
      <c r="H727">
        <f>IF(G727&lt;&gt;"",G727,F727)</f>
        <v/>
      </c>
      <c r="I727" t="n">
        <v>0</v>
      </c>
      <c r="J727" t="n">
        <v>0</v>
      </c>
      <c r="K727" t="n">
        <v>0</v>
      </c>
      <c r="L727" s="5" t="inlineStr"/>
      <c r="M727" s="5" t="n"/>
    </row>
    <row r="728">
      <c r="A728" t="inlineStr">
        <is>
          <t>YX-PTR-09</t>
        </is>
      </c>
      <c r="B728" t="inlineStr">
        <is>
          <t>P16</t>
        </is>
      </c>
      <c r="C728" t="inlineStr">
        <is>
          <t>YX-PTR</t>
        </is>
      </c>
      <c r="D728" t="inlineStr">
        <is>
          <t>6+</t>
        </is>
      </c>
      <c r="E728" s="5" t="inlineStr">
        <is>
          <t>Partner templates are copied into a client, never shared live, so one client's change never affects another.</t>
        </is>
      </c>
      <c r="F728" t="inlineStr">
        <is>
          <t>UI prototype only</t>
        </is>
      </c>
      <c r="H728">
        <f>IF(G728&lt;&gt;"",G728,F728)</f>
        <v/>
      </c>
      <c r="I728" t="n">
        <v>0</v>
      </c>
      <c r="J728" t="n">
        <v>0</v>
      </c>
      <c r="K728" t="n">
        <v>2</v>
      </c>
      <c r="L728" s="5" t="inlineStr"/>
      <c r="M728" s="5" t="n"/>
    </row>
    <row r="729">
      <c r="A729" t="inlineStr">
        <is>
          <t>YX-PTR-10</t>
        </is>
      </c>
      <c r="B729" t="inlineStr">
        <is>
          <t>P16</t>
        </is>
      </c>
      <c r="C729" t="inlineStr">
        <is>
          <t>YX-PTR</t>
        </is>
      </c>
      <c r="D729" t="inlineStr">
        <is>
          <t>6+</t>
        </is>
      </c>
      <c r="E729" s="5" t="inlineStr">
        <is>
          <t>Reseller hierarchy is at most two levels. Commissions and reports roll up, but a master partner never gets client data access through a sub-partner.</t>
        </is>
      </c>
      <c r="F729" t="inlineStr">
        <is>
          <t>Not started</t>
        </is>
      </c>
      <c r="H729">
        <f>IF(G729&lt;&gt;"",G729,F729)</f>
        <v/>
      </c>
      <c r="I729" t="n">
        <v>0</v>
      </c>
      <c r="J729" t="n">
        <v>0</v>
      </c>
      <c r="K729" t="n">
        <v>0</v>
      </c>
      <c r="L729" s="5" t="inlineStr"/>
      <c r="M729" s="5" t="n"/>
    </row>
    <row r="730">
      <c r="A730" t="inlineStr">
        <is>
          <t>YX-PTR-11</t>
        </is>
      </c>
      <c r="B730" t="inlineStr">
        <is>
          <t>P16</t>
        </is>
      </c>
      <c r="C730" t="inlineStr">
        <is>
          <t>YX-PTR</t>
        </is>
      </c>
      <c r="D730" t="inlineStr">
        <is>
          <t>6+</t>
        </is>
      </c>
      <c r="E730" s="5" t="inlineStr">
        <is>
          <t>Billing per client follows Q3: direct billing + referral commission, or partner-billed consolidated invoice at a partner discount. The client's YukthiX price is never above the published D18 price; commission and discount rates must pass YX-BILL-09; every commission line links to the client invoice it came from. If a partner-billed account goes unpaid, the client may switch to direct billing and is not suspended for the partner's debt.</t>
        </is>
      </c>
      <c r="F730" t="inlineStr">
        <is>
          <t>UI prototype only</t>
        </is>
      </c>
      <c r="H730">
        <f>IF(G730&lt;&gt;"",G730,F730)</f>
        <v/>
      </c>
      <c r="I730" t="n">
        <v>0</v>
      </c>
      <c r="J730" t="n">
        <v>0</v>
      </c>
      <c r="K730" t="n">
        <v>2</v>
      </c>
      <c r="L730" s="5" t="inlineStr"/>
      <c r="M730" s="5" t="n"/>
    </row>
    <row r="731">
      <c r="A731" t="inlineStr">
        <is>
          <t>YX-PTR-12</t>
        </is>
      </c>
      <c r="B731" t="inlineStr">
        <is>
          <t>P16</t>
        </is>
      </c>
      <c r="C731" t="inlineStr">
        <is>
          <t>YX-PTR</t>
        </is>
      </c>
      <c r="D731" t="inlineStr">
        <is>
          <t>6+</t>
        </is>
      </c>
      <c r="E731" s="5" t="inlineStr">
        <is>
          <t>When a link ends or ownership moves to the client, the partner keeps only its own work records (tasks, invoices, commission). Client data, documents and templates copied into the client stay with the client.</t>
        </is>
      </c>
      <c r="F731" t="inlineStr">
        <is>
          <t>Not started</t>
        </is>
      </c>
      <c r="H731">
        <f>IF(G731&lt;&gt;"",G731,F731)</f>
        <v/>
      </c>
      <c r="I731" t="n">
        <v>0</v>
      </c>
      <c r="J731" t="n">
        <v>0</v>
      </c>
      <c r="K731" t="n">
        <v>0</v>
      </c>
      <c r="L731" s="5" t="inlineStr"/>
      <c r="M731" s="5" t="n"/>
    </row>
    <row r="732">
      <c r="A732" t="inlineStr">
        <is>
          <t>YX-PTR-13</t>
        </is>
      </c>
      <c r="B732" t="inlineStr">
        <is>
          <t>P16</t>
        </is>
      </c>
      <c r="C732" t="inlineStr">
        <is>
          <t>YX-PTR</t>
        </is>
      </c>
      <c r="D732" t="inlineStr">
        <is>
          <t>6+</t>
        </is>
      </c>
      <c r="E732" s="5" t="inlineStr">
        <is>
          <t>A partner-owned → client-owned transfer completes after the agreement's notice period (never more than 30 days) and the partner can't block it; open runs are completed or handed over, and the billing account moves with ownership. Every transfer is verified and audited.</t>
        </is>
      </c>
      <c r="F732" t="inlineStr">
        <is>
          <t>UI prototype only</t>
        </is>
      </c>
      <c r="H732">
        <f>IF(G732&lt;&gt;"",G732,F732)</f>
        <v/>
      </c>
      <c r="I732" t="n">
        <v>0</v>
      </c>
      <c r="J732" t="n">
        <v>0</v>
      </c>
      <c r="K732" t="n">
        <v>2</v>
      </c>
      <c r="L732" s="5" t="inlineStr"/>
      <c r="M732" s="5" t="n"/>
    </row>
    <row r="733">
      <c r="A733" t="inlineStr">
        <is>
          <t>YX-PTR-14</t>
        </is>
      </c>
      <c r="B733" t="inlineStr">
        <is>
          <t>P16</t>
        </is>
      </c>
      <c r="C733" t="inlineStr">
        <is>
          <t>YX-PTR</t>
        </is>
      </c>
      <c r="D733" t="inlineStr">
        <is>
          <t>6+</t>
        </is>
      </c>
      <c r="E733" s="5" t="inlineStr">
        <is>
          <t>YukthiX does not run payroll or filings for clients as a service; managed payroll is delivered only by verified partners (Q4). The partner directory lists verified partners only, and ordering never depends on payment to YukthiX.</t>
        </is>
      </c>
      <c r="F733" t="inlineStr">
        <is>
          <t>Not started</t>
        </is>
      </c>
      <c r="H733">
        <f>IF(G733&lt;&gt;"",G733,F733)</f>
        <v/>
      </c>
      <c r="I733" t="n">
        <v>0</v>
      </c>
      <c r="J733" t="n">
        <v>0</v>
      </c>
      <c r="K733" t="n">
        <v>0</v>
      </c>
      <c r="L733" s="5" t="inlineStr"/>
      <c r="M733" s="5" t="n"/>
    </row>
    <row r="734">
      <c r="A734" t="inlineStr">
        <is>
          <t>YX-SRCH-01</t>
        </is>
      </c>
      <c r="B734" t="inlineStr">
        <is>
          <t>P17</t>
        </is>
      </c>
      <c r="C734" t="inlineStr">
        <is>
          <t>YX-SRCH</t>
        </is>
      </c>
      <c r="D734" t="inlineStr">
        <is>
          <t>6+</t>
        </is>
      </c>
      <c r="E734" s="5" t="inlineStr">
        <is>
          <t>Every search result, count, snippet and suggestion is filtered at query time by tenant RLS and the viewer's P02 scope for that source; a result is returned only if the viewer could open the record through its own screen.</t>
        </is>
      </c>
      <c r="F734" t="inlineStr">
        <is>
          <t>Not started</t>
        </is>
      </c>
      <c r="H734">
        <f>IF(G734&lt;&gt;"",G734,F734)</f>
        <v/>
      </c>
      <c r="I734" t="n">
        <v>0</v>
      </c>
      <c r="J734" t="n">
        <v>0</v>
      </c>
      <c r="K734" t="n">
        <v>0</v>
      </c>
      <c r="L734" s="5" t="inlineStr"/>
      <c r="M734" s="5" t="n"/>
    </row>
    <row r="735">
      <c r="A735" t="inlineStr">
        <is>
          <t>YX-SRCH-02</t>
        </is>
      </c>
      <c r="B735" t="inlineStr">
        <is>
          <t>P17</t>
        </is>
      </c>
      <c r="C735" t="inlineStr">
        <is>
          <t>YX-SRCH</t>
        </is>
      </c>
      <c r="D735" t="inlineStr">
        <is>
          <t>6+</t>
        </is>
      </c>
      <c r="E735" s="5" t="inlineStr">
        <is>
          <t>The search index is per tenant (organization_id + RLS, or a per-tenant index / filtered alias in any future engine); no query, ranking signal or suggestion uses another tenant's data.</t>
        </is>
      </c>
      <c r="F735" t="inlineStr">
        <is>
          <t>Not started</t>
        </is>
      </c>
      <c r="H735">
        <f>IF(G735&lt;&gt;"",G735,F735)</f>
        <v/>
      </c>
      <c r="I735" t="n">
        <v>0</v>
      </c>
      <c r="J735" t="n">
        <v>0</v>
      </c>
      <c r="K735" t="n">
        <v>0</v>
      </c>
      <c r="L735" s="5" t="inlineStr"/>
      <c r="M735" s="5" t="n"/>
    </row>
    <row r="736">
      <c r="A736" t="inlineStr">
        <is>
          <t>YX-SRCH-03</t>
        </is>
      </c>
      <c r="B736" t="inlineStr">
        <is>
          <t>P17</t>
        </is>
      </c>
      <c r="C736" t="inlineStr">
        <is>
          <t>YX-SRCH</t>
        </is>
      </c>
      <c r="D736" t="inlineStr">
        <is>
          <t>6+</t>
        </is>
      </c>
      <c r="E736" s="5" t="inlineStr">
        <is>
          <t>Indexed text is stored per P02 field class; a query matches only the classes the viewer holds for that record's scope, and snippets never show a value of a class the viewer lacks.</t>
        </is>
      </c>
      <c r="F736" t="inlineStr">
        <is>
          <t>Not started</t>
        </is>
      </c>
      <c r="H736">
        <f>IF(G736&lt;&gt;"",G736,F736)</f>
        <v/>
      </c>
      <c r="I736" t="n">
        <v>0</v>
      </c>
      <c r="J736" t="n">
        <v>0</v>
      </c>
      <c r="K736" t="n">
        <v>0</v>
      </c>
      <c r="L736" s="5" t="inlineStr"/>
      <c r="M736" s="5" t="n"/>
    </row>
    <row r="737">
      <c r="A737" t="inlineStr">
        <is>
          <t>YX-SRCH-04</t>
        </is>
      </c>
      <c r="B737" t="inlineStr">
        <is>
          <t>P17</t>
        </is>
      </c>
      <c r="C737" t="inlineStr">
        <is>
          <t>YX-SRCH</t>
        </is>
      </c>
      <c r="D737" t="inlineStr">
        <is>
          <t>6+</t>
        </is>
      </c>
      <c r="E737" s="5" t="inlineStr">
        <is>
          <t>Special-class fields and restricted-area narratives are never indexed as text; a Special identifier may be indexed only as a keyed hash of the full value, matched only for roles that hold that field, with the result showing the masked value; the match is audited as a view (P08).</t>
        </is>
      </c>
      <c r="F737" t="inlineStr">
        <is>
          <t>Not started</t>
        </is>
      </c>
      <c r="H737">
        <f>IF(G737&lt;&gt;"",G737,F737)</f>
        <v/>
      </c>
      <c r="I737" t="n">
        <v>0</v>
      </c>
      <c r="J737" t="n">
        <v>0</v>
      </c>
      <c r="K737" t="n">
        <v>0</v>
      </c>
      <c r="L737" s="5" t="inlineStr"/>
      <c r="M737" s="5" t="n"/>
    </row>
    <row r="738">
      <c r="A738" t="inlineStr">
        <is>
          <t>YX-SRCH-05</t>
        </is>
      </c>
      <c r="B738" t="inlineStr">
        <is>
          <t>P17</t>
        </is>
      </c>
      <c r="C738" t="inlineStr">
        <is>
          <t>YX-SRCH</t>
        </is>
      </c>
      <c r="D738" t="inlineStr">
        <is>
          <t>6+</t>
        </is>
      </c>
      <c r="E738" s="5" t="inlineStr">
        <is>
          <t>Restricted-area records (YX-SEC-10) appear only to their members, matched on reference and neutral title only; for everyone else search behaves exactly as for a record that does not exist.</t>
        </is>
      </c>
      <c r="F738" t="inlineStr">
        <is>
          <t>Not started</t>
        </is>
      </c>
      <c r="H738">
        <f>IF(G738&lt;&gt;"",G738,F738)</f>
        <v/>
      </c>
      <c r="I738" t="n">
        <v>0</v>
      </c>
      <c r="J738" t="n">
        <v>0</v>
      </c>
      <c r="K738" t="n">
        <v>0</v>
      </c>
      <c r="L738" s="5" t="inlineStr"/>
      <c r="M738" s="5" t="n"/>
    </row>
    <row r="739">
      <c r="A739" t="inlineStr">
        <is>
          <t>YX-SRCH-06</t>
        </is>
      </c>
      <c r="B739" t="inlineStr">
        <is>
          <t>P17</t>
        </is>
      </c>
      <c r="C739" t="inlineStr">
        <is>
          <t>YX-SRCH</t>
        </is>
      </c>
      <c r="D739" t="inlineStr">
        <is>
          <t>6+</t>
        </is>
      </c>
      <c r="E739" s="5" t="inlineStr">
        <is>
          <t>A change to a record's field class, restricted flag or scope keys re-indexes that record in the same transaction; other index updates follow domain events within 5 seconds (target). Permission changes take effect on the next query without re-indexing.</t>
        </is>
      </c>
      <c r="F739" t="inlineStr">
        <is>
          <t>Not started</t>
        </is>
      </c>
      <c r="H739">
        <f>IF(G739&lt;&gt;"",G739,F739)</f>
        <v/>
      </c>
      <c r="I739" t="n">
        <v>0</v>
      </c>
      <c r="J739" t="n">
        <v>0</v>
      </c>
      <c r="K739" t="n">
        <v>0</v>
      </c>
      <c r="L739" s="5" t="inlineStr"/>
      <c r="M739" s="5" t="n"/>
    </row>
    <row r="740">
      <c r="A740" t="inlineStr">
        <is>
          <t>YX-SRCH-07</t>
        </is>
      </c>
      <c r="B740" t="inlineStr">
        <is>
          <t>P17</t>
        </is>
      </c>
      <c r="C740" t="inlineStr">
        <is>
          <t>YX-SRCH</t>
        </is>
      </c>
      <c r="D740" t="inlineStr">
        <is>
          <t>6+</t>
        </is>
      </c>
      <c r="E740" s="5" t="inlineStr">
        <is>
          <t>The palette lists only actions the viewer holds the permission for and whose product / add-on is enabled; an action opens its sheet, inbox or wizard and never executes an irreversible step directly (APX-D §6.4).</t>
        </is>
      </c>
      <c r="F740" t="inlineStr">
        <is>
          <t>Not started</t>
        </is>
      </c>
      <c r="H740">
        <f>IF(G740&lt;&gt;"",G740,F740)</f>
        <v/>
      </c>
      <c r="I740" t="n">
        <v>0</v>
      </c>
      <c r="J740" t="n">
        <v>0</v>
      </c>
      <c r="K740" t="n">
        <v>0</v>
      </c>
      <c r="L740" s="5" t="inlineStr"/>
      <c r="M740" s="5" t="n"/>
    </row>
    <row r="741">
      <c r="A741" t="inlineStr">
        <is>
          <t>YX-SRCH-08</t>
        </is>
      </c>
      <c r="B741" t="inlineStr">
        <is>
          <t>P17</t>
        </is>
      </c>
      <c r="C741" t="inlineStr">
        <is>
          <t>YX-SRCH</t>
        </is>
      </c>
      <c r="D741" t="inlineStr">
        <is>
          <t>6+</t>
        </is>
      </c>
      <c r="E741" s="5" t="inlineStr">
        <is>
          <t>An exact identifier (employee code, request / ticket / case reference, candidate email or phone) typed in full returns that record first when visible.</t>
        </is>
      </c>
      <c r="F741" t="inlineStr">
        <is>
          <t>Not started</t>
        </is>
      </c>
      <c r="H741">
        <f>IF(G741&lt;&gt;"",G741,F741)</f>
        <v/>
      </c>
      <c r="I741" t="n">
        <v>0</v>
      </c>
      <c r="J741" t="n">
        <v>0</v>
      </c>
      <c r="K741" t="n">
        <v>0</v>
      </c>
      <c r="L741" s="5" t="inlineStr"/>
      <c r="M741" s="5" t="n"/>
    </row>
    <row r="742">
      <c r="A742" t="inlineStr">
        <is>
          <t>YX-SRCH-09</t>
        </is>
      </c>
      <c r="B742" t="inlineStr">
        <is>
          <t>P17</t>
        </is>
      </c>
      <c r="C742" t="inlineStr">
        <is>
          <t>YX-SRCH</t>
        </is>
      </c>
      <c r="D742" t="inlineStr">
        <is>
          <t>6+</t>
        </is>
      </c>
      <c r="E742" s="5" t="inlineStr">
        <is>
          <t>Name matching tolerates up to two typos and Indian transliteration / phonetic variants and matches across Latin and Indic scripts; actions, screen names and help topics are searchable in every P04 employee language.</t>
        </is>
      </c>
      <c r="F742" t="inlineStr">
        <is>
          <t>Not started</t>
        </is>
      </c>
      <c r="H742">
        <f>IF(G742&lt;&gt;"",G742,F742)</f>
        <v/>
      </c>
      <c r="I742" t="n">
        <v>0</v>
      </c>
      <c r="J742" t="n">
        <v>0</v>
      </c>
      <c r="K742" t="n">
        <v>0</v>
      </c>
      <c r="L742" s="5" t="inlineStr"/>
      <c r="M742" s="5" t="n"/>
    </row>
    <row r="743">
      <c r="A743" t="inlineStr">
        <is>
          <t>YX-SRCH-10</t>
        </is>
      </c>
      <c r="B743" t="inlineStr">
        <is>
          <t>P17</t>
        </is>
      </c>
      <c r="C743" t="inlineStr">
        <is>
          <t>YX-SRCH</t>
        </is>
      </c>
      <c r="D743" t="inlineStr">
        <is>
          <t>6+</t>
        </is>
      </c>
      <c r="E743" s="5" t="inlineStr">
        <is>
          <t>Document content is indexed only for document types the company has switched on and never for types classed Confidential or Special in P05; metadata search is always on.</t>
        </is>
      </c>
      <c r="F743" t="inlineStr">
        <is>
          <t>Not started</t>
        </is>
      </c>
      <c r="H743">
        <f>IF(G743&lt;&gt;"",G743,F743)</f>
        <v/>
      </c>
      <c r="I743" t="n">
        <v>0</v>
      </c>
      <c r="J743" t="n">
        <v>0</v>
      </c>
      <c r="K743" t="n">
        <v>0</v>
      </c>
      <c r="L743" s="5" t="inlineStr"/>
      <c r="M743" s="5" t="n"/>
    </row>
    <row r="744">
      <c r="A744" t="inlineStr">
        <is>
          <t>YX-SRCH-11</t>
        </is>
      </c>
      <c r="B744" t="inlineStr">
        <is>
          <t>P17</t>
        </is>
      </c>
      <c r="C744" t="inlineStr">
        <is>
          <t>YX-SRCH</t>
        </is>
      </c>
      <c r="D744" t="inlineStr">
        <is>
          <t>6+</t>
        </is>
      </c>
      <c r="E744" s="5" t="inlineStr">
        <is>
          <t>Synonyms ship as a labelled YukthiX starter list the company extends (D17); ranking uses only the tenant's data and the user's own history.</t>
        </is>
      </c>
      <c r="F744" t="inlineStr">
        <is>
          <t>Not started</t>
        </is>
      </c>
      <c r="H744">
        <f>IF(G744&lt;&gt;"",G744,F744)</f>
        <v/>
      </c>
      <c r="I744" t="n">
        <v>0</v>
      </c>
      <c r="J744" t="n">
        <v>0</v>
      </c>
      <c r="K744" t="n">
        <v>0</v>
      </c>
      <c r="L744" s="5" t="inlineStr"/>
      <c r="M744" s="5" t="n"/>
    </row>
    <row r="745">
      <c r="A745" t="inlineStr">
        <is>
          <t>YX-SRCH-12</t>
        </is>
      </c>
      <c r="B745" t="inlineStr">
        <is>
          <t>P17</t>
        </is>
      </c>
      <c r="C745" t="inlineStr">
        <is>
          <t>YX-SRCH</t>
        </is>
      </c>
      <c r="D745" t="inlineStr">
        <is>
          <t>6+</t>
        </is>
      </c>
      <c r="E745" s="5" t="inlineStr">
        <is>
          <t>Search is an API route like any other (YX-API-02): the same results for our apps and API clients with the same permissions; API keys search only the sources and field classes their scope lists (YX-SEC-22).</t>
        </is>
      </c>
      <c r="F745" t="inlineStr">
        <is>
          <t>Not started</t>
        </is>
      </c>
      <c r="H745">
        <f>IF(G745&lt;&gt;"",G745,F745)</f>
        <v/>
      </c>
      <c r="I745" t="n">
        <v>0</v>
      </c>
      <c r="J745" t="n">
        <v>0</v>
      </c>
      <c r="K745" t="n">
        <v>0</v>
      </c>
      <c r="L745" s="5" t="inlineStr"/>
      <c r="M745" s="5" t="n"/>
    </row>
    <row r="746">
      <c r="A746" t="inlineStr">
        <is>
          <t>YX-CUST-01</t>
        </is>
      </c>
      <c r="B746" t="inlineStr">
        <is>
          <t>P18</t>
        </is>
      </c>
      <c r="C746" t="inlineStr">
        <is>
          <t>YX-CUST</t>
        </is>
      </c>
      <c r="D746" t="inlineStr">
        <is>
          <t>6+</t>
        </is>
      </c>
      <c r="E746" s="5" t="inlineStr">
        <is>
          <t>Every custom field has exactly one P02 field class; reads, writes, API, exports, reports, search and AI apply it exactly as for core fields. Fields whose label or pick-list matches a recognised special category (health, disability, biometrics, religion, caste, Aadhaar, sexual orientation) must be Special.</t>
        </is>
      </c>
      <c r="F746" t="inlineStr">
        <is>
          <t>Not started</t>
        </is>
      </c>
      <c r="H746">
        <f>IF(G746&lt;&gt;"",G746,F746)</f>
        <v/>
      </c>
      <c r="I746" t="n">
        <v>0</v>
      </c>
      <c r="J746" t="n">
        <v>0</v>
      </c>
      <c r="K746" t="n">
        <v>0</v>
      </c>
      <c r="L746" s="5" t="inlineStr"/>
      <c r="M746" s="5" t="n"/>
    </row>
    <row r="747">
      <c r="A747" t="inlineStr">
        <is>
          <t>YX-CUST-02</t>
        </is>
      </c>
      <c r="B747" t="inlineStr">
        <is>
          <t>P18</t>
        </is>
      </c>
      <c r="C747" t="inlineStr">
        <is>
          <t>YX-CUST</t>
        </is>
      </c>
      <c r="D747" t="inlineStr">
        <is>
          <t>6+</t>
        </is>
      </c>
      <c r="E747" s="5" t="inlineStr">
        <is>
          <t>Every custom object declares a record scope model (linked employee / org unit / owner / restricted); P02 visibility is computed from it server-side; restricted objects behave like cases (members only; "not found" for others, YX-SEC-10).</t>
        </is>
      </c>
      <c r="F747" t="inlineStr">
        <is>
          <t>Not started</t>
        </is>
      </c>
      <c r="H747">
        <f>IF(G747&lt;&gt;"",G747,F747)</f>
        <v/>
      </c>
      <c r="I747" t="n">
        <v>0</v>
      </c>
      <c r="J747" t="n">
        <v>0</v>
      </c>
      <c r="K747" t="n">
        <v>0</v>
      </c>
      <c r="L747" s="5" t="inlineStr"/>
      <c r="M747" s="5" t="n"/>
    </row>
    <row r="748">
      <c r="A748" t="inlineStr">
        <is>
          <t>YX-CUST-03</t>
        </is>
      </c>
      <c r="B748" t="inlineStr">
        <is>
          <t>P18</t>
        </is>
      </c>
      <c r="C748" t="inlineStr">
        <is>
          <t>YX-CUST</t>
        </is>
      </c>
      <c r="D748" t="inlineStr">
        <is>
          <t>6+</t>
        </is>
      </c>
      <c r="E748" s="5" t="inlineStr">
        <is>
          <t>Every active custom object is automatically exposed through the public REST and GraphQL API, documented in the tenant's generated OpenAPI, and emits custom.&lt;api_name&gt;.created / updated / deleted events, with all P11 rules (RLS, scopes, field classes, idempotency, rate limits, audit, ID-only webhooks for Confidential / Special) applied.</t>
        </is>
      </c>
      <c r="F748" t="inlineStr">
        <is>
          <t>Not started</t>
        </is>
      </c>
      <c r="H748">
        <f>IF(G748&lt;&gt;"",G748,F748)</f>
        <v/>
      </c>
      <c r="I748" t="n">
        <v>0</v>
      </c>
      <c r="J748" t="n">
        <v>0</v>
      </c>
      <c r="K748" t="n">
        <v>0</v>
      </c>
      <c r="L748" s="5" t="inlineStr"/>
      <c r="M748" s="5" t="n"/>
    </row>
    <row r="749">
      <c r="A749" t="inlineStr">
        <is>
          <t>YX-CUST-04</t>
        </is>
      </c>
      <c r="B749" t="inlineStr">
        <is>
          <t>P18</t>
        </is>
      </c>
      <c r="C749" t="inlineStr">
        <is>
          <t>YX-CUST</t>
        </is>
      </c>
      <c r="D749" t="inlineStr">
        <is>
          <t>6+</t>
        </is>
      </c>
      <c r="E749" s="5" t="inlineStr">
        <is>
          <t>A layout controls presentation only: it never grants or removes access, cannot hide or un-require a field a YX rule or the law requires, cannot remove locked system sections (audit, approval trail), and conditional rules are enforced on the server as well as the client.</t>
        </is>
      </c>
      <c r="F749" t="inlineStr">
        <is>
          <t>Not started</t>
        </is>
      </c>
      <c r="H749">
        <f>IF(G749&lt;&gt;"",G749,F749)</f>
        <v/>
      </c>
      <c r="I749" t="n">
        <v>0</v>
      </c>
      <c r="J749" t="n">
        <v>0</v>
      </c>
      <c r="K749" t="n">
        <v>0</v>
      </c>
      <c r="L749" s="5" t="inlineStr"/>
      <c r="M749" s="5" t="n"/>
    </row>
    <row r="750">
      <c r="A750" t="inlineStr">
        <is>
          <t>YX-CUST-05</t>
        </is>
      </c>
      <c r="B750" t="inlineStr">
        <is>
          <t>P18</t>
        </is>
      </c>
      <c r="C750" t="inlineStr">
        <is>
          <t>YX-CUST</t>
        </is>
      </c>
      <c r="D750" t="inlineStr">
        <is>
          <t>6+</t>
        </is>
      </c>
      <c r="E750" s="5" t="inlineStr">
        <is>
          <t>Custom request types run on the P03 engine with the same approval, delegation, proxy, SLA, self-approval and audit rules as built-in types; their effects are limited to custom-object records, notifications, or submitting an input to a module's own API for that module's validation; they never write governed payroll, leave, attendance or statutory data directly.</t>
        </is>
      </c>
      <c r="F750" t="inlineStr">
        <is>
          <t>Not started</t>
        </is>
      </c>
      <c r="H750">
        <f>IF(G750&lt;&gt;"",G750,F750)</f>
        <v/>
      </c>
      <c r="I750" t="n">
        <v>0</v>
      </c>
      <c r="J750" t="n">
        <v>0</v>
      </c>
      <c r="K750" t="n">
        <v>0</v>
      </c>
      <c r="L750" s="5" t="inlineStr"/>
      <c r="M750" s="5" t="n"/>
    </row>
    <row r="751">
      <c r="A751" t="inlineStr">
        <is>
          <t>YX-CUST-06</t>
        </is>
      </c>
      <c r="B751" t="inlineStr">
        <is>
          <t>P18</t>
        </is>
      </c>
      <c r="C751" t="inlineStr">
        <is>
          <t>YX-CUST</t>
        </is>
      </c>
      <c r="D751" t="inlineStr">
        <is>
          <t>6+</t>
        </is>
      </c>
      <c r="E751" s="5" t="inlineStr">
        <is>
          <t>Custom objects are base entities in the P09 report builder and metric layer; custom calculated metrics inherit the most restrictive class of their inputs and obey small-group suppression (YX-MET-04, YX-MET-11).</t>
        </is>
      </c>
      <c r="F751" t="inlineStr">
        <is>
          <t>Not started</t>
        </is>
      </c>
      <c r="H751">
        <f>IF(G751&lt;&gt;"",G751,F751)</f>
        <v/>
      </c>
      <c r="I751" t="n">
        <v>0</v>
      </c>
      <c r="J751" t="n">
        <v>0</v>
      </c>
      <c r="K751" t="n">
        <v>0</v>
      </c>
      <c r="L751" s="5" t="inlineStr"/>
      <c r="M751" s="5" t="n"/>
    </row>
    <row r="752">
      <c r="A752" t="inlineStr">
        <is>
          <t>YX-CUST-07</t>
        </is>
      </c>
      <c r="B752" t="inlineStr">
        <is>
          <t>P18</t>
        </is>
      </c>
      <c r="C752" t="inlineStr">
        <is>
          <t>YX-CUST</t>
        </is>
      </c>
      <c r="D752" t="inlineStr">
        <is>
          <t>6+</t>
        </is>
      </c>
      <c r="E752" s="5" t="inlineStr">
        <is>
          <t>Metadata changes are versioned and diffable; destructive changes (delete object / field, type change) require an export offer, a typed confirmation and keep data archived for the audit period; API names are immutable once active.</t>
        </is>
      </c>
      <c r="F752" t="inlineStr">
        <is>
          <t>Not started</t>
        </is>
      </c>
      <c r="H752">
        <f>IF(G752&lt;&gt;"",G752,F752)</f>
        <v/>
      </c>
      <c r="I752" t="n">
        <v>0</v>
      </c>
      <c r="J752" t="n">
        <v>0</v>
      </c>
      <c r="K752" t="n">
        <v>0</v>
      </c>
      <c r="L752" s="5" t="inlineStr"/>
      <c r="M752" s="5" t="n"/>
    </row>
    <row r="753">
      <c r="A753" t="inlineStr">
        <is>
          <t>YX-CUST-08</t>
        </is>
      </c>
      <c r="B753" t="inlineStr">
        <is>
          <t>P18</t>
        </is>
      </c>
      <c r="C753" t="inlineStr">
        <is>
          <t>YX-CUST</t>
        </is>
      </c>
      <c r="D753" t="inlineStr">
        <is>
          <t>6+</t>
        </is>
      </c>
      <c r="E753" s="5" t="inlineStr">
        <is>
          <t>When "promotion required" is on, new or changed objects, fields and request types reach production only through a reviewed sandbox promotion (YX-MIG-10); every production metadata edit is audited with before / after (P08).</t>
        </is>
      </c>
      <c r="F753" t="inlineStr">
        <is>
          <t>Not started</t>
        </is>
      </c>
      <c r="H753">
        <f>IF(G753&lt;&gt;"",G753,F753)</f>
        <v/>
      </c>
      <c r="I753" t="n">
        <v>0</v>
      </c>
      <c r="J753" t="n">
        <v>0</v>
      </c>
      <c r="K753" t="n">
        <v>0</v>
      </c>
      <c r="L753" s="5" t="inlineStr"/>
      <c r="M753" s="5" t="n"/>
    </row>
    <row r="754">
      <c r="A754" t="inlineStr">
        <is>
          <t>YX-CUST-09</t>
        </is>
      </c>
      <c r="B754" t="inlineStr">
        <is>
          <t>P18</t>
        </is>
      </c>
      <c r="C754" t="inlineStr">
        <is>
          <t>YX-CUST</t>
        </is>
      </c>
      <c r="D754" t="inlineStr">
        <is>
          <t>6+</t>
        </is>
      </c>
      <c r="E754" s="5" t="inlineStr">
        <is>
          <t>Fair-use limits per tenant (objects, fields, layouts, request types, records) are shown on the usage page with 80 % / 100 % alerts (YX-BILL-07); exceeding them never blocks reading or exporting existing data; storage beyond fair use is the storage add-on (D18).</t>
        </is>
      </c>
      <c r="F754" t="inlineStr">
        <is>
          <t>Not started</t>
        </is>
      </c>
      <c r="H754">
        <f>IF(G754&lt;&gt;"",G754,F754)</f>
        <v/>
      </c>
      <c r="I754" t="n">
        <v>0</v>
      </c>
      <c r="J754" t="n">
        <v>0</v>
      </c>
      <c r="K754" t="n">
        <v>0</v>
      </c>
      <c r="L754" s="5" t="inlineStr"/>
      <c r="M754" s="5" t="n"/>
    </row>
    <row r="755">
      <c r="A755" t="inlineStr">
        <is>
          <t>YX-CUST-10</t>
        </is>
      </c>
      <c r="B755" t="inlineStr">
        <is>
          <t>P18</t>
        </is>
      </c>
      <c r="C755" t="inlineStr">
        <is>
          <t>YX-CUST</t>
        </is>
      </c>
      <c r="D755" t="inlineStr">
        <is>
          <t>6+</t>
        </is>
      </c>
      <c r="E755" s="5" t="inlineStr">
        <is>
          <t>Starter objects, layouts and request types are labelled "YukthiX starter — edit for your company" and are never updated in a tenant automatically; new starter versions are offered as a diff (D17).</t>
        </is>
      </c>
      <c r="F755" t="inlineStr">
        <is>
          <t>Not started</t>
        </is>
      </c>
      <c r="H755">
        <f>IF(G755&lt;&gt;"",G755,F755)</f>
        <v/>
      </c>
      <c r="I755" t="n">
        <v>0</v>
      </c>
      <c r="J755" t="n">
        <v>0</v>
      </c>
      <c r="K755" t="n">
        <v>0</v>
      </c>
      <c r="L755" s="5" t="inlineStr"/>
      <c r="M755" s="5" t="n"/>
    </row>
    <row r="756">
      <c r="A756" t="inlineStr">
        <is>
          <t>YX-CUST-11</t>
        </is>
      </c>
      <c r="B756" t="inlineStr">
        <is>
          <t>P18</t>
        </is>
      </c>
      <c r="C756" t="inlineStr">
        <is>
          <t>YX-CUST</t>
        </is>
      </c>
      <c r="D756" t="inlineStr">
        <is>
          <t>6+</t>
        </is>
      </c>
      <c r="E756" s="5" t="inlineStr">
        <is>
          <t>Custom fields may be used in any company rule through the P19 rule engine (policy values, eligibility, validation, routing, automations, company pay components). They never change statutory calculations, protected areas or locked periods (P19 YX-RULE-03 / 04 / 08). *(Amended 26 Sep 2026 by D19; previously core modules read custom fields only where their own doc allowed.)*</t>
        </is>
      </c>
      <c r="F756" t="inlineStr">
        <is>
          <t>Not started</t>
        </is>
      </c>
      <c r="H756">
        <f>IF(G756&lt;&gt;"",G756,F756)</f>
        <v/>
      </c>
      <c r="I756" t="n">
        <v>0</v>
      </c>
      <c r="J756" t="n">
        <v>0</v>
      </c>
      <c r="K756" t="n">
        <v>0</v>
      </c>
      <c r="L756" s="5" t="inlineStr"/>
      <c r="M756" s="5" t="n"/>
    </row>
    <row r="757">
      <c r="A757" t="inlineStr">
        <is>
          <t>YX-RULE-01</t>
        </is>
      </c>
      <c r="B757" t="inlineStr">
        <is>
          <t>P19</t>
        </is>
      </c>
      <c r="C757" t="inlineStr">
        <is>
          <t>YX-RULE</t>
        </is>
      </c>
      <c r="D757" t="inlineStr">
        <is>
          <t>6+</t>
        </is>
      </c>
      <c r="E757" s="5" t="inlineStr">
        <is>
          <t>Every company-variable decision in the product is a registered policy point answered by the rule engine. Modules ship starter rules, never hard-coded policy (D17 / D19).</t>
        </is>
      </c>
      <c r="F757" t="inlineStr">
        <is>
          <t>Not started</t>
        </is>
      </c>
      <c r="H757">
        <f>IF(G757&lt;&gt;"",G757,F757)</f>
        <v/>
      </c>
      <c r="I757" t="n">
        <v>0</v>
      </c>
      <c r="J757" t="n">
        <v>0</v>
      </c>
      <c r="K757" t="n">
        <v>0</v>
      </c>
      <c r="L757" s="5" t="inlineStr"/>
      <c r="M757" s="5" t="n"/>
    </row>
    <row r="758">
      <c r="A758" t="inlineStr">
        <is>
          <t>YX-RULE-02</t>
        </is>
      </c>
      <c r="B758" t="inlineStr">
        <is>
          <t>P19</t>
        </is>
      </c>
      <c r="C758" t="inlineStr">
        <is>
          <t>YX-RULE</t>
        </is>
      </c>
      <c r="D758" t="inlineStr">
        <is>
          <t>6+</t>
        </is>
      </c>
      <c r="E758" s="5" t="inlineStr">
        <is>
          <t>Rules may use any field the author is allowed to see: built-in, custom (P18) or related, referenced by fixed API names. A field used by an active rule can't be deleted or change type until the rule is updated.</t>
        </is>
      </c>
      <c r="F758" t="inlineStr">
        <is>
          <t>Not started</t>
        </is>
      </c>
      <c r="H758">
        <f>IF(G758&lt;&gt;"",G758,F758)</f>
        <v/>
      </c>
      <c r="I758" t="n">
        <v>0</v>
      </c>
      <c r="J758" t="n">
        <v>0</v>
      </c>
      <c r="K758" t="n">
        <v>0</v>
      </c>
      <c r="L758" s="5" t="inlineStr"/>
      <c r="M758" s="5" t="n"/>
    </row>
    <row r="759">
      <c r="A759" t="inlineStr">
        <is>
          <t>YX-RULE-03</t>
        </is>
      </c>
      <c r="B759" t="inlineStr">
        <is>
          <t>P19</t>
        </is>
      </c>
      <c r="C759" t="inlineStr">
        <is>
          <t>YX-RULE</t>
        </is>
      </c>
      <c r="D759" t="inlineStr">
        <is>
          <t>6+</t>
        </is>
      </c>
      <c r="E759" s="5" t="inlineStr">
        <is>
          <t>Where P07 defines a legal floor or cap, the legal value always applies over a company rule, per Q3. The builder warns at save with the number of people affected.</t>
        </is>
      </c>
      <c r="F759" t="inlineStr">
        <is>
          <t>UI prototype only</t>
        </is>
      </c>
      <c r="H759">
        <f>IF(G759&lt;&gt;"",G759,F759)</f>
        <v/>
      </c>
      <c r="I759" t="n">
        <v>0</v>
      </c>
      <c r="J759" t="n">
        <v>0</v>
      </c>
      <c r="K759" t="n">
        <v>2</v>
      </c>
      <c r="L759" s="5" t="inlineStr"/>
      <c r="M759" s="5" t="n"/>
    </row>
    <row r="760">
      <c r="A760" t="inlineStr">
        <is>
          <t>YX-RULE-04</t>
        </is>
      </c>
      <c r="B760" t="inlineStr">
        <is>
          <t>P19</t>
        </is>
      </c>
      <c r="C760" t="inlineStr">
        <is>
          <t>YX-RULE</t>
        </is>
      </c>
      <c r="D760" t="inlineStr">
        <is>
          <t>6+</t>
        </is>
      </c>
      <c r="E760" s="5" t="inlineStr">
        <is>
          <t>Protected areas (§3) can't be changed by any rule. Automations can update only company-owned and custom fields, never governed fields (statutory values, locked payroll, audit, consent).</t>
        </is>
      </c>
      <c r="F760" t="inlineStr">
        <is>
          <t>Not started</t>
        </is>
      </c>
      <c r="H760">
        <f>IF(G760&lt;&gt;"",G760,F760)</f>
        <v/>
      </c>
      <c r="I760" t="n">
        <v>0</v>
      </c>
      <c r="J760" t="n">
        <v>0</v>
      </c>
      <c r="K760" t="n">
        <v>0</v>
      </c>
      <c r="L760" s="5" t="inlineStr"/>
      <c r="M760" s="5" t="n"/>
    </row>
    <row r="761">
      <c r="A761" t="inlineStr">
        <is>
          <t>YX-RULE-05</t>
        </is>
      </c>
      <c r="B761" t="inlineStr">
        <is>
          <t>P19</t>
        </is>
      </c>
      <c r="C761" t="inlineStr">
        <is>
          <t>YX-RULE</t>
        </is>
      </c>
      <c r="D761" t="inlineStr">
        <is>
          <t>6+</t>
        </is>
      </c>
      <c r="E761" s="5" t="inlineStr">
        <is>
          <t>Expressions are type-checked at save, deterministic, side-effect free (except automation actions), time-limited and never call outside systems. External effects go only through P11 webhooks.</t>
        </is>
      </c>
      <c r="F761" t="inlineStr">
        <is>
          <t>Not started</t>
        </is>
      </c>
      <c r="H761">
        <f>IF(G761&lt;&gt;"",G761,F761)</f>
        <v/>
      </c>
      <c r="I761" t="n">
        <v>0</v>
      </c>
      <c r="J761" t="n">
        <v>0</v>
      </c>
      <c r="K761" t="n">
        <v>0</v>
      </c>
      <c r="L761" s="5" t="inlineStr"/>
      <c r="M761" s="5" t="n"/>
    </row>
    <row r="762">
      <c r="A762" t="inlineStr">
        <is>
          <t>YX-RULE-06</t>
        </is>
      </c>
      <c r="B762" t="inlineStr">
        <is>
          <t>P19</t>
        </is>
      </c>
      <c r="C762" t="inlineStr">
        <is>
          <t>YX-RULE</t>
        </is>
      </c>
      <c r="D762" t="inlineStr">
        <is>
          <t>6+</t>
        </is>
      </c>
      <c r="E762" s="5" t="inlineStr">
        <is>
          <t>Every rule change is versioned, effective-dated and audited. Changes to rules touching pay, leave balances, access or data visibility need a second-person approval (P02 maker ≠ checker).</t>
        </is>
      </c>
      <c r="F762" t="inlineStr">
        <is>
          <t>Not started</t>
        </is>
      </c>
      <c r="H762">
        <f>IF(G762&lt;&gt;"",G762,F762)</f>
        <v/>
      </c>
      <c r="I762" t="n">
        <v>0</v>
      </c>
      <c r="J762" t="n">
        <v>0</v>
      </c>
      <c r="K762" t="n">
        <v>0</v>
      </c>
      <c r="L762" s="5" t="inlineStr"/>
      <c r="M762" s="5" t="n"/>
    </row>
    <row r="763">
      <c r="A763" t="inlineStr">
        <is>
          <t>YX-RULE-07</t>
        </is>
      </c>
      <c r="B763" t="inlineStr">
        <is>
          <t>P19</t>
        </is>
      </c>
      <c r="C763" t="inlineStr">
        <is>
          <t>YX-RULE</t>
        </is>
      </c>
      <c r="D763" t="inlineStr">
        <is>
          <t>6+</t>
        </is>
      </c>
      <c r="E763" s="5" t="inlineStr">
        <is>
          <t>A rule can be activated only after an impact preview has been run on current data (or the sandbox). The preview result is stored with the version.</t>
        </is>
      </c>
      <c r="F763" t="inlineStr">
        <is>
          <t>UI prototype only</t>
        </is>
      </c>
      <c r="H763">
        <f>IF(G763&lt;&gt;"",G763,F763)</f>
        <v/>
      </c>
      <c r="I763" t="n">
        <v>0</v>
      </c>
      <c r="J763" t="n">
        <v>0</v>
      </c>
      <c r="K763" t="n">
        <v>2</v>
      </c>
      <c r="L763" s="5" t="inlineStr"/>
      <c r="M763" s="5" t="n"/>
    </row>
    <row r="764">
      <c r="A764" t="inlineStr">
        <is>
          <t>YX-RULE-08</t>
        </is>
      </c>
      <c r="B764" t="inlineStr">
        <is>
          <t>P19</t>
        </is>
      </c>
      <c r="C764" t="inlineStr">
        <is>
          <t>YX-RULE</t>
        </is>
      </c>
      <c r="D764" t="inlineStr">
        <is>
          <t>6+</t>
        </is>
      </c>
      <c r="E764" s="5" t="inlineStr">
        <is>
          <t>Back-dated changes follow P06 retro: arrears or balance adjustments are proposed, and locked periods and issued payslips are never rewritten (P08).</t>
        </is>
      </c>
      <c r="F764" t="inlineStr">
        <is>
          <t>Not started</t>
        </is>
      </c>
      <c r="H764">
        <f>IF(G764&lt;&gt;"",G764,F764)</f>
        <v/>
      </c>
      <c r="I764" t="n">
        <v>0</v>
      </c>
      <c r="J764" t="n">
        <v>0</v>
      </c>
      <c r="K764" t="n">
        <v>0</v>
      </c>
      <c r="L764" s="5" t="inlineStr"/>
      <c r="M764" s="5" t="n"/>
    </row>
    <row r="765">
      <c r="A765" t="inlineStr">
        <is>
          <t>YX-RULE-09</t>
        </is>
      </c>
      <c r="B765" t="inlineStr">
        <is>
          <t>P19</t>
        </is>
      </c>
      <c r="C765" t="inlineStr">
        <is>
          <t>YX-RULE</t>
        </is>
      </c>
      <c r="D765" t="inlineStr">
        <is>
          <t>6+</t>
        </is>
      </c>
      <c r="E765" s="5" t="inlineStr">
        <is>
          <t>Conflicts are resolved by most specific scope, then priority. Overlapping or unreachable rules are shown in the builder.</t>
        </is>
      </c>
      <c r="F765" t="inlineStr">
        <is>
          <t>UI prototype only</t>
        </is>
      </c>
      <c r="H765">
        <f>IF(G765&lt;&gt;"",G765,F765)</f>
        <v/>
      </c>
      <c r="I765" t="n">
        <v>0</v>
      </c>
      <c r="J765" t="n">
        <v>0</v>
      </c>
      <c r="K765" t="n">
        <v>2</v>
      </c>
      <c r="L765" s="5" t="inlineStr"/>
      <c r="M765" s="5" t="n"/>
    </row>
    <row r="766">
      <c r="A766" t="inlineStr">
        <is>
          <t>YX-RULE-10</t>
        </is>
      </c>
      <c r="B766" t="inlineStr">
        <is>
          <t>P19</t>
        </is>
      </c>
      <c r="C766" t="inlineStr">
        <is>
          <t>YX-RULE</t>
        </is>
      </c>
      <c r="D766" t="inlineStr">
        <is>
          <t>6+</t>
        </is>
      </c>
      <c r="E766" s="5" t="inlineStr">
        <is>
          <t>Any person affected by a rule can see a plain-language "why" for their result (e.g. leave entitlement), naming the rule and any legal adjustment, without seeing other people's data.</t>
        </is>
      </c>
      <c r="F766" t="inlineStr">
        <is>
          <t>Not started</t>
        </is>
      </c>
      <c r="H766">
        <f>IF(G766&lt;&gt;"",G766,F766)</f>
        <v/>
      </c>
      <c r="I766" t="n">
        <v>0</v>
      </c>
      <c r="J766" t="n">
        <v>0</v>
      </c>
      <c r="K766" t="n">
        <v>0</v>
      </c>
      <c r="L766" s="5" t="inlineStr"/>
      <c r="M766" s="5" t="n"/>
    </row>
    <row r="767">
      <c r="A767" t="inlineStr">
        <is>
          <t>YX-RULE-11</t>
        </is>
      </c>
      <c r="B767" t="inlineStr">
        <is>
          <t>P19</t>
        </is>
      </c>
      <c r="C767" t="inlineStr">
        <is>
          <t>YX-RULE</t>
        </is>
      </c>
      <c r="D767" t="inlineStr">
        <is>
          <t>6+</t>
        </is>
      </c>
      <c r="E767" s="5" t="inlineStr">
        <is>
          <t>Automations have loop protection (a rule's action can't re-trigger the same rule on the same record within one chain), daily run limits per tenant (fair use, D18), and retry with backoff. Every run is logged.</t>
        </is>
      </c>
      <c r="F767" t="inlineStr">
        <is>
          <t>Not started</t>
        </is>
      </c>
      <c r="H767">
        <f>IF(G767&lt;&gt;"",G767,F767)</f>
        <v/>
      </c>
      <c r="I767" t="n">
        <v>0</v>
      </c>
      <c r="J767" t="n">
        <v>0</v>
      </c>
      <c r="K767" t="n">
        <v>0</v>
      </c>
      <c r="L767" s="5" t="inlineStr"/>
      <c r="M767" s="5" t="n"/>
    </row>
    <row r="768">
      <c r="A768" t="inlineStr">
        <is>
          <t>YX-RULE-12</t>
        </is>
      </c>
      <c r="B768" t="inlineStr">
        <is>
          <t>P19</t>
        </is>
      </c>
      <c r="C768" t="inlineStr">
        <is>
          <t>YX-RULE</t>
        </is>
      </c>
      <c r="D768" t="inlineStr">
        <is>
          <t>6+</t>
        </is>
      </c>
      <c r="E768" s="5" t="inlineStr">
        <is>
          <t>Rules move between sandbox and production through P15 promotion when the company turns on "promotion required". Starter rules are never changed in a tenant by YukthiX updates without the company's acceptance (YX-CUST-10 pattern).</t>
        </is>
      </c>
      <c r="F768" t="inlineStr">
        <is>
          <t>Not started</t>
        </is>
      </c>
      <c r="H768">
        <f>IF(G768&lt;&gt;"",G768,F768)</f>
        <v/>
      </c>
      <c r="I768" t="n">
        <v>0</v>
      </c>
      <c r="J768" t="n">
        <v>0</v>
      </c>
      <c r="K768" t="n">
        <v>0</v>
      </c>
      <c r="L768" s="5" t="inlineStr"/>
      <c r="M768" s="5" t="n"/>
    </row>
    <row r="769">
      <c r="A769" t="inlineStr">
        <is>
          <t>YX-RULE-13</t>
        </is>
      </c>
      <c r="B769" t="inlineStr">
        <is>
          <t>P19</t>
        </is>
      </c>
      <c r="C769" t="inlineStr">
        <is>
          <t>YX-RULE</t>
        </is>
      </c>
      <c r="D769" t="inlineStr">
        <is>
          <t>6+</t>
        </is>
      </c>
      <c r="E769" s="5" t="inlineStr">
        <is>
          <t>Notice of change (J5). A rule version on a conditions-of-service policy point that changes the result for any worker (P07 worker classification) can't be activated with an effective date earlier than notice issue + the P07 IN.IR notice period (21 days, verify); the notice is generated and issued to affected workers and the recognised union; exceptions allowed by law (a settlement or award, M08 YX-CASE-18) are recorded with the reference. Law is the floor: a company may give a longer notice (D17).</t>
        </is>
      </c>
      <c r="F769" t="inlineStr">
        <is>
          <t>Tested, code not linked</t>
        </is>
      </c>
      <c r="H769">
        <f>IF(G769&lt;&gt;"",G769,F769)</f>
        <v/>
      </c>
      <c r="I769" t="n">
        <v>0</v>
      </c>
      <c r="J769" t="n">
        <v>2</v>
      </c>
      <c r="K769" t="n">
        <v>2</v>
      </c>
      <c r="L769" s="5" t="inlineStr">
        <is>
          <t>exam-app-org:packages/yx-ui/src/screens/platform-b/platform-b.test.tsx
exam-app-ws:packages/yx-ui/src/screens/platform-b/platform-b.test.tsx</t>
        </is>
      </c>
      <c r="M769" s="5" t="n"/>
    </row>
    <row r="770">
      <c r="A770" t="inlineStr">
        <is>
          <t>YX-RULE-14</t>
        </is>
      </c>
      <c r="B770" t="inlineStr">
        <is>
          <t>P19</t>
        </is>
      </c>
      <c r="C770" t="inlineStr">
        <is>
          <t>YX-RULE</t>
        </is>
      </c>
      <c r="D770" t="inlineStr">
        <is>
          <t>6+</t>
        </is>
      </c>
      <c r="E770" s="5" t="inlineStr">
        <is>
          <t>Policy link and re-acknowledgement (J5). Every active rule version names the M08 policy version it implements; activating a version marked material publishes / links the policy version and starts re-acknowledgement for the affected audience (YX-POL-01); a rule with no policy link can't be activated on an employee-facing policy point.</t>
        </is>
      </c>
      <c r="F770" t="inlineStr">
        <is>
          <t>Not started</t>
        </is>
      </c>
      <c r="H770">
        <f>IF(G770&lt;&gt;"",G770,F770)</f>
        <v/>
      </c>
      <c r="I770" t="n">
        <v>0</v>
      </c>
      <c r="J770" t="n">
        <v>0</v>
      </c>
      <c r="K770" t="n">
        <v>0</v>
      </c>
      <c r="L770" s="5" t="inlineStr"/>
      <c r="M770" s="5" t="n"/>
    </row>
    <row r="771">
      <c r="A771" t="inlineStr">
        <is>
          <t>YX-GRO-01</t>
        </is>
      </c>
      <c r="B771" t="inlineStr">
        <is>
          <t>P20</t>
        </is>
      </c>
      <c r="C771" t="inlineStr">
        <is>
          <t>YX-GRO</t>
        </is>
      </c>
      <c r="D771" t="inlineStr">
        <is>
          <t>3</t>
        </is>
      </c>
      <c r="E771" s="5" t="inlineStr">
        <is>
          <t>Quick start lanes (S3). Every product has a registered quick start lane of at most three steps that reaches its first value with starter templates applied in one click (APX-E §1.6): Assess sends a library test invite, Hire posts a job to the careers page, HR imports employees from Excel and shows a payslip preview. Lane steps are ordinary setup steps (YX-ORG-23); a lane never marks a module ready or live, never skips a go-live check, and respects every trial limit (P14 Q4). Sample data (P15) can stand in for real data and is labelled on every screen.</t>
        </is>
      </c>
      <c r="F771" t="inlineStr">
        <is>
          <t>Not started</t>
        </is>
      </c>
      <c r="H771">
        <f>IF(G771&lt;&gt;"",G771,F771)</f>
        <v/>
      </c>
      <c r="I771" t="n">
        <v>0</v>
      </c>
      <c r="J771" t="n">
        <v>0</v>
      </c>
      <c r="K771" t="n">
        <v>0</v>
      </c>
      <c r="L771" s="5" t="inlineStr"/>
      <c r="M771" s="5" t="n"/>
    </row>
    <row r="772">
      <c r="A772" t="inlineStr">
        <is>
          <t>YX-GRO-02</t>
        </is>
      </c>
      <c r="B772" t="inlineStr">
        <is>
          <t>P20</t>
        </is>
      </c>
      <c r="C772" t="inlineStr">
        <is>
          <t>YX-GRO</t>
        </is>
      </c>
      <c r="D772" t="inlineStr">
        <is>
          <t>3</t>
        </is>
      </c>
      <c r="E772" s="5" t="inlineStr">
        <is>
          <t>First value and activation (S1, S3). First value and activation are recorded per tenant × product in tenant_milestones from the registered events, and measured only through the P09 product.* metrics (YX-MET-21). Activation definitions are versioned; a change applies to new cohorts and is noted in the metric changelog.</t>
        </is>
      </c>
      <c r="F772" t="inlineStr">
        <is>
          <t>Not started</t>
        </is>
      </c>
      <c r="H772">
        <f>IF(G772&lt;&gt;"",G772,F772)</f>
        <v/>
      </c>
      <c r="I772" t="n">
        <v>0</v>
      </c>
      <c r="J772" t="n">
        <v>0</v>
      </c>
      <c r="K772" t="n">
        <v>0</v>
      </c>
      <c r="L772" s="5" t="inlineStr"/>
      <c r="M772" s="5" t="n"/>
    </row>
    <row r="773">
      <c r="A773" t="inlineStr">
        <is>
          <t>YX-GRO-03</t>
        </is>
      </c>
      <c r="B773" t="inlineStr">
        <is>
          <t>P20</t>
        </is>
      </c>
      <c r="C773" t="inlineStr">
        <is>
          <t>YX-GRO</t>
        </is>
      </c>
      <c r="D773" t="inlineStr">
        <is>
          <t>3</t>
        </is>
      </c>
      <c r="E773" s="5" t="inlineStr">
        <is>
          <t>Trial nudges (S2). During a trial each admin who signed up, and each System Admin, gets nudges on day 0, 1, 3, 7 and 14, chosen from setup-hub progress (never from product-analytics events, so opted-out tenants get the same help): a nudge whose step is already done is skipped or replaced by the next suggested step. At most one lifecycle message per admin per day and none on a day the admin gets a CS message (YX-CONSOLE-06); admins can mute set-up tips in one click; only admins receive them, never employees or candidates. The existing trial-ending notices (T-7, T-1) are always sent.</t>
        </is>
      </c>
      <c r="F773" t="inlineStr">
        <is>
          <t>Not started</t>
        </is>
      </c>
      <c r="H773">
        <f>IF(G773&lt;&gt;"",G773,F773)</f>
        <v/>
      </c>
      <c r="I773" t="n">
        <v>0</v>
      </c>
      <c r="J773" t="n">
        <v>0</v>
      </c>
      <c r="K773" t="n">
        <v>0</v>
      </c>
      <c r="L773" s="5" t="inlineStr"/>
      <c r="M773" s="5" t="n"/>
    </row>
    <row r="774">
      <c r="A774" t="inlineStr">
        <is>
          <t>YX-GRO-04</t>
        </is>
      </c>
      <c r="B774" t="inlineStr">
        <is>
          <t>P20</t>
        </is>
      </c>
      <c r="C774" t="inlineStr">
        <is>
          <t>YX-GRO</t>
        </is>
      </c>
      <c r="D774" t="inlineStr">
        <is>
          <t>3</t>
        </is>
      </c>
      <c r="E774" s="5" t="inlineStr">
        <is>
          <t>"Switch on" moments (S2). A "switch on" card appears only when (a) an admin opens a product the tenant does not have, (b) a trial limit is reached (live bank file, statutory filing, partner add-on, bulk WhatsApp / SMS), or (c) the product's first value is reached. It states what the product does, the published price (YX-BILL-14) and that billing starts at go-live (YX-BILL-12), with Switch on, Talk to us and Not now. It never hides or blocks the tenant's own data or previews; a dismissed card is not shown again for 14 days; admins without billing permission see "Ask your System Admin" instead.</t>
        </is>
      </c>
      <c r="F774" t="inlineStr">
        <is>
          <t>Not started</t>
        </is>
      </c>
      <c r="H774">
        <f>IF(G774&lt;&gt;"",G774,F774)</f>
        <v/>
      </c>
      <c r="I774" t="n">
        <v>0</v>
      </c>
      <c r="J774" t="n">
        <v>0</v>
      </c>
      <c r="K774" t="n">
        <v>0</v>
      </c>
      <c r="L774" s="5" t="inlineStr"/>
      <c r="M774" s="5" t="n"/>
    </row>
    <row r="775">
      <c r="A775" t="inlineStr">
        <is>
          <t>YX-GRO-05</t>
        </is>
      </c>
      <c r="B775" t="inlineStr">
        <is>
          <t>P20</t>
        </is>
      </c>
      <c r="C775" t="inlineStr">
        <is>
          <t>YX-GRO</t>
        </is>
      </c>
      <c r="D775" t="inlineStr">
        <is>
          <t>3</t>
        </is>
      </c>
      <c r="E775" s="5" t="inlineStr">
        <is>
          <t>Talk to us (S2). A trial whose company is above the size threshold (starter: 200 employees imported or declared, 3 legal entities, 10 recruiters, or 2,000 test attempts expected; the team sets the numbers) or that asks for help with migration or a parallel run raises a cs_alerts item (trial_talk_to_us) to a sales-assist owner within one business day, and the admins see a "Talk to us" option to book a call. The self-serve path stays open; the price is the published price (no private discounting, YX-BILL-14).</t>
        </is>
      </c>
      <c r="F775" t="inlineStr">
        <is>
          <t>Not started</t>
        </is>
      </c>
      <c r="H775">
        <f>IF(G775&lt;&gt;"",G775,F775)</f>
        <v/>
      </c>
      <c r="I775" t="n">
        <v>0</v>
      </c>
      <c r="J775" t="n">
        <v>0</v>
      </c>
      <c r="K775" t="n">
        <v>0</v>
      </c>
      <c r="L775" s="5" t="inlineStr"/>
      <c r="M775" s="5" t="n"/>
    </row>
    <row r="776">
      <c r="A776" t="inlineStr">
        <is>
          <t>YX-GRO-06</t>
        </is>
      </c>
      <c r="B776" t="inlineStr">
        <is>
          <t>P20</t>
        </is>
      </c>
      <c r="C776" t="inlineStr">
        <is>
          <t>YX-GRO</t>
        </is>
      </c>
      <c r="D776" t="inlineStr">
        <is>
          <t>3</t>
        </is>
      </c>
      <c r="E776" s="5" t="inlineStr">
        <is>
          <t xml:space="preserve">Trial extensions (S2; amended 28 Sep 2026, founder decision on trial end). At day 30 the trial is extended once, automatically, by 14 days when the company has reached first value (YX-GRO-02); a company that has not reached first value can request the same single 14-day extension itself. This replaces the earlier self-serve 15-day extension (P14 Q4). A further extension is given only by YukthiX staff with a reason (for example, waiting for a payroll parallel run or the customer's approval), for at most 30 days at a time, audited and shown to the tenant's admins (YX-TEN-06 pattern). Extensions </t>
        </is>
      </c>
      <c r="F776" t="inlineStr">
        <is>
          <t>UI prototype only</t>
        </is>
      </c>
      <c r="H776">
        <f>IF(G776&lt;&gt;"",G776,F776)</f>
        <v/>
      </c>
      <c r="I776" t="n">
        <v>0</v>
      </c>
      <c r="J776" t="n">
        <v>0</v>
      </c>
      <c r="K776" t="n">
        <v>2</v>
      </c>
      <c r="L776" s="5" t="inlineStr"/>
      <c r="M776" s="5" t="n"/>
    </row>
    <row r="777">
      <c r="A777" t="inlineStr">
        <is>
          <t>YX-GRO-07</t>
        </is>
      </c>
      <c r="B777" t="inlineStr">
        <is>
          <t>P20</t>
        </is>
      </c>
      <c r="C777" t="inlineStr">
        <is>
          <t>YX-GRO</t>
        </is>
      </c>
      <c r="D777" t="inlineStr">
        <is>
          <t>3</t>
        </is>
      </c>
      <c r="E777" s="5" t="inlineStr">
        <is>
          <t>Help centre (S10). help.yukthix.com is public and searchable, with versioned articles and short captioned videos per product, owned by the support lead. Every APX-D help topic links to a published article by key; a CI check fails the release when a screen's help key has no published English article. Articles are available in the four launch languages (English, Hindi, Tamil, Telugu); a missing translation shows the English article with a notice and is tracked by the owner. Screenshots use demo data only; articles carry no tenant data; each shows "applies from" (release or wave) and a last-revie</t>
        </is>
      </c>
      <c r="F777" t="inlineStr">
        <is>
          <t>UI prototype only</t>
        </is>
      </c>
      <c r="H777">
        <f>IF(G777&lt;&gt;"",G777,F777)</f>
        <v/>
      </c>
      <c r="I777" t="n">
        <v>0</v>
      </c>
      <c r="J777" t="n">
        <v>0</v>
      </c>
      <c r="K777" t="n">
        <v>2</v>
      </c>
      <c r="L777" s="5" t="inlineStr"/>
      <c r="M777" s="5" t="n"/>
    </row>
    <row r="778">
      <c r="A778" t="inlineStr">
        <is>
          <t>YX-GRO-08</t>
        </is>
      </c>
      <c r="B778" t="inlineStr">
        <is>
          <t>P20</t>
        </is>
      </c>
      <c r="C778" t="inlineStr">
        <is>
          <t>YX-GRO</t>
        </is>
      </c>
      <c r="D778" t="inlineStr">
        <is>
          <t>3</t>
        </is>
      </c>
      <c r="E778" s="5" t="inlineStr">
        <is>
          <t>Incident and maintenance messages (S11). Every notice under YX-CONSOLE-07 uses an approved template for its stage: incident investigating → identified → monitoring → resolved → post-incident summary; maintenance scheduled (≥ 72 hours ahead) → reminder (24 hours ahead) → started → completed (or extended). Each message states the affected products, regions and components, the impact in plain words, what the company should do, and when the next update will come; when the incident falls in a tenant's payroll-critical window or on a statutory due date, the payroll-day note says whether payroll runs</t>
        </is>
      </c>
      <c r="F778" t="inlineStr">
        <is>
          <t>UI prototype only</t>
        </is>
      </c>
      <c r="H778">
        <f>IF(G778&lt;&gt;"",G778,F778)</f>
        <v/>
      </c>
      <c r="I778" t="n">
        <v>0</v>
      </c>
      <c r="J778" t="n">
        <v>0</v>
      </c>
      <c r="K778" t="n">
        <v>4</v>
      </c>
      <c r="L778" s="5" t="inlineStr"/>
      <c r="M778" s="5" t="n"/>
    </row>
    <row r="779">
      <c r="A779" t="inlineStr">
        <is>
          <t>YX-GRO-09</t>
        </is>
      </c>
      <c r="B779" t="inlineStr">
        <is>
          <t>P20</t>
        </is>
      </c>
      <c r="C779" t="inlineStr">
        <is>
          <t>YX-GRO</t>
        </is>
      </c>
      <c r="D779" t="inlineStr">
        <is>
          <t>3</t>
        </is>
      </c>
      <c r="E779" s="5" t="inlineStr">
        <is>
          <t>Where messages go (S11). Incident and maintenance messages go to the public status page (per product and region), in-app to the admins of affected tenants (always shown, YX-CONSOLE-06) and by email to those admins and to status-page subscribers. Employees and candidates see the status page link on the sign-in and error screens, not direct messages. Probe results (P13 #6) open or update the status components; a human confirms the stage wording.</t>
        </is>
      </c>
      <c r="F779" t="inlineStr">
        <is>
          <t>UI prototype only</t>
        </is>
      </c>
      <c r="H779">
        <f>IF(G779&lt;&gt;"",G779,F779)</f>
        <v/>
      </c>
      <c r="I779" t="n">
        <v>0</v>
      </c>
      <c r="J779" t="n">
        <v>0</v>
      </c>
      <c r="K779" t="n">
        <v>2</v>
      </c>
      <c r="L779" s="5" t="inlineStr"/>
      <c r="M779" s="5" t="n"/>
    </row>
    <row r="780">
      <c r="A780" t="inlineStr">
        <is>
          <t>YX-GRO-10</t>
        </is>
      </c>
      <c r="B780" t="inlineStr">
        <is>
          <t>P20</t>
        </is>
      </c>
      <c r="C780" t="inlineStr">
        <is>
          <t>YX-GRO</t>
        </is>
      </c>
      <c r="D780" t="inlineStr">
        <is>
          <t>3</t>
        </is>
      </c>
      <c r="E780" s="5" t="inlineStr">
        <is>
          <t>Growth data stays out of HR data (S1). Growth, CS and support staff use only the P09 product.* metrics, tenant_milestones, setup-hub progress and billing status; never employee, candidate or payroll records. Nudges, "switch on" moments and the sales-assist hand-off are decided at tenant and admin level only.</t>
        </is>
      </c>
      <c r="F780" t="inlineStr">
        <is>
          <t>Not started</t>
        </is>
      </c>
      <c r="H780">
        <f>IF(G780&lt;&gt;"",G780,F780)</f>
        <v/>
      </c>
      <c r="I780" t="n">
        <v>0</v>
      </c>
      <c r="J780" t="n">
        <v>0</v>
      </c>
      <c r="K780" t="n">
        <v>0</v>
      </c>
      <c r="L780" s="5" t="inlineStr"/>
      <c r="M780" s="5" t="n"/>
    </row>
    <row r="781">
      <c r="A781" t="inlineStr">
        <is>
          <t>YX-GRO-11</t>
        </is>
      </c>
      <c r="B781" t="inlineStr">
        <is>
          <t>P20</t>
        </is>
      </c>
      <c r="C781" t="inlineStr">
        <is>
          <t>YX-GRO</t>
        </is>
      </c>
      <c r="D781" t="inlineStr">
        <is>
          <t>3</t>
        </is>
      </c>
      <c r="E781" s="5" t="inlineStr">
        <is>
          <t>What's new feed. Each product has a dated feed of changes; entries are targeted by role (admin, manager, employee) and by product switched on, shown once in app and kept on a feed page. Price or feature-change notices still follow P14 YX-BILL-12; the feed never replaces them.</t>
        </is>
      </c>
      <c r="F781" t="inlineStr">
        <is>
          <t>UI prototype only</t>
        </is>
      </c>
      <c r="H781">
        <f>IF(G781&lt;&gt;"",G781,F781)</f>
        <v/>
      </c>
      <c r="I781" t="n">
        <v>0</v>
      </c>
      <c r="J781" t="n">
        <v>0</v>
      </c>
      <c r="K781" t="n">
        <v>2</v>
      </c>
      <c r="L781" s="5" t="inlineStr"/>
      <c r="M781" s="5" t="n"/>
    </row>
    <row r="782">
      <c r="A782" t="inlineStr">
        <is>
          <t>YX-GRO-12</t>
        </is>
      </c>
      <c r="B782" t="inlineStr">
        <is>
          <t>P20</t>
        </is>
      </c>
      <c r="C782" t="inlineStr">
        <is>
          <t>YX-GRO</t>
        </is>
      </c>
      <c r="D782" t="inlineStr">
        <is>
          <t>3</t>
        </is>
      </c>
      <c r="E782" s="5" t="inlineStr">
        <is>
          <t>Feature requests, roadmap, beta. Tenant users can raise and vote on requests (one vote per user per request); each request carries a status (under review, planned, in progress, shipped, not planned). The public roadmap shows only items marked public. Beta / early access is opt-in per company by an admin and can be switched off at any time; beta features are labelled in the UI.</t>
        </is>
      </c>
      <c r="F782" t="inlineStr">
        <is>
          <t>UI prototype only</t>
        </is>
      </c>
      <c r="H782">
        <f>IF(G782&lt;&gt;"",G782,F782)</f>
        <v/>
      </c>
      <c r="I782" t="n">
        <v>0</v>
      </c>
      <c r="J782" t="n">
        <v>0</v>
      </c>
      <c r="K782" t="n">
        <v>4</v>
      </c>
      <c r="L782" s="5" t="inlineStr"/>
      <c r="M782" s="5" t="n"/>
    </row>
    <row r="783">
      <c r="A783" t="inlineStr">
        <is>
          <t>YX-GRO-13</t>
        </is>
      </c>
      <c r="B783" t="inlineStr">
        <is>
          <t>P20</t>
        </is>
      </c>
      <c r="C783" t="inlineStr">
        <is>
          <t>YX-GRO</t>
        </is>
      </c>
      <c r="D783" t="inlineStr">
        <is>
          <t>3</t>
        </is>
      </c>
      <c r="E783" s="5" t="inlineStr">
        <is>
          <t>Cancellation and win-back. Switching off a product or the company asks for a reason (fixed list + free text; answering is optional). Save offers shown: pause, fewer products, partner help; the customer can always cancel without accepting an offer, one click past the offers (no dark patterns). Win-back messages after deletion go only with marketing consent and stop on opt-out; deletion itself follows P14 YX-TEN-08.</t>
        </is>
      </c>
      <c r="F783" t="inlineStr">
        <is>
          <t>Not started</t>
        </is>
      </c>
      <c r="H783">
        <f>IF(G783&lt;&gt;"",G783,F783)</f>
        <v/>
      </c>
      <c r="I783" t="n">
        <v>0</v>
      </c>
      <c r="J783" t="n">
        <v>0</v>
      </c>
      <c r="K783" t="n">
        <v>0</v>
      </c>
      <c r="L783" s="5" t="inlineStr"/>
      <c r="M783" s="5" t="n"/>
    </row>
    <row r="784">
      <c r="A784" t="inlineStr">
        <is>
          <t>YX-GRO-14</t>
        </is>
      </c>
      <c r="B784" t="inlineStr">
        <is>
          <t>P20</t>
        </is>
      </c>
      <c r="C784" t="inlineStr">
        <is>
          <t>YX-GRO</t>
        </is>
      </c>
      <c r="D784" t="inlineStr">
        <is>
          <t>3</t>
        </is>
      </c>
      <c r="E784" s="5" t="inlineStr">
        <is>
          <t>Referral. A referral link / code is tied to the referring company. When the referred company completes its first paid month, both companies get one month of their own bill as credit (P14 YX-BILL-21). Self-referral and referrals between companies of the same group are not credited. "Powered by YukthiX" links (careers pages, payslips, public tools) carry attribution; clicks and resulting sign-ups are counted in the P09 §4.10 product metrics, never with HR data.</t>
        </is>
      </c>
      <c r="F784" t="inlineStr">
        <is>
          <t>UI prototype only</t>
        </is>
      </c>
      <c r="H784">
        <f>IF(G784&lt;&gt;"",G784,F784)</f>
        <v/>
      </c>
      <c r="I784" t="n">
        <v>0</v>
      </c>
      <c r="J784" t="n">
        <v>0</v>
      </c>
      <c r="K784" t="n">
        <v>2</v>
      </c>
      <c r="L784" s="5" t="inlineStr"/>
      <c r="M784" s="5" t="n"/>
    </row>
    <row r="785">
      <c r="A785" t="inlineStr">
        <is>
          <t>YX-GRO-15</t>
        </is>
      </c>
      <c r="B785" t="inlineStr">
        <is>
          <t>P20</t>
        </is>
      </c>
      <c r="C785" t="inlineStr">
        <is>
          <t>YX-GRO</t>
        </is>
      </c>
      <c r="D785" t="inlineStr">
        <is>
          <t>3</t>
        </is>
      </c>
      <c r="E785" s="5" t="inlineStr">
        <is>
          <t>Free public tools. Public calculators reuse the P07 versioned calculators and rule-set parameters (same numbers as in the product, FY shown); letter generators reuse APX-F templates. No sign-up required; inputs are not stored beyond the session unless the user asks to email the result (with consent). Each result shows a "not tax advice" note and the rule-set version.</t>
        </is>
      </c>
      <c r="F785" t="inlineStr">
        <is>
          <t>UI prototype only</t>
        </is>
      </c>
      <c r="H785">
        <f>IF(G785&lt;&gt;"",G785,F785)</f>
        <v/>
      </c>
      <c r="I785" t="n">
        <v>0</v>
      </c>
      <c r="J785" t="n">
        <v>0</v>
      </c>
      <c r="K785" t="n">
        <v>4</v>
      </c>
      <c r="L785" s="5" t="inlineStr"/>
      <c r="M785" s="5" t="n"/>
    </row>
    <row r="786">
      <c r="A786" t="inlineStr">
        <is>
          <t>YX-GRO-16</t>
        </is>
      </c>
      <c r="B786" t="inlineStr">
        <is>
          <t>P20</t>
        </is>
      </c>
      <c r="C786" t="inlineStr">
        <is>
          <t>YX-GRO</t>
        </is>
      </c>
      <c r="D786" t="inlineStr">
        <is>
          <t>3</t>
        </is>
      </c>
      <c r="E786" s="5" t="inlineStr">
        <is>
          <t>Integrations directory. A public page lists each integration (partner, category, what data moves, direction, status: live / beta / coming) from the same catalogue the product uses, so the directory never lists an integration the product does not have.</t>
        </is>
      </c>
      <c r="F786" t="inlineStr">
        <is>
          <t>UI prototype only</t>
        </is>
      </c>
      <c r="H786">
        <f>IF(G786&lt;&gt;"",G786,F786)</f>
        <v/>
      </c>
      <c r="I786" t="n">
        <v>0</v>
      </c>
      <c r="J786" t="n">
        <v>0</v>
      </c>
      <c r="K786" t="n">
        <v>2</v>
      </c>
      <c r="L786" s="5" t="inlineStr"/>
      <c r="M786" s="5" t="n"/>
    </row>
    <row r="787">
      <c r="A787" t="inlineStr">
        <is>
          <t>YX-GRO-17</t>
        </is>
      </c>
      <c r="B787" t="inlineStr">
        <is>
          <t>P20</t>
        </is>
      </c>
      <c r="C787" t="inlineStr">
        <is>
          <t>YX-GRO</t>
        </is>
      </c>
      <c r="D787" t="inlineStr">
        <is>
          <t>3</t>
        </is>
      </c>
      <c r="E787" s="5" t="inlineStr">
        <is>
          <t>Academy (after public launch). Admin and partner courses with certification; certificates expire and can be verified by a public link. Partner certification is required before a partner implements for customers (P16 partner programme).</t>
        </is>
      </c>
      <c r="F787" t="inlineStr">
        <is>
          <t>UI prototype only</t>
        </is>
      </c>
      <c r="H787">
        <f>IF(G787&lt;&gt;"",G787,F787)</f>
        <v/>
      </c>
      <c r="I787" t="n">
        <v>0</v>
      </c>
      <c r="J787" t="n">
        <v>0</v>
      </c>
      <c r="K787" t="n">
        <v>2</v>
      </c>
      <c r="L787" s="5" t="inlineStr"/>
      <c r="M787" s="5" t="n"/>
    </row>
    <row r="788">
      <c r="A788" t="inlineStr">
        <is>
          <t>YX-GLB-01</t>
        </is>
      </c>
      <c r="B788" t="inlineStr">
        <is>
          <t>P21</t>
        </is>
      </c>
      <c r="C788" t="inlineStr">
        <is>
          <t>YX-GLB</t>
        </is>
      </c>
      <c r="D788" t="inlineStr">
        <is>
          <t>6+</t>
        </is>
      </c>
      <c r="E788" s="5" t="inlineStr">
        <is>
          <t>Region gate. A country is offered at sign-up, for a new legal entity or for a region move only when its region is live and every gate item in §5a for that country is live. The platform console shows the gate per country; a staff override is not possible.</t>
        </is>
      </c>
      <c r="F788" t="inlineStr">
        <is>
          <t>Built, no test cites it</t>
        </is>
      </c>
      <c r="H788">
        <f>IF(G788&lt;&gt;"",G788,F788)</f>
        <v/>
      </c>
      <c r="I788" t="n">
        <v>2</v>
      </c>
      <c r="J788" t="n">
        <v>0</v>
      </c>
      <c r="K788" t="n">
        <v>2</v>
      </c>
      <c r="L788" s="5" t="inlineStr">
        <is>
          <t>exam-app-org:apps/api/src/org-structure/org-structure.service.ts
exam-app-org:apps/api/src/org-structure/org-validation.ts</t>
        </is>
      </c>
      <c r="M788" s="5" t="n"/>
    </row>
    <row r="789">
      <c r="A789" t="inlineStr">
        <is>
          <t>YX-GLB-02</t>
        </is>
      </c>
      <c r="B789" t="inlineStr">
        <is>
          <t>P21</t>
        </is>
      </c>
      <c r="C789" t="inlineStr">
        <is>
          <t>YX-GLB</t>
        </is>
      </c>
      <c r="D789" t="inlineStr">
        <is>
          <t>6+</t>
        </is>
      </c>
      <c r="E789" s="5" t="inlineStr">
        <is>
          <t>Direction from locale (G1). Layout direction follows the user's locale (dir="rtl" for Arabic); components use logical CSS properties only (a CI lint fails on left / right in shared components); directional icons, progress, steppers, timelines and time-series charts mirror; media controls, logos, code, phone numbers and IBANs do not. Mixed-script strings (names, IDs) are bidi-isolated. PDFs (letters, payslips, reports) render Arabic with correct shaping.</t>
        </is>
      </c>
      <c r="F789" t="inlineStr">
        <is>
          <t>Not started</t>
        </is>
      </c>
      <c r="H789">
        <f>IF(G789&lt;&gt;"",G789,F789)</f>
        <v/>
      </c>
      <c r="I789" t="n">
        <v>0</v>
      </c>
      <c r="J789" t="n">
        <v>0</v>
      </c>
      <c r="K789" t="n">
        <v>0</v>
      </c>
      <c r="L789" s="5" t="inlineStr"/>
      <c r="M789" s="5" t="n"/>
    </row>
    <row r="790">
      <c r="A790" t="inlineStr">
        <is>
          <t>YX-GLB-03</t>
        </is>
      </c>
      <c r="B790" t="inlineStr">
        <is>
          <t>P21</t>
        </is>
      </c>
      <c r="C790" t="inlineStr">
        <is>
          <t>YX-GLB</t>
        </is>
      </c>
      <c r="D790" t="inlineStr">
        <is>
          <t>6+</t>
        </is>
      </c>
      <c r="E790" s="5" t="inlineStr">
        <is>
          <t>Numerals and calendars (G1). Stored numbers and dates are Western digits and Gregorian. Display digits (Western default / Arabic-Indic) and a Hijri (Umm al-Qura) date beside the Gregorian date are user or tenant display choices. Files for banks, WPS, GOSI, tax and e-invoicing always use the format the receiver requires, never the display setting.</t>
        </is>
      </c>
      <c r="F790" t="inlineStr">
        <is>
          <t>Not started</t>
        </is>
      </c>
      <c r="H790">
        <f>IF(G790&lt;&gt;"",G790,F790)</f>
        <v/>
      </c>
      <c r="I790" t="n">
        <v>0</v>
      </c>
      <c r="J790" t="n">
        <v>0</v>
      </c>
      <c r="K790" t="n">
        <v>0</v>
      </c>
      <c r="L790" s="5" t="inlineStr"/>
      <c r="M790" s="5" t="n"/>
    </row>
    <row r="791">
      <c r="A791" t="inlineStr">
        <is>
          <t>YX-GLB-04</t>
        </is>
      </c>
      <c r="B791" t="inlineStr">
        <is>
          <t>P21</t>
        </is>
      </c>
      <c r="C791" t="inlineStr">
        <is>
          <t>YX-GLB</t>
        </is>
      </c>
      <c r="D791" t="inlineStr">
        <is>
          <t>6+</t>
        </is>
      </c>
      <c r="E791" s="5" t="inlineStr">
        <is>
          <t>Arabic content (G1). Employee-facing screens, notifications (P04) and GCC starter templates (P05: offer, contract, payslip, warning, end-of-service) ship in Arabic; contracts and payslips for UAE / KSA entities are bilingual Arabic + English, with the Arabic text marked as prevailing where the pack says so. Admin screens: English first, Arabic before the first GCC customer.</t>
        </is>
      </c>
      <c r="F791" t="inlineStr">
        <is>
          <t>Not started</t>
        </is>
      </c>
      <c r="H791">
        <f>IF(G791&lt;&gt;"",G791,F791)</f>
        <v/>
      </c>
      <c r="I791" t="n">
        <v>0</v>
      </c>
      <c r="J791" t="n">
        <v>0</v>
      </c>
      <c r="K791" t="n">
        <v>0</v>
      </c>
      <c r="L791" s="5" t="inlineStr"/>
      <c r="M791" s="5" t="n"/>
    </row>
    <row r="792">
      <c r="A792" t="inlineStr">
        <is>
          <t>YX-GLB-05</t>
        </is>
      </c>
      <c r="B792" t="inlineStr">
        <is>
          <t>P21</t>
        </is>
      </c>
      <c r="C792" t="inlineStr">
        <is>
          <t>YX-GLB</t>
        </is>
      </c>
      <c r="D792" t="inlineStr">
        <is>
          <t>6+</t>
        </is>
      </c>
      <c r="E792" s="5" t="inlineStr">
        <is>
          <t>Holiday feeds (G2). Each country pack names its holiday feed; each item cites its source. Moving holidays are published as *expected* and later *confirmed*; a confirmed date that differs updates subscribed calendars and re-computes leave counts, attendance day status and holiday OT in open periods, and raises P08 adjustments for locked periods. Tenants choose auto-apply or HR approval per calendar; every change is notified to HR (P04) and audited.</t>
        </is>
      </c>
      <c r="F792" t="inlineStr">
        <is>
          <t>Not started</t>
        </is>
      </c>
      <c r="H792">
        <f>IF(G792&lt;&gt;"",G792,F792)</f>
        <v/>
      </c>
      <c r="I792" t="n">
        <v>0</v>
      </c>
      <c r="J792" t="n">
        <v>0</v>
      </c>
      <c r="K792" t="n">
        <v>0</v>
      </c>
      <c r="L792" s="5" t="inlineStr"/>
      <c r="M792" s="5" t="n"/>
    </row>
    <row r="793">
      <c r="A793" t="inlineStr">
        <is>
          <t>YX-GLB-06</t>
        </is>
      </c>
      <c r="B793" t="inlineStr">
        <is>
          <t>P21</t>
        </is>
      </c>
      <c r="C793" t="inlineStr">
        <is>
          <t>YX-GLB</t>
        </is>
      </c>
      <c r="D793" t="inlineStr">
        <is>
          <t>6+</t>
        </is>
      </c>
      <c r="E793" s="5" t="inlineStr">
        <is>
          <t>Work authorisations (G4 + T18). A person may hold several authorisations; each has a type from the country pack, an expiry and a sponsor entity. Reminders at 90 / 60 / 30 / 7 days (starter, editable) open a renewal task. An expired or missing required authorisation flags the person in payroll pre-flight, blocks a new employment or assignment start in that country, and is shown on the profile; stopping pay is never automatic (HR decides with a reason). There is no field or status for the employer holding a passport.</t>
        </is>
      </c>
      <c r="F793" t="inlineStr">
        <is>
          <t>Not started</t>
        </is>
      </c>
      <c r="H793">
        <f>IF(G793&lt;&gt;"",G793,F793)</f>
        <v/>
      </c>
      <c r="I793" t="n">
        <v>0</v>
      </c>
      <c r="J793" t="n">
        <v>0</v>
      </c>
      <c r="K793" t="n">
        <v>0</v>
      </c>
      <c r="L793" s="5" t="inlineStr"/>
      <c r="M793" s="5" t="n"/>
    </row>
    <row r="794">
      <c r="A794" t="inlineStr">
        <is>
          <t>YX-GLB-07</t>
        </is>
      </c>
      <c r="B794" t="inlineStr">
        <is>
          <t>P21</t>
        </is>
      </c>
      <c r="C794" t="inlineStr">
        <is>
          <t>YX-GLB</t>
        </is>
      </c>
      <c r="D794" t="inlineStr">
        <is>
          <t>6+</t>
        </is>
      </c>
      <c r="E794" s="5" t="inlineStr">
        <is>
          <t>IDs that drive registrations (G4, R16). WPS salary files (UAE SIF, KSA Mudad), GOSI registration and other pack-listed filings take the person's identifiers from work_authorisations / employee_identifiers; a missing or expired identifier fails the file's pre-flight with a "Fix" link, never a silent skip. Occupation on permit differing from the designation is flagged for HR.</t>
        </is>
      </c>
      <c r="F794" t="inlineStr">
        <is>
          <t>Not started</t>
        </is>
      </c>
      <c r="H794">
        <f>IF(G794&lt;&gt;"",G794,F794)</f>
        <v/>
      </c>
      <c r="I794" t="n">
        <v>0</v>
      </c>
      <c r="J794" t="n">
        <v>0</v>
      </c>
      <c r="K794" t="n">
        <v>0</v>
      </c>
      <c r="L794" s="5" t="inlineStr"/>
      <c r="M794" s="5" t="n"/>
    </row>
    <row r="795">
      <c r="A795" t="inlineStr">
        <is>
          <t>YX-GLB-08</t>
        </is>
      </c>
      <c r="B795" t="inlineStr">
        <is>
          <t>P21</t>
        </is>
      </c>
      <c r="C795" t="inlineStr">
        <is>
          <t>YX-GLB</t>
        </is>
      </c>
      <c r="D795" t="inlineStr">
        <is>
          <t>6+</t>
        </is>
      </c>
      <c r="E795" s="5" t="inlineStr">
        <is>
          <t>Bank formats (G5). Account details are validated by country: IBAN (mod-97 and country length), BIC / SWIFT (structure + directory where licensed), US ABA routing, UK sort code, IFSC (India). Payment files come from M03 exporters per pack: SEPA credit transfer (pain.001), NACHA (ACH), BACS Standard 18, SWIFT MT103 / pain.001 for cross-border, plus WPS files. Changes follow YX-SEC-13 approval and cooling.</t>
        </is>
      </c>
      <c r="F795" t="inlineStr">
        <is>
          <t>UI prototype only</t>
        </is>
      </c>
      <c r="H795">
        <f>IF(G795&lt;&gt;"",G795,F795)</f>
        <v/>
      </c>
      <c r="I795" t="n">
        <v>0</v>
      </c>
      <c r="J795" t="n">
        <v>0</v>
      </c>
      <c r="K795" t="n">
        <v>2</v>
      </c>
      <c r="L795" s="5" t="inlineStr"/>
      <c r="M795" s="5" t="n"/>
    </row>
    <row r="796">
      <c r="A796" t="inlineStr">
        <is>
          <t>YX-GLB-09</t>
        </is>
      </c>
      <c r="B796" t="inlineStr">
        <is>
          <t>P21</t>
        </is>
      </c>
      <c r="C796" t="inlineStr">
        <is>
          <t>YX-GLB</t>
        </is>
      </c>
      <c r="D796" t="inlineStr">
        <is>
          <t>6+</t>
        </is>
      </c>
      <c r="E796" s="5" t="inlineStr">
        <is>
          <t>Multi-currency and split pay (G5). Pay is computed in the employment's pay currency; a payout may go in another currency using a dated rate from a named source, stored with the payslip. An employee may split net pay across at most 3 accounts (fixed amounts first, then %, remainder to the primary); WPS countries require the WPS-registered account to receive at least the amount the pack sets.</t>
        </is>
      </c>
      <c r="F796" t="inlineStr">
        <is>
          <t>UI prototype only</t>
        </is>
      </c>
      <c r="H796">
        <f>IF(G796&lt;&gt;"",G796,F796)</f>
        <v/>
      </c>
      <c r="I796" t="n">
        <v>0</v>
      </c>
      <c r="J796" t="n">
        <v>0</v>
      </c>
      <c r="K796" t="n">
        <v>2</v>
      </c>
      <c r="L796" s="5" t="inlineStr"/>
      <c r="M796" s="5" t="n"/>
    </row>
    <row r="797">
      <c r="A797" t="inlineStr">
        <is>
          <t>YX-GLB-10</t>
        </is>
      </c>
      <c r="B797" t="inlineStr">
        <is>
          <t>P21</t>
        </is>
      </c>
      <c r="C797" t="inlineStr">
        <is>
          <t>YX-GLB</t>
        </is>
      </c>
      <c r="D797" t="inlineStr">
        <is>
          <t>6+</t>
        </is>
      </c>
      <c r="E797" s="5" t="inlineStr">
        <is>
          <t>Residency and multi-region tenants (G9 + S16). Each legal entity's people data lives in its data region (P02 YX-SEC-37); UAE and KSA entity data, files, backups and DR stay in-country. A multi-region tenant has one home region for control data; cross-region screens query the entity's region at request time; only the directory card (P02 Public / Internal fields) may be copied to the home region. Aggregates are computed in-region and returned with small-group suppression (YX-SEC-14).</t>
        </is>
      </c>
      <c r="F797" t="inlineStr">
        <is>
          <t>Not started</t>
        </is>
      </c>
      <c r="H797">
        <f>IF(G797&lt;&gt;"",G797,F797)</f>
        <v/>
      </c>
      <c r="I797" t="n">
        <v>0</v>
      </c>
      <c r="J797" t="n">
        <v>0</v>
      </c>
      <c r="K797" t="n">
        <v>0</v>
      </c>
      <c r="L797" s="5" t="inlineStr"/>
      <c r="M797" s="5" t="n"/>
    </row>
    <row r="798">
      <c r="A798" t="inlineStr">
        <is>
          <t>YX-GLB-11</t>
        </is>
      </c>
      <c r="B798" t="inlineStr">
        <is>
          <t>P21</t>
        </is>
      </c>
      <c r="C798" t="inlineStr">
        <is>
          <t>YX-GLB</t>
        </is>
      </c>
      <c r="D798" t="inlineStr">
        <is>
          <t>6+</t>
        </is>
      </c>
      <c r="E798" s="5" t="inlineStr">
        <is>
          <t>Region move (G9 + S16). A tenant or entity moves only on a System Admin request approved by YukthiX, outside the payroll-critical window (YX-CONSOLE-07) and within a planned freeze of at most 24 hours; data is copied, verified by checksums and row counts, cut over, and then deleted from the source (backups expire on their schedule) with a deletion certificate. Privacy rules: P02 YX-SEC-38. A move out of an in-country region (UAE, KSA) is refused unless the pack records a lawful transfer route.</t>
        </is>
      </c>
      <c r="F798" t="inlineStr">
        <is>
          <t>Not started</t>
        </is>
      </c>
      <c r="H798">
        <f>IF(G798&lt;&gt;"",G798,F798)</f>
        <v/>
      </c>
      <c r="I798" t="n">
        <v>0</v>
      </c>
      <c r="J798" t="n">
        <v>0</v>
      </c>
      <c r="K798" t="n">
        <v>0</v>
      </c>
      <c r="L798" s="5" t="inlineStr"/>
      <c r="M798" s="5" t="n"/>
    </row>
    <row r="799">
      <c r="A799" t="inlineStr">
        <is>
          <t>YX-GLB-12</t>
        </is>
      </c>
      <c r="B799" t="inlineStr">
        <is>
          <t>P21</t>
        </is>
      </c>
      <c r="C799" t="inlineStr">
        <is>
          <t>YX-GLB</t>
        </is>
      </c>
      <c r="D799" t="inlineStr">
        <is>
          <t>6+</t>
        </is>
      </c>
      <c r="E799" s="5" t="inlineStr">
        <is>
          <t>E-invoicing (G10). Before YukthiX bills in KSA, UAE or an EU country, or a staffing tenant there issues M10 client invoices, the invoice is produced in the country scheme held as dated pack data: KSA ZATCA Fatoora (clearance / reporting, QR, cryptographic stamp), UAE e-invoicing (accredited service provider model), EU Peppol BIS / ViDA formats. An invoice is final only after the scheme's acceptance; rejections return errors to the maker; credit notes follow the same path.</t>
        </is>
      </c>
      <c r="F799" t="inlineStr">
        <is>
          <t>Not started</t>
        </is>
      </c>
      <c r="H799">
        <f>IF(G799&lt;&gt;"",G799,F799)</f>
        <v/>
      </c>
      <c r="I799" t="n">
        <v>0</v>
      </c>
      <c r="J799" t="n">
        <v>0</v>
      </c>
      <c r="K799" t="n">
        <v>0</v>
      </c>
      <c r="L799" s="5" t="inlineStr"/>
      <c r="M799" s="5" t="n"/>
    </row>
    <row r="800">
      <c r="A800" t="inlineStr">
        <is>
          <t>YX-GLB-13</t>
        </is>
      </c>
      <c r="B800" t="inlineStr">
        <is>
          <t>P21</t>
        </is>
      </c>
      <c r="C800" t="inlineStr">
        <is>
          <t>YX-GLB</t>
        </is>
      </c>
      <c r="D800" t="inlineStr">
        <is>
          <t>6+</t>
        </is>
      </c>
      <c r="E800" s="5" t="inlineStr">
        <is>
          <t>GCC nationalisation (R16). Emiratisation (Nafis) and Nitaqat targets, bands and counting rules are dated P07 data (AE.EMIRATISATION, SA.NITAQAT). Each GCC entity gets a monthly snapshot (nationals / non-nationals, band, target, gap), a warning when a planned exit or hire would breach the target, and the pack's filings. GOSI contributions and registrations come from SA.GOSI; WPS files per YX-GLB-07.</t>
        </is>
      </c>
      <c r="F800" t="inlineStr">
        <is>
          <t>Not started</t>
        </is>
      </c>
      <c r="H800">
        <f>IF(G800&lt;&gt;"",G800,F800)</f>
        <v/>
      </c>
      <c r="I800" t="n">
        <v>0</v>
      </c>
      <c r="J800" t="n">
        <v>0</v>
      </c>
      <c r="K800" t="n">
        <v>0</v>
      </c>
      <c r="L800" s="5" t="inlineStr"/>
      <c r="M800" s="5" t="n"/>
    </row>
    <row r="801">
      <c r="A801" t="inlineStr">
        <is>
          <t>YX-GLB-14</t>
        </is>
      </c>
      <c r="B801" t="inlineStr">
        <is>
          <t>P21</t>
        </is>
      </c>
      <c r="C801" t="inlineStr">
        <is>
          <t>YX-GLB</t>
        </is>
      </c>
      <c r="D801" t="inlineStr">
        <is>
          <t>6+</t>
        </is>
      </c>
      <c r="E801" s="5" t="inlineStr">
        <is>
          <t>Singapore (R17). SG.* packs hold CPF (age bands, wage ceilings), SDL, IR8A / AIS; Key Employment Terms and itemised payslips follow the MOM content and timing held in the pack (starter templates in P05). Flexible-work requests are a P03 request type with the response deadline and written-reason rule from the pack; Workplace Fairness Act duties (grievance process, protected characteristics) use M08 grievance with pack dates.</t>
        </is>
      </c>
      <c r="F801" t="inlineStr">
        <is>
          <t>Not started</t>
        </is>
      </c>
      <c r="H801">
        <f>IF(G801&lt;&gt;"",G801,F801)</f>
        <v/>
      </c>
      <c r="I801" t="n">
        <v>0</v>
      </c>
      <c r="J801" t="n">
        <v>0</v>
      </c>
      <c r="K801" t="n">
        <v>0</v>
      </c>
      <c r="L801" s="5" t="inlineStr"/>
      <c r="M801" s="5" t="n"/>
    </row>
    <row r="802">
      <c r="A802" t="inlineStr">
        <is>
          <t>YX-GLB-15</t>
        </is>
      </c>
      <c r="B802" t="inlineStr">
        <is>
          <t>P21</t>
        </is>
      </c>
      <c r="C802" t="inlineStr">
        <is>
          <t>YX-GLB</t>
        </is>
      </c>
      <c r="D802" t="inlineStr">
        <is>
          <t>6+</t>
        </is>
      </c>
      <c r="E802" s="5" t="inlineStr">
        <is>
          <t>EU whistleblower timings (R18). For an EU legal entity with 50 or more workers, M08 whistleblower cases take clocks from EU.WHISTLEBLOWER plus the member-state pack: acknowledge within 7 days, feedback within 3 months of the acknowledgement, records kept only as long as the pack allows; reporter identity is confidential by default (YX-SEC-10) and anonymous reports follow the member-state choice (YX-CASE-11 return path).</t>
        </is>
      </c>
      <c r="F802" t="inlineStr">
        <is>
          <t>Not started</t>
        </is>
      </c>
      <c r="H802">
        <f>IF(G802&lt;&gt;"",G802,F802)</f>
        <v/>
      </c>
      <c r="I802" t="n">
        <v>0</v>
      </c>
      <c r="J802" t="n">
        <v>0</v>
      </c>
      <c r="K802" t="n">
        <v>0</v>
      </c>
      <c r="L802" s="5" t="inlineStr"/>
      <c r="M802" s="5" t="n"/>
    </row>
    <row r="803">
      <c r="A803" t="inlineStr">
        <is>
          <t>YX-GLB-16</t>
        </is>
      </c>
      <c r="B803" t="inlineStr">
        <is>
          <t>P21</t>
        </is>
      </c>
      <c r="C803" t="inlineStr">
        <is>
          <t>YX-GLB</t>
        </is>
      </c>
      <c r="D803" t="inlineStr">
        <is>
          <t>6+</t>
        </is>
      </c>
      <c r="E803" s="5" t="inlineStr">
        <is>
          <t>Law as data (all). Every dated value named here (holiday dates, quotas, rates, deadlines, formats) sits in a P07 pack with source, version and maker ≠ checker publishing (YX-STAT-01–04); P21 code holds no country constant.</t>
        </is>
      </c>
      <c r="F803" t="inlineStr">
        <is>
          <t>Not started</t>
        </is>
      </c>
      <c r="H803">
        <f>IF(G803&lt;&gt;"",G803,F803)</f>
        <v/>
      </c>
      <c r="I803" t="n">
        <v>0</v>
      </c>
      <c r="J803" t="n">
        <v>0</v>
      </c>
      <c r="K803" t="n">
        <v>0</v>
      </c>
      <c r="L803" s="5" t="inlineStr"/>
      <c r="M803" s="5" t="n"/>
    </row>
    <row r="804">
      <c r="A804" t="inlineStr">
        <is>
          <t>YX-WFS-01</t>
        </is>
      </c>
      <c r="B804" t="inlineStr">
        <is>
          <t>P22</t>
        </is>
      </c>
      <c r="C804" t="inlineStr">
        <is>
          <t>YX-WFS</t>
        </is>
      </c>
      <c r="D804" t="inlineStr">
        <is>
          <t>6+</t>
        </is>
      </c>
      <c r="E804" s="5" t="inlineStr">
        <is>
          <t>Every P19 automation is a one-step workflow (simple mode). Converting one never changes its behaviour; the P19 form stays available for one-step workflows.</t>
        </is>
      </c>
      <c r="F804" t="inlineStr">
        <is>
          <t>Not started</t>
        </is>
      </c>
      <c r="H804">
        <f>IF(G804&lt;&gt;"",G804,F804)</f>
        <v/>
      </c>
      <c r="I804" t="n">
        <v>0</v>
      </c>
      <c r="J804" t="n">
        <v>0</v>
      </c>
      <c r="K804" t="n">
        <v>0</v>
      </c>
      <c r="L804" s="5" t="inlineStr"/>
      <c r="M804" s="5" t="n"/>
    </row>
    <row r="805">
      <c r="A805" t="inlineStr">
        <is>
          <t>YX-WFS-02</t>
        </is>
      </c>
      <c r="B805" t="inlineStr">
        <is>
          <t>P22</t>
        </is>
      </c>
      <c r="C805" t="inlineStr">
        <is>
          <t>YX-WFS</t>
        </is>
      </c>
      <c r="D805" t="inlineStr">
        <is>
          <t>6+</t>
        </is>
      </c>
      <c r="E805" s="5" t="inlineStr">
        <is>
          <t>Create / update steps and scripts may change only company-owned and custom fields. Governed fields (statutory values, locked periods, audit, consent) are refused at save and at run (P19 YX-RULE-04).</t>
        </is>
      </c>
      <c r="F805" t="inlineStr">
        <is>
          <t>Not started</t>
        </is>
      </c>
      <c r="H805">
        <f>IF(G805&lt;&gt;"",G805,F805)</f>
        <v/>
      </c>
      <c r="I805" t="n">
        <v>0</v>
      </c>
      <c r="J805" t="n">
        <v>0</v>
      </c>
      <c r="K805" t="n">
        <v>0</v>
      </c>
      <c r="L805" s="5" t="inlineStr"/>
      <c r="M805" s="5" t="n"/>
    </row>
    <row r="806">
      <c r="A806" t="inlineStr">
        <is>
          <t>YX-WFS-03</t>
        </is>
      </c>
      <c r="B806" t="inlineStr">
        <is>
          <t>P22</t>
        </is>
      </c>
      <c r="C806" t="inlineStr">
        <is>
          <t>YX-WFS</t>
        </is>
      </c>
      <c r="D806" t="inlineStr">
        <is>
          <t>6+</t>
        </is>
      </c>
      <c r="E806" s="5" t="inlineStr">
        <is>
          <t>A workflow version can be published only after an impact preview (P19 YX-RULE-07) and a test run on sample records. The preview is stored with the version.</t>
        </is>
      </c>
      <c r="F806" t="inlineStr">
        <is>
          <t>UI prototype only</t>
        </is>
      </c>
      <c r="H806">
        <f>IF(G806&lt;&gt;"",G806,F806)</f>
        <v/>
      </c>
      <c r="I806" t="n">
        <v>0</v>
      </c>
      <c r="J806" t="n">
        <v>0</v>
      </c>
      <c r="K806" t="n">
        <v>2</v>
      </c>
      <c r="L806" s="5" t="inlineStr"/>
      <c r="M806" s="5" t="n"/>
    </row>
    <row r="807">
      <c r="A807" t="inlineStr">
        <is>
          <t>YX-WFS-04</t>
        </is>
      </c>
      <c r="B807" t="inlineStr">
        <is>
          <t>P22</t>
        </is>
      </c>
      <c r="C807" t="inlineStr">
        <is>
          <t>YX-WFS</t>
        </is>
      </c>
      <c r="D807" t="inlineStr">
        <is>
          <t>6+</t>
        </is>
      </c>
      <c r="E807" s="5" t="inlineStr">
        <is>
          <t>Publishing a version that touches pay, leave balances, access or people data needs a second approver (P19 YX-RULE-06; maker ≠ checker).</t>
        </is>
      </c>
      <c r="F807" t="inlineStr">
        <is>
          <t>Not started</t>
        </is>
      </c>
      <c r="H807">
        <f>IF(G807&lt;&gt;"",G807,F807)</f>
        <v/>
      </c>
      <c r="I807" t="n">
        <v>0</v>
      </c>
      <c r="J807" t="n">
        <v>0</v>
      </c>
      <c r="K807" t="n">
        <v>0</v>
      </c>
      <c r="L807" s="5" t="inlineStr"/>
      <c r="M807" s="5" t="n"/>
    </row>
    <row r="808">
      <c r="A808" t="inlineStr">
        <is>
          <t>YX-WFS-05</t>
        </is>
      </c>
      <c r="B808" t="inlineStr">
        <is>
          <t>P22</t>
        </is>
      </c>
      <c r="C808" t="inlineStr">
        <is>
          <t>YX-WFS</t>
        </is>
      </c>
      <c r="D808" t="inlineStr">
        <is>
          <t>6+</t>
        </is>
      </c>
      <c r="E808" s="5" t="inlineStr">
        <is>
          <t>Every version is kept; any past version can be viewed, compared and re-published. Runs record the version they used.</t>
        </is>
      </c>
      <c r="F808" t="inlineStr">
        <is>
          <t>UI prototype only</t>
        </is>
      </c>
      <c r="H808">
        <f>IF(G808&lt;&gt;"",G808,F808)</f>
        <v/>
      </c>
      <c r="I808" t="n">
        <v>0</v>
      </c>
      <c r="J808" t="n">
        <v>0</v>
      </c>
      <c r="K808" t="n">
        <v>2</v>
      </c>
      <c r="L808" s="5" t="inlineStr"/>
      <c r="M808" s="5" t="n"/>
    </row>
    <row r="809">
      <c r="A809" t="inlineStr">
        <is>
          <t>YX-WFS-06</t>
        </is>
      </c>
      <c r="B809" t="inlineStr">
        <is>
          <t>P22</t>
        </is>
      </c>
      <c r="C809" t="inlineStr">
        <is>
          <t>YX-WFS</t>
        </is>
      </c>
      <c r="D809" t="inlineStr">
        <is>
          <t>6+</t>
        </is>
      </c>
      <c r="E809" s="5" t="inlineStr">
        <is>
          <t>Every wait has a timeout and a timeout branch. Every loop has a max item count. A workflow without them can't be saved.</t>
        </is>
      </c>
      <c r="F809" t="inlineStr">
        <is>
          <t>UI prototype only</t>
        </is>
      </c>
      <c r="H809">
        <f>IF(G809&lt;&gt;"",G809,F809)</f>
        <v/>
      </c>
      <c r="I809" t="n">
        <v>0</v>
      </c>
      <c r="J809" t="n">
        <v>0</v>
      </c>
      <c r="K809" t="n">
        <v>2</v>
      </c>
      <c r="L809" s="5" t="inlineStr"/>
      <c r="M809" s="5" t="n"/>
    </row>
    <row r="810">
      <c r="A810" t="inlineStr">
        <is>
          <t>YX-WFS-07</t>
        </is>
      </c>
      <c r="B810" t="inlineStr">
        <is>
          <t>P22</t>
        </is>
      </c>
      <c r="C810" t="inlineStr">
        <is>
          <t>YX-WFS</t>
        </is>
      </c>
      <c r="D810" t="inlineStr">
        <is>
          <t>6+</t>
        </is>
      </c>
      <c r="E810" s="5" t="inlineStr">
        <is>
          <t>Per-run limits (records touched, steps, duration) stop the run with an alert when reached. Per-tenant daily limits follow fair use (D18) with 80 % / 100 % alerts; beyond is the usage add-on, never a silent stop of in-flight runs.</t>
        </is>
      </c>
      <c r="F810" t="inlineStr">
        <is>
          <t>Not started</t>
        </is>
      </c>
      <c r="H810">
        <f>IF(G810&lt;&gt;"",G810,F810)</f>
        <v/>
      </c>
      <c r="I810" t="n">
        <v>0</v>
      </c>
      <c r="J810" t="n">
        <v>0</v>
      </c>
      <c r="K810" t="n">
        <v>0</v>
      </c>
      <c r="L810" s="5" t="inlineStr"/>
      <c r="M810" s="5" t="n"/>
    </row>
    <row r="811">
      <c r="A811" t="inlineStr">
        <is>
          <t>YX-WFS-08</t>
        </is>
      </c>
      <c r="B811" t="inlineStr">
        <is>
          <t>P22</t>
        </is>
      </c>
      <c r="C811" t="inlineStr">
        <is>
          <t>YX-WFS</t>
        </is>
      </c>
      <c r="D811" t="inlineStr">
        <is>
          <t>6+</t>
        </is>
      </c>
      <c r="E811" s="5" t="inlineStr">
        <is>
          <t>Loop protection as P19 YX-RULE-11: a workflow's action can't re-trigger the same workflow on the same record in one chain; cross-workflow chains stop at a depth limit and log a loop warning.</t>
        </is>
      </c>
      <c r="F811" t="inlineStr">
        <is>
          <t>Not started</t>
        </is>
      </c>
      <c r="H811">
        <f>IF(G811&lt;&gt;"",G811,F811)</f>
        <v/>
      </c>
      <c r="I811" t="n">
        <v>0</v>
      </c>
      <c r="J811" t="n">
        <v>0</v>
      </c>
      <c r="K811" t="n">
        <v>0</v>
      </c>
      <c r="L811" s="5" t="inlineStr"/>
      <c r="M811" s="5" t="n"/>
    </row>
    <row r="812">
      <c r="A812" t="inlineStr">
        <is>
          <t>YX-WFS-09</t>
        </is>
      </c>
      <c r="B812" t="inlineStr">
        <is>
          <t>P22</t>
        </is>
      </c>
      <c r="C812" t="inlineStr">
        <is>
          <t>YX-WFS</t>
        </is>
      </c>
      <c r="D812" t="inlineStr">
        <is>
          <t>6+</t>
        </is>
      </c>
      <c r="E812" s="5" t="inlineStr">
        <is>
          <t>Each step declares retry, fallback branch or stop-and-alert. A failed run is visible in the failure queue with the step, input and error.</t>
        </is>
      </c>
      <c r="F812" t="inlineStr">
        <is>
          <t>Not started</t>
        </is>
      </c>
      <c r="H812">
        <f>IF(G812&lt;&gt;"",G812,F812)</f>
        <v/>
      </c>
      <c r="I812" t="n">
        <v>0</v>
      </c>
      <c r="J812" t="n">
        <v>0</v>
      </c>
      <c r="K812" t="n">
        <v>0</v>
      </c>
      <c r="L812" s="5" t="inlineStr"/>
      <c r="M812" s="5" t="n"/>
    </row>
    <row r="813">
      <c r="A813" t="inlineStr">
        <is>
          <t>YX-WFS-10</t>
        </is>
      </c>
      <c r="B813" t="inlineStr">
        <is>
          <t>P22</t>
        </is>
      </c>
      <c r="C813" t="inlineStr">
        <is>
          <t>YX-WFS</t>
        </is>
      </c>
      <c r="D813" t="inlineStr">
        <is>
          <t>6+</t>
        </is>
      </c>
      <c r="E813" s="5" t="inlineStr">
        <is>
          <t>Undo of a run reverses reversible steps in reverse order using their compensating actions; irreversible steps are listed and left as they are. Undo is refused for any step whose record has since changed or whose period is locked (P08), and the conflict is shown.</t>
        </is>
      </c>
      <c r="F813" t="inlineStr">
        <is>
          <t>Tested, code not linked</t>
        </is>
      </c>
      <c r="H813">
        <f>IF(G813&lt;&gt;"",G813,F813)</f>
        <v/>
      </c>
      <c r="I813" t="n">
        <v>0</v>
      </c>
      <c r="J813" t="n">
        <v>2</v>
      </c>
      <c r="K813" t="n">
        <v>2</v>
      </c>
      <c r="L813" s="5" t="inlineStr">
        <is>
          <t>exam-app-org:packages/yx-ui/src/screens/platform-b/platform-b.test.tsx
exam-app-ws:packages/yx-ui/src/screens/platform-b/platform-b.test.tsx</t>
        </is>
      </c>
      <c r="M813" s="5" t="n"/>
    </row>
    <row r="814">
      <c r="A814" t="inlineStr">
        <is>
          <t>YX-WFS-11</t>
        </is>
      </c>
      <c r="B814" t="inlineStr">
        <is>
          <t>P22</t>
        </is>
      </c>
      <c r="C814" t="inlineStr">
        <is>
          <t>YX-WFS</t>
        </is>
      </c>
      <c r="D814" t="inlineStr">
        <is>
          <t>6+</t>
        </is>
      </c>
      <c r="E814" s="5" t="inlineStr">
        <is>
          <t>Outbound HTTP and connection steps call only admin-approved endpoints or P10 connectors. Inbound webhooks need a valid HMAC signature and timestamp within 5 minutes; inbound email only from allow-listed senders.</t>
        </is>
      </c>
      <c r="F814" t="inlineStr">
        <is>
          <t>Not started</t>
        </is>
      </c>
      <c r="H814">
        <f>IF(G814&lt;&gt;"",G814,F814)</f>
        <v/>
      </c>
      <c r="I814" t="n">
        <v>0</v>
      </c>
      <c r="J814" t="n">
        <v>0</v>
      </c>
      <c r="K814" t="n">
        <v>0</v>
      </c>
      <c r="L814" s="5" t="inlineStr"/>
      <c r="M814" s="5" t="n"/>
    </row>
    <row r="815">
      <c r="A815" t="inlineStr">
        <is>
          <t>YX-WFS-12</t>
        </is>
      </c>
      <c r="B815" t="inlineStr">
        <is>
          <t>P22</t>
        </is>
      </c>
      <c r="C815" t="inlineStr">
        <is>
          <t>YX-WFS</t>
        </is>
      </c>
      <c r="D815" t="inlineStr">
        <is>
          <t>6+</t>
        </is>
      </c>
      <c r="E815" s="5" t="inlineStr">
        <is>
          <t>Kill switch: an admin can pause one workflow or all workflows in the tenant at once; pausing takes effect before the next step of every run.</t>
        </is>
      </c>
      <c r="F815" t="inlineStr">
        <is>
          <t>Not started</t>
        </is>
      </c>
      <c r="H815">
        <f>IF(G815&lt;&gt;"",G815,F815)</f>
        <v/>
      </c>
      <c r="I815" t="n">
        <v>0</v>
      </c>
      <c r="J815" t="n">
        <v>0</v>
      </c>
      <c r="K815" t="n">
        <v>0</v>
      </c>
      <c r="L815" s="5" t="inlineStr"/>
      <c r="M815" s="5" t="n"/>
    </row>
    <row r="816">
      <c r="A816" t="inlineStr">
        <is>
          <t>YX-WFS-13</t>
        </is>
      </c>
      <c r="B816" t="inlineStr">
        <is>
          <t>P22</t>
        </is>
      </c>
      <c r="C816" t="inlineStr">
        <is>
          <t>YX-WFS</t>
        </is>
      </c>
      <c r="D816" t="inlineStr">
        <is>
          <t>6+</t>
        </is>
      </c>
      <c r="E816" s="5" t="inlineStr">
        <is>
          <t>Script sandbox. Scripts run isolated: no file system, no network except approved endpoints, CPU / memory / time limits, SDK sandbox-safe subset only. Inputs, outputs and SDK calls are logged.</t>
        </is>
      </c>
      <c r="F816" t="inlineStr">
        <is>
          <t>Not started</t>
        </is>
      </c>
      <c r="H816">
        <f>IF(G816&lt;&gt;"",G816,F816)</f>
        <v/>
      </c>
      <c r="I816" t="n">
        <v>0</v>
      </c>
      <c r="J816" t="n">
        <v>0</v>
      </c>
      <c r="K816" t="n">
        <v>0</v>
      </c>
      <c r="L816" s="5" t="inlineStr"/>
      <c r="M816" s="5" t="n"/>
    </row>
    <row r="817">
      <c r="A817" t="inlineStr">
        <is>
          <t>YX-WFS-14</t>
        </is>
      </c>
      <c r="B817" t="inlineStr">
        <is>
          <t>P22</t>
        </is>
      </c>
      <c r="C817" t="inlineStr">
        <is>
          <t>YX-WFS</t>
        </is>
      </c>
      <c r="D817" t="inlineStr">
        <is>
          <t>6+</t>
        </is>
      </c>
      <c r="E817" s="5" t="inlineStr">
        <is>
          <t>Script identity. A script runs as a service identity whose permissions are equal to or narrower than the publishing admin's; never broader. Secrets come only from the vault. If the publisher's rights drop, the workflow pauses.</t>
        </is>
      </c>
      <c r="F817" t="inlineStr">
        <is>
          <t>Not started</t>
        </is>
      </c>
      <c r="H817">
        <f>IF(G817&lt;&gt;"",G817,F817)</f>
        <v/>
      </c>
      <c r="I817" t="n">
        <v>0</v>
      </c>
      <c r="J817" t="n">
        <v>0</v>
      </c>
      <c r="K817" t="n">
        <v>0</v>
      </c>
      <c r="L817" s="5" t="inlineStr"/>
      <c r="M817" s="5" t="n"/>
    </row>
    <row r="818">
      <c r="A818" t="inlineStr">
        <is>
          <t>YX-WFS-15</t>
        </is>
      </c>
      <c r="B818" t="inlineStr">
        <is>
          <t>P22</t>
        </is>
      </c>
      <c r="C818" t="inlineStr">
        <is>
          <t>YX-WFS</t>
        </is>
      </c>
      <c r="D818" t="inlineStr">
        <is>
          <t>6+</t>
        </is>
      </c>
      <c r="E818" s="5" t="inlineStr">
        <is>
          <t>Script review. Scripts pass static checks before publish, are versioned and reviewed like rules, and need a second approver when they touch pay or people data.</t>
        </is>
      </c>
      <c r="F818" t="inlineStr">
        <is>
          <t>Not started</t>
        </is>
      </c>
      <c r="H818">
        <f>IF(G818&lt;&gt;"",G818,F818)</f>
        <v/>
      </c>
      <c r="I818" t="n">
        <v>0</v>
      </c>
      <c r="J818" t="n">
        <v>0</v>
      </c>
      <c r="K818" t="n">
        <v>0</v>
      </c>
      <c r="L818" s="5" t="inlineStr"/>
      <c r="M818" s="5" t="n"/>
    </row>
    <row r="819">
      <c r="A819" t="inlineStr">
        <is>
          <t>YX-WFS-16</t>
        </is>
      </c>
      <c r="B819" t="inlineStr">
        <is>
          <t>P22</t>
        </is>
      </c>
      <c r="C819" t="inlineStr">
        <is>
          <t>YX-WFS</t>
        </is>
      </c>
      <c r="D819" t="inlineStr">
        <is>
          <t>6+</t>
        </is>
      </c>
      <c r="E819" s="5" t="inlineStr">
        <is>
          <t>AI build mode. The AI may draft workflows and scripts, explain them and run the impact preview; it can never publish. A person with publish rights publishes, under YX-WFS-03/04/15.</t>
        </is>
      </c>
      <c r="F819" t="inlineStr">
        <is>
          <t>Not started</t>
        </is>
      </c>
      <c r="H819">
        <f>IF(G819&lt;&gt;"",G819,F819)</f>
        <v/>
      </c>
      <c r="I819" t="n">
        <v>0</v>
      </c>
      <c r="J819" t="n">
        <v>0</v>
      </c>
      <c r="K819" t="n">
        <v>0</v>
      </c>
      <c r="L819" s="5" t="inlineStr"/>
      <c r="M819" s="5" t="n"/>
    </row>
    <row r="820">
      <c r="A820" t="inlineStr">
        <is>
          <t>YX-WFS-17</t>
        </is>
      </c>
      <c r="B820" t="inlineStr">
        <is>
          <t>P22</t>
        </is>
      </c>
      <c r="C820" t="inlineStr">
        <is>
          <t>YX-WFS</t>
        </is>
      </c>
      <c r="D820" t="inlineStr">
        <is>
          <t>6+</t>
        </is>
      </c>
      <c r="E820" s="5" t="inlineStr">
        <is>
          <t>AI do mode. A plan is executed only after the person approves it (plan approval, P10 YX-AI-15), only through public APIs, only with the person's permissions, and only within the approved plan. A step outside the plan stops the run.</t>
        </is>
      </c>
      <c r="F820" t="inlineStr">
        <is>
          <t>Not started</t>
        </is>
      </c>
      <c r="H820">
        <f>IF(G820&lt;&gt;"",G820,F820)</f>
        <v/>
      </c>
      <c r="I820" t="n">
        <v>0</v>
      </c>
      <c r="J820" t="n">
        <v>0</v>
      </c>
      <c r="K820" t="n">
        <v>0</v>
      </c>
      <c r="L820" s="5" t="inlineStr"/>
      <c r="M820" s="5" t="n"/>
    </row>
    <row r="821">
      <c r="A821" t="inlineStr">
        <is>
          <t>YX-WFS-18</t>
        </is>
      </c>
      <c r="B821" t="inlineStr">
        <is>
          <t>P22</t>
        </is>
      </c>
      <c r="C821" t="inlineStr">
        <is>
          <t>YX-WFS</t>
        </is>
      </c>
      <c r="D821" t="inlineStr">
        <is>
          <t>6+</t>
        </is>
      </c>
      <c r="E821" s="5" t="inlineStr">
        <is>
          <t>Always-confirm steps. Money (payroll release, payouts, bank files), statutory filing, approving or rejecting others' requests, candidate rejection, dismissal / termination and pay changes need a separate explicit confirmation per step, on the app's own screen; never executed autonomously, by workflow or by agent (P10 YX-AI-13).</t>
        </is>
      </c>
      <c r="F821" t="inlineStr">
        <is>
          <t>UI prototype only</t>
        </is>
      </c>
      <c r="H821">
        <f>IF(G821&lt;&gt;"",G821,F821)</f>
        <v/>
      </c>
      <c r="I821" t="n">
        <v>0</v>
      </c>
      <c r="J821" t="n">
        <v>0</v>
      </c>
      <c r="K821" t="n">
        <v>2</v>
      </c>
      <c r="L821" s="5" t="inlineStr"/>
      <c r="M821" s="5" t="n"/>
    </row>
    <row r="822">
      <c r="A822" t="inlineStr">
        <is>
          <t>YX-WFS-19</t>
        </is>
      </c>
      <c r="B822" t="inlineStr">
        <is>
          <t>P22</t>
        </is>
      </c>
      <c r="C822" t="inlineStr">
        <is>
          <t>YX-WFS</t>
        </is>
      </c>
      <c r="D822" t="inlineStr">
        <is>
          <t>6+</t>
        </is>
      </c>
      <c r="E822" s="5" t="inlineStr">
        <is>
          <t>Every workflow run, script call, agent plan and plan step is audited (P08): who, what, version, identity, records, result, undo.</t>
        </is>
      </c>
      <c r="F822" t="inlineStr">
        <is>
          <t>Not started</t>
        </is>
      </c>
      <c r="H822">
        <f>IF(G822&lt;&gt;"",G822,F822)</f>
        <v/>
      </c>
      <c r="I822" t="n">
        <v>0</v>
      </c>
      <c r="J822" t="n">
        <v>0</v>
      </c>
      <c r="K822" t="n">
        <v>0</v>
      </c>
      <c r="L822" s="5" t="inlineStr"/>
      <c r="M822" s="5" t="n"/>
    </row>
    <row r="823">
      <c r="A823" t="inlineStr">
        <is>
          <t>YX-WFS-20</t>
        </is>
      </c>
      <c r="B823" t="inlineStr">
        <is>
          <t>P22</t>
        </is>
      </c>
      <c r="C823" t="inlineStr">
        <is>
          <t>YX-WFS</t>
        </is>
      </c>
      <c r="D823" t="inlineStr">
        <is>
          <t>6+</t>
        </is>
      </c>
      <c r="E823" s="5" t="inlineStr">
        <is>
          <t>Workflows move between sandbox and production through P15 promotion when "promotion required" is on. YukthiX updates to gallery templates never change a tenant's workflows without acceptance.</t>
        </is>
      </c>
      <c r="F823" t="inlineStr">
        <is>
          <t>Not started</t>
        </is>
      </c>
      <c r="H823">
        <f>IF(G823&lt;&gt;"",G823,F823)</f>
        <v/>
      </c>
      <c r="I823" t="n">
        <v>0</v>
      </c>
      <c r="J823" t="n">
        <v>0</v>
      </c>
      <c r="K823" t="n">
        <v>0</v>
      </c>
      <c r="L823" s="5" t="inlineStr"/>
      <c r="M823" s="5" t="n"/>
    </row>
    <row r="824">
      <c r="A824" t="inlineStr">
        <is>
          <t>YX-AST-01</t>
        </is>
      </c>
      <c r="B824" t="inlineStr">
        <is>
          <t>P23</t>
        </is>
      </c>
      <c r="C824" t="inlineStr">
        <is>
          <t>YX-AST</t>
        </is>
      </c>
      <c r="D824" t="inlineStr">
        <is>
          <t>6+</t>
        </is>
      </c>
      <c r="E824" s="5" t="inlineStr">
        <is>
          <t>Advisory only. Every P23 output (explanation, draft, nudge, bias flag, suggestion, estimate, split, quote comparison) is a suggestion; a person accepts, edits or ignores it. Nothing is submitted, published, chosen or bought without that person's action (P10 YX-AI-01, YX-AI-13).</t>
        </is>
      </c>
      <c r="F824" t="inlineStr">
        <is>
          <t>Not started</t>
        </is>
      </c>
      <c r="H824">
        <f>IF(G824&lt;&gt;"",G824,F824)</f>
        <v/>
      </c>
      <c r="I824" t="n">
        <v>0</v>
      </c>
      <c r="J824" t="n">
        <v>0</v>
      </c>
      <c r="K824" t="n">
        <v>0</v>
      </c>
      <c r="L824" s="5" t="inlineStr"/>
      <c r="M824" s="5" t="n"/>
    </row>
    <row r="825">
      <c r="A825" t="inlineStr">
        <is>
          <t>YX-AST-02</t>
        </is>
      </c>
      <c r="B825" t="inlineStr">
        <is>
          <t>P23</t>
        </is>
      </c>
      <c r="C825" t="inlineStr">
        <is>
          <t>YX-AST</t>
        </is>
      </c>
      <c r="D825" t="inlineStr">
        <is>
          <t>6+</t>
        </is>
      </c>
      <c r="E825" s="5" t="inlineStr">
        <is>
          <t>AI data tiers. P23 AI features are registered (YX-AI-07) with allowed data classes. Special data is never sent to external models. Raw salary, bank and PAN values are sent only as placeholders and filled in by the app. Tenants whose region requires it use an in-region model (YX-AI-02/04).</t>
        </is>
      </c>
      <c r="F825" t="inlineStr">
        <is>
          <t>Not started</t>
        </is>
      </c>
      <c r="H825">
        <f>IF(G825&lt;&gt;"",G825,F825)</f>
        <v/>
      </c>
      <c r="I825" t="n">
        <v>0</v>
      </c>
      <c r="J825" t="n">
        <v>0</v>
      </c>
      <c r="K825" t="n">
        <v>0</v>
      </c>
      <c r="L825" s="5" t="inlineStr"/>
      <c r="M825" s="5" t="n"/>
    </row>
    <row r="826">
      <c r="A826" t="inlineStr">
        <is>
          <t>YX-AST-03</t>
        </is>
      </c>
      <c r="B826" t="inlineStr">
        <is>
          <t>P23</t>
        </is>
      </c>
      <c r="C826" t="inlineStr">
        <is>
          <t>YX-AST</t>
        </is>
      </c>
      <c r="D826" t="inlineStr">
        <is>
          <t>6+</t>
        </is>
      </c>
      <c r="E826" s="5" t="inlineStr">
        <is>
          <t>Visibility. Each helper reads only what the person already sees under P02. The payslip explainer and tax planner work only on the signed-in employee's own data; asking about someone else is refused and logged.</t>
        </is>
      </c>
      <c r="F826" t="inlineStr">
        <is>
          <t>Not started</t>
        </is>
      </c>
      <c r="H826">
        <f>IF(G826&lt;&gt;"",G826,F826)</f>
        <v/>
      </c>
      <c r="I826" t="n">
        <v>0</v>
      </c>
      <c r="J826" t="n">
        <v>0</v>
      </c>
      <c r="K826" t="n">
        <v>0</v>
      </c>
      <c r="L826" s="5" t="inlineStr"/>
      <c r="M826" s="5" t="n"/>
    </row>
    <row r="827">
      <c r="A827" t="inlineStr">
        <is>
          <t>YX-AST-04</t>
        </is>
      </c>
      <c r="B827" t="inlineStr">
        <is>
          <t>P23</t>
        </is>
      </c>
      <c r="C827" t="inlineStr">
        <is>
          <t>YX-AST</t>
        </is>
      </c>
      <c r="D827" t="inlineStr">
        <is>
          <t>6+</t>
        </is>
      </c>
      <c r="E827" s="5" t="inlineStr">
        <is>
          <t>Payslip causes from data. The pay-diff engine names a cause only when a payroll record supports it (LOP input, arrears line, tax projection change, component start / end, loan schedule, one-time pay, wage add-back, withhold). Anything left over is shown as "not explained" with a Raise payslip query action; the AI never invents a cause.</t>
        </is>
      </c>
      <c r="F827" t="inlineStr">
        <is>
          <t>Not started</t>
        </is>
      </c>
      <c r="H827">
        <f>IF(G827&lt;&gt;"",G827,F827)</f>
        <v/>
      </c>
      <c r="I827" t="n">
        <v>0</v>
      </c>
      <c r="J827" t="n">
        <v>0</v>
      </c>
      <c r="K827" t="n">
        <v>0</v>
      </c>
      <c r="L827" s="5" t="inlineStr"/>
      <c r="M827" s="5" t="n"/>
    </row>
    <row r="828">
      <c r="A828" t="inlineStr">
        <is>
          <t>YX-AST-05</t>
        </is>
      </c>
      <c r="B828" t="inlineStr">
        <is>
          <t>P23</t>
        </is>
      </c>
      <c r="C828" t="inlineStr">
        <is>
          <t>YX-AST</t>
        </is>
      </c>
      <c r="D828" t="inlineStr">
        <is>
          <t>6+</t>
        </is>
      </c>
      <c r="E828" s="5" t="inlineStr">
        <is>
          <t>Numbers from engines. Tax, take-home, statutory and pay amounts shown by P23 come from the M03 / P07 engines for the stated law version, never from an AI model.</t>
        </is>
      </c>
      <c r="F828" t="inlineStr">
        <is>
          <t>Not started</t>
        </is>
      </c>
      <c r="H828">
        <f>IF(G828&lt;&gt;"",G828,F828)</f>
        <v/>
      </c>
      <c r="I828" t="n">
        <v>0</v>
      </c>
      <c r="J828" t="n">
        <v>0</v>
      </c>
      <c r="K828" t="n">
        <v>0</v>
      </c>
      <c r="L828" s="5" t="inlineStr"/>
      <c r="M828" s="5" t="n"/>
    </row>
    <row r="829">
      <c r="A829" t="inlineStr">
        <is>
          <t>YX-AST-06</t>
        </is>
      </c>
      <c r="B829" t="inlineStr">
        <is>
          <t>P23</t>
        </is>
      </c>
      <c r="C829" t="inlineStr">
        <is>
          <t>YX-AST</t>
        </is>
      </c>
      <c r="D829" t="inlineStr">
        <is>
          <t>6+</t>
        </is>
      </c>
      <c r="E829" s="5" t="inlineStr">
        <is>
          <t>Policy drafts. A policy draft can be approved only after the P07 law-floor check for every chosen state has run and each finding is resolved or acknowledged. Drafts never auto-publish. Approved values enter P19 with impact preview; text enters M08 as a new policy version with acknowledgement. Every draft shows the disclaimer "Not legal advice; review by counsel recommended."</t>
        </is>
      </c>
      <c r="F829" t="inlineStr">
        <is>
          <t>Not started</t>
        </is>
      </c>
      <c r="H829">
        <f>IF(G829&lt;&gt;"",G829,F829)</f>
        <v/>
      </c>
      <c r="I829" t="n">
        <v>0</v>
      </c>
      <c r="J829" t="n">
        <v>0</v>
      </c>
      <c r="K829" t="n">
        <v>0</v>
      </c>
      <c r="L829" s="5" t="inlineStr"/>
      <c r="M829" s="5" t="n"/>
    </row>
    <row r="830">
      <c r="A830" t="inlineStr">
        <is>
          <t>YX-AST-07</t>
        </is>
      </c>
      <c r="B830" t="inlineStr">
        <is>
          <t>P23</t>
        </is>
      </c>
      <c r="C830" t="inlineStr">
        <is>
          <t>YX-AST</t>
        </is>
      </c>
      <c r="D830" t="inlineStr">
        <is>
          <t>6+</t>
        </is>
      </c>
      <c r="E830" s="5" t="inlineStr">
        <is>
          <t>Clause sources. Every clause in a policy draft is tagged as law (P07 rule ref), company answer, or AI suggestion; the tag stays visible until approval.</t>
        </is>
      </c>
      <c r="F830" t="inlineStr">
        <is>
          <t>UI prototype only</t>
        </is>
      </c>
      <c r="H830">
        <f>IF(G830&lt;&gt;"",G830,F830)</f>
        <v/>
      </c>
      <c r="I830" t="n">
        <v>0</v>
      </c>
      <c r="J830" t="n">
        <v>0</v>
      </c>
      <c r="K830" t="n">
        <v>2</v>
      </c>
      <c r="L830" s="5" t="inlineStr"/>
      <c r="M830" s="5" t="n"/>
    </row>
    <row r="831">
      <c r="A831" t="inlineStr">
        <is>
          <t>YX-AST-08</t>
        </is>
      </c>
      <c r="B831" t="inlineStr">
        <is>
          <t>P23</t>
        </is>
      </c>
      <c r="C831" t="inlineStr">
        <is>
          <t>YX-AST</t>
        </is>
      </c>
      <c r="D831" t="inlineStr">
        <is>
          <t>6+</t>
        </is>
      </c>
      <c r="E831" s="5" t="inlineStr">
        <is>
          <t>Work tool connectors. Calendar, Jira and GitHub are connected per user by OAuth with read-only scopes, revocable by the user at any time (tokens deleted on revoke or exit). Only metadata is read: titles, times, durations, issue keys, repository names. Code, diffs and message or comment bodies are never read or stored.</t>
        </is>
      </c>
      <c r="F831" t="inlineStr">
        <is>
          <t>UI prototype only</t>
        </is>
      </c>
      <c r="H831">
        <f>IF(G831&lt;&gt;"",G831,F831)</f>
        <v/>
      </c>
      <c r="I831" t="n">
        <v>0</v>
      </c>
      <c r="J831" t="n">
        <v>0</v>
      </c>
      <c r="K831" t="n">
        <v>2</v>
      </c>
      <c r="L831" s="5" t="inlineStr"/>
      <c r="M831" s="5" t="n"/>
    </row>
    <row r="832">
      <c r="A832" t="inlineStr">
        <is>
          <t>YX-AST-09</t>
        </is>
      </c>
      <c r="B832" t="inlineStr">
        <is>
          <t>P23</t>
        </is>
      </c>
      <c r="C832" t="inlineStr">
        <is>
          <t>YX-AST</t>
        </is>
      </c>
      <c r="D832" t="inlineStr">
        <is>
          <t>6+</t>
        </is>
      </c>
      <c r="E832" s="5" t="inlineStr">
        <is>
          <t>Timesheet never auto-submitted. Suggestions pre-fill a draft; only the employee submits. Raw activity and unaccepted suggestions are visible only to the employee, never to managers, HR reports or analytics.</t>
        </is>
      </c>
      <c r="F832" t="inlineStr">
        <is>
          <t>UI prototype only</t>
        </is>
      </c>
      <c r="H832">
        <f>IF(G832&lt;&gt;"",G832,F832)</f>
        <v/>
      </c>
      <c r="I832" t="n">
        <v>0</v>
      </c>
      <c r="J832" t="n">
        <v>0</v>
      </c>
      <c r="K832" t="n">
        <v>2</v>
      </c>
      <c r="L832" s="5" t="inlineStr"/>
      <c r="M832" s="5" t="n"/>
    </row>
    <row r="833">
      <c r="A833" t="inlineStr">
        <is>
          <t>YX-AST-10</t>
        </is>
      </c>
      <c r="B833" t="inlineStr">
        <is>
          <t>P23</t>
        </is>
      </c>
      <c r="C833" t="inlineStr">
        <is>
          <t>YX-AST</t>
        </is>
      </c>
      <c r="D833" t="inlineStr">
        <is>
          <t>6+</t>
        </is>
      </c>
      <c r="E833" s="5" t="inlineStr">
        <is>
          <t>Coach signals. Nudges use only signals the manager is allowed to see; never Special data, leave reasons or health information; attrition-risk only where the manager already has that access. Frequency is a company setting; each manager can opt out.</t>
        </is>
      </c>
      <c r="F833" t="inlineStr">
        <is>
          <t>UI prototype only</t>
        </is>
      </c>
      <c r="H833">
        <f>IF(G833&lt;&gt;"",G833,F833)</f>
        <v/>
      </c>
      <c r="I833" t="n">
        <v>0</v>
      </c>
      <c r="J833" t="n">
        <v>0</v>
      </c>
      <c r="K833" t="n">
        <v>2</v>
      </c>
      <c r="L833" s="5" t="inlineStr"/>
      <c r="M833" s="5" t="n"/>
    </row>
    <row r="834">
      <c r="A834" t="inlineStr">
        <is>
          <t>YX-AST-11</t>
        </is>
      </c>
      <c r="B834" t="inlineStr">
        <is>
          <t>P23</t>
        </is>
      </c>
      <c r="C834" t="inlineStr">
        <is>
          <t>YX-AST</t>
        </is>
      </c>
      <c r="D834" t="inlineStr">
        <is>
          <t>6+</t>
        </is>
      </c>
      <c r="E834" s="5" t="inlineStr">
        <is>
          <t>Bias check. Bias flags are suggestions; the manager's text and rating are final. Flag acceptance is reported only in aggregate with small-group suppression (P02), for fairness analytics (A13 / T05 style). The review assistant follows P10 EU classification (YX-AI-11) and the tenant's AI review summaries opt-in.</t>
        </is>
      </c>
      <c r="F834" t="inlineStr">
        <is>
          <t>Tested, code not linked</t>
        </is>
      </c>
      <c r="H834">
        <f>IF(G834&lt;&gt;"",G834,F834)</f>
        <v/>
      </c>
      <c r="I834" t="n">
        <v>0</v>
      </c>
      <c r="J834" t="n">
        <v>2</v>
      </c>
      <c r="K834" t="n">
        <v>4</v>
      </c>
      <c r="L834" s="5" t="inlineStr">
        <is>
          <t>exam-app-org:packages/yx-ui/src/screens/growth/growth.test.tsx
exam-app-ws:packages/yx-ui/src/screens/growth/growth.test.tsx</t>
        </is>
      </c>
      <c r="M834" s="5" t="n"/>
    </row>
    <row r="835">
      <c r="A835" t="inlineStr">
        <is>
          <t>YX-AST-12</t>
        </is>
      </c>
      <c r="B835" t="inlineStr">
        <is>
          <t>P23</t>
        </is>
      </c>
      <c r="C835" t="inlineStr">
        <is>
          <t>YX-AST</t>
        </is>
      </c>
      <c r="D835" t="inlineStr">
        <is>
          <t>6+</t>
        </is>
      </c>
      <c r="E835" s="5" t="inlineStr">
        <is>
          <t>Tax planner. Uses the employee's projected salary and the P07 IN.TDS law version for the tax year; shows "Estimate, not tax advice"; never selects a regime. Scenarios are private to the employee and never shown to the manager or in reports.</t>
        </is>
      </c>
      <c r="F835" t="inlineStr">
        <is>
          <t>UI prototype only</t>
        </is>
      </c>
      <c r="H835">
        <f>IF(G835&lt;&gt;"",G835,F835)</f>
        <v/>
      </c>
      <c r="I835" t="n">
        <v>0</v>
      </c>
      <c r="J835" t="n">
        <v>0</v>
      </c>
      <c r="K835" t="n">
        <v>2</v>
      </c>
      <c r="L835" s="5" t="inlineStr"/>
      <c r="M835" s="5" t="n"/>
    </row>
    <row r="836">
      <c r="A836" t="inlineStr">
        <is>
          <t>YX-AST-13</t>
        </is>
      </c>
      <c r="B836" t="inlineStr">
        <is>
          <t>P23</t>
        </is>
      </c>
      <c r="C836" t="inlineStr">
        <is>
          <t>YX-AST</t>
        </is>
      </c>
      <c r="D836" t="inlineStr">
        <is>
          <t>6+</t>
        </is>
      </c>
      <c r="E836" s="5" t="inlineStr">
        <is>
          <t>Salary optimiser. Every suggested split passes company CTC rules (P19) and law (Code wage 50 % rule YX-STAT-21, state minimum wage, PF / ESI) before it is shown. HR chooses; the options shown and the choice are audited (P08). A later law change marks saved suggestions as stale.</t>
        </is>
      </c>
      <c r="F836" t="inlineStr">
        <is>
          <t>UI prototype only</t>
        </is>
      </c>
      <c r="H836">
        <f>IF(G836&lt;&gt;"",G836,F836)</f>
        <v/>
      </c>
      <c r="I836" t="n">
        <v>0</v>
      </c>
      <c r="J836" t="n">
        <v>0</v>
      </c>
      <c r="K836" t="n">
        <v>2</v>
      </c>
      <c r="L836" s="5" t="inlineStr"/>
      <c r="M836" s="5" t="n"/>
    </row>
    <row r="837">
      <c r="A837" t="inlineStr">
        <is>
          <t>YX-AST-14</t>
        </is>
      </c>
      <c r="B837" t="inlineStr">
        <is>
          <t>P23</t>
        </is>
      </c>
      <c r="C837" t="inlineStr">
        <is>
          <t>YX-AST</t>
        </is>
      </c>
      <c r="D837" t="inlineStr">
        <is>
          <t>6+</t>
        </is>
      </c>
      <c r="E837" s="5" t="inlineStr">
        <is>
          <t>Insurance only through a licensed partner. Group insurance is quoted and sold only by an IRDAI-licensed broker or corporate agent whose licence is recorded and in date; an expired licence hides the offer. YukthiX never advises on or sells cover. The comparison uses the same fields for every quote and has no YukthiX recommendation.</t>
        </is>
      </c>
      <c r="F837" t="inlineStr">
        <is>
          <t>Not started</t>
        </is>
      </c>
      <c r="H837">
        <f>IF(G837&lt;&gt;"",G837,F837)</f>
        <v/>
      </c>
      <c r="I837" t="n">
        <v>0</v>
      </c>
      <c r="J837" t="n">
        <v>0</v>
      </c>
      <c r="K837" t="n">
        <v>0</v>
      </c>
      <c r="L837" s="5" t="inlineStr"/>
      <c r="M837" s="5" t="n"/>
    </row>
    <row r="838">
      <c r="A838" t="inlineStr">
        <is>
          <t>YX-AST-15</t>
        </is>
      </c>
      <c r="B838" t="inlineStr">
        <is>
          <t>P23</t>
        </is>
      </c>
      <c r="C838" t="inlineStr">
        <is>
          <t>YX-AST</t>
        </is>
      </c>
      <c r="D838" t="inlineStr">
        <is>
          <t>6+</t>
        </is>
      </c>
      <c r="E838" s="5" t="inlineStr">
        <is>
          <t>Insurance eligibility and data. The offer shows only to companies meeting the insurer's minimum headcount (default 7, to verify). The partner receives census fields only; health declarations stay on the partner's screen. Commission to YukthiX only as IRDAI rules permit.</t>
        </is>
      </c>
      <c r="F838" t="inlineStr">
        <is>
          <t>Not started</t>
        </is>
      </c>
      <c r="H838">
        <f>IF(G838&lt;&gt;"",G838,F838)</f>
        <v/>
      </c>
      <c r="I838" t="n">
        <v>0</v>
      </c>
      <c r="J838" t="n">
        <v>0</v>
      </c>
      <c r="K838" t="n">
        <v>0</v>
      </c>
      <c r="L838" s="5" t="inlineStr"/>
      <c r="M838" s="5" t="n"/>
    </row>
    <row r="839">
      <c r="A839" t="inlineStr">
        <is>
          <t>YX-AST-16</t>
        </is>
      </c>
      <c r="B839" t="inlineStr">
        <is>
          <t>P23</t>
        </is>
      </c>
      <c r="C839" t="inlineStr">
        <is>
          <t>YX-AST</t>
        </is>
      </c>
      <c r="D839" t="inlineStr">
        <is>
          <t>6+</t>
        </is>
      </c>
      <c r="E839" s="5" t="inlineStr">
        <is>
          <t>Perks. Off until the company switches it on; the company chooses categories (D17). Offers are labelled "Partner offer". No employee data goes to a merchant except the fields the employee consents to at redemption (consent recorded, YX-SEC-28). No offers or ads on payroll, payslip, tax or statutory screens.</t>
        </is>
      </c>
      <c r="F839" t="inlineStr">
        <is>
          <t>UI prototype only</t>
        </is>
      </c>
      <c r="H839">
        <f>IF(G839&lt;&gt;"",G839,F839)</f>
        <v/>
      </c>
      <c r="I839" t="n">
        <v>0</v>
      </c>
      <c r="J839" t="n">
        <v>0</v>
      </c>
      <c r="K839" t="n">
        <v>2</v>
      </c>
      <c r="L839" s="5" t="inlineStr"/>
      <c r="M839" s="5" t="n"/>
    </row>
    <row r="840">
      <c r="A840" t="inlineStr">
        <is>
          <t>YX-AST-17</t>
        </is>
      </c>
      <c r="B840" t="inlineStr">
        <is>
          <t>P23</t>
        </is>
      </c>
      <c r="C840" t="inlineStr">
        <is>
          <t>YX-AST</t>
        </is>
      </c>
      <c r="D840" t="inlineStr">
        <is>
          <t>6+</t>
        </is>
      </c>
      <c r="E840" s="5" t="inlineStr">
        <is>
          <t>Credits. AI helpers are included up to fair use per user per month; beyond it they draw AI credits (D18, YX-AI-14). With no credits left the rule-based parts (payslip diff, tax compare, salary split) keep working.</t>
        </is>
      </c>
      <c r="F840" t="inlineStr">
        <is>
          <t>Not started</t>
        </is>
      </c>
      <c r="H840">
        <f>IF(G840&lt;&gt;"",G840,F840)</f>
        <v/>
      </c>
      <c r="I840" t="n">
        <v>0</v>
      </c>
      <c r="J840" t="n">
        <v>0</v>
      </c>
      <c r="K840" t="n">
        <v>0</v>
      </c>
      <c r="L840" s="5" t="inlineStr"/>
      <c r="M840" s="5" t="n"/>
    </row>
    <row r="841">
      <c r="A841" t="inlineStr">
        <is>
          <t>YX-AST-18</t>
        </is>
      </c>
      <c r="B841" t="inlineStr">
        <is>
          <t>P23</t>
        </is>
      </c>
      <c r="C841" t="inlineStr">
        <is>
          <t>YX-AST</t>
        </is>
      </c>
      <c r="D841" t="inlineStr">
        <is>
          <t>6+</t>
        </is>
      </c>
      <c r="E841" s="5" t="inlineStr">
        <is>
          <t>Company switches (D17). Each P23 helper and marketplace can be switched on or off by the company; coach frequency, timesheet mapping rules and perk categories are company settings.</t>
        </is>
      </c>
      <c r="F841" t="inlineStr">
        <is>
          <t>Not started</t>
        </is>
      </c>
      <c r="H841">
        <f>IF(G841&lt;&gt;"",G841,F841)</f>
        <v/>
      </c>
      <c r="I841" t="n">
        <v>0</v>
      </c>
      <c r="J841" t="n">
        <v>0</v>
      </c>
      <c r="K841" t="n">
        <v>0</v>
      </c>
      <c r="L841" s="5" t="inlineStr"/>
      <c r="M841" s="5" t="n"/>
    </row>
    <row r="842">
      <c r="A842" t="inlineStr">
        <is>
          <t>YX-AST-19</t>
        </is>
      </c>
      <c r="B842" t="inlineStr">
        <is>
          <t>P23</t>
        </is>
      </c>
      <c r="C842" t="inlineStr">
        <is>
          <t>YX-AST</t>
        </is>
      </c>
      <c r="D842" t="inlineStr">
        <is>
          <t>6+</t>
        </is>
      </c>
      <c r="E842" s="5" t="inlineStr">
        <is>
          <t>Audit. Every AI call (P10 ai_calls), policy approval, salary-split choice, insurance purchase and perk redemption is audited (P08) with person, feature version and data classes.</t>
        </is>
      </c>
      <c r="F842" t="inlineStr">
        <is>
          <t>Not started</t>
        </is>
      </c>
      <c r="H842">
        <f>IF(G842&lt;&gt;"",G842,F842)</f>
        <v/>
      </c>
      <c r="I842" t="n">
        <v>0</v>
      </c>
      <c r="J842" t="n">
        <v>0</v>
      </c>
      <c r="K842" t="n">
        <v>0</v>
      </c>
      <c r="L842" s="5" t="inlineStr"/>
      <c r="M842" s="5" t="n"/>
    </row>
    <row r="843">
      <c r="A843" t="inlineStr">
        <is>
          <t>YX-QB-01</t>
        </is>
      </c>
      <c r="B843" t="inlineStr">
        <is>
          <t>T01</t>
        </is>
      </c>
      <c r="C843" t="inlineStr">
        <is>
          <t>YX-QB</t>
        </is>
      </c>
      <c r="D843" t="inlineStr">
        <is>
          <t>6+</t>
        </is>
      </c>
      <c r="E843" s="5" t="inlineStr">
        <is>
          <t>Only approved question versions can be added to a test that is being published. Draft / in-review versions can be previewed only.</t>
        </is>
      </c>
      <c r="F843" t="inlineStr">
        <is>
          <t>Not started</t>
        </is>
      </c>
      <c r="H843">
        <f>IF(G843&lt;&gt;"",G843,F843)</f>
        <v/>
      </c>
      <c r="I843" t="n">
        <v>0</v>
      </c>
      <c r="J843" t="n">
        <v>0</v>
      </c>
      <c r="K843" t="n">
        <v>0</v>
      </c>
      <c r="L843" s="5" t="inlineStr"/>
      <c r="M843" s="5" t="n"/>
    </row>
    <row r="844">
      <c r="A844" t="inlineStr">
        <is>
          <t>YX-QB-02</t>
        </is>
      </c>
      <c r="B844" t="inlineStr">
        <is>
          <t>T01</t>
        </is>
      </c>
      <c r="C844" t="inlineStr">
        <is>
          <t>YX-QB</t>
        </is>
      </c>
      <c r="D844" t="inlineStr">
        <is>
          <t>6+</t>
        </is>
      </c>
      <c r="E844" s="5" t="inlineStr">
        <is>
          <t>A major change always creates a new version. Published tests keep the version they were built with until the test owner upgrades them (Q4). Attempts keep a snapshot of the exact version served.</t>
        </is>
      </c>
      <c r="F844" t="inlineStr">
        <is>
          <t>Not started</t>
        </is>
      </c>
      <c r="H844">
        <f>IF(G844&lt;&gt;"",G844,F844)</f>
        <v/>
      </c>
      <c r="I844" t="n">
        <v>0</v>
      </c>
      <c r="J844" t="n">
        <v>0</v>
      </c>
      <c r="K844" t="n">
        <v>0</v>
      </c>
      <c r="L844" s="5" t="inlineStr"/>
      <c r="M844" s="5" t="n"/>
    </row>
    <row r="845">
      <c r="A845" t="inlineStr">
        <is>
          <t>YX-QB-03</t>
        </is>
      </c>
      <c r="B845" t="inlineStr">
        <is>
          <t>T01</t>
        </is>
      </c>
      <c r="C845" t="inlineStr">
        <is>
          <t>YX-QB</t>
        </is>
      </c>
      <c r="D845" t="inlineStr">
        <is>
          <t>6+</t>
        </is>
      </c>
      <c r="E845" s="5" t="inlineStr">
        <is>
          <t>Changing an answer key on a version already served offers a re-grade of affected attempts. The re-grade is audited and follows T05 result-release rules; it never silently changes released results.</t>
        </is>
      </c>
      <c r="F845" t="inlineStr">
        <is>
          <t>Not started</t>
        </is>
      </c>
      <c r="H845">
        <f>IF(G845&lt;&gt;"",G845,F845)</f>
        <v/>
      </c>
      <c r="I845" t="n">
        <v>0</v>
      </c>
      <c r="J845" t="n">
        <v>0</v>
      </c>
      <c r="K845" t="n">
        <v>0</v>
      </c>
      <c r="L845" s="5" t="inlineStr"/>
      <c r="M845" s="5" t="n"/>
    </row>
    <row r="846">
      <c r="A846" t="inlineStr">
        <is>
          <t>YX-QB-04</t>
        </is>
      </c>
      <c r="B846" t="inlineStr">
        <is>
          <t>T01</t>
        </is>
      </c>
      <c r="C846" t="inlineStr">
        <is>
          <t>YX-QB</t>
        </is>
      </c>
      <c r="D846" t="inlineStr">
        <is>
          <t>6+</t>
        </is>
      </c>
      <c r="E846" s="5" t="inlineStr">
        <is>
          <t>Marks and difficulty are separate fields. Difficulty uses the Q1 scale. Calibrated difficulty from T02 is stored alongside, never overwriting the authored value.</t>
        </is>
      </c>
      <c r="F846" t="inlineStr">
        <is>
          <t>Not started</t>
        </is>
      </c>
      <c r="H846">
        <f>IF(G846&lt;&gt;"",G846,F846)</f>
        <v/>
      </c>
      <c r="I846" t="n">
        <v>0</v>
      </c>
      <c r="J846" t="n">
        <v>0</v>
      </c>
      <c r="K846" t="n">
        <v>0</v>
      </c>
      <c r="L846" s="5" t="inlineStr"/>
      <c r="M846" s="5" t="n"/>
    </row>
    <row r="847">
      <c r="A847" t="inlineStr">
        <is>
          <t>YX-QB-05</t>
        </is>
      </c>
      <c r="B847" t="inlineStr">
        <is>
          <t>T01</t>
        </is>
      </c>
      <c r="C847" t="inlineStr">
        <is>
          <t>YX-QB</t>
        </is>
      </c>
      <c r="D847" t="inlineStr">
        <is>
          <t>6+</t>
        </is>
      </c>
      <c r="E847" s="5" t="inlineStr">
        <is>
          <t>Every question has at least one skill from the taxonomy before approval. Tags stay free-form.</t>
        </is>
      </c>
      <c r="F847" t="inlineStr">
        <is>
          <t>Not started</t>
        </is>
      </c>
      <c r="H847">
        <f>IF(G847&lt;&gt;"",G847,F847)</f>
        <v/>
      </c>
      <c r="I847" t="n">
        <v>0</v>
      </c>
      <c r="J847" t="n">
        <v>0</v>
      </c>
      <c r="K847" t="n">
        <v>0</v>
      </c>
      <c r="L847" s="5" t="inlineStr"/>
      <c r="M847" s="5" t="n"/>
    </row>
    <row r="848">
      <c r="A848" t="inlineStr">
        <is>
          <t>YX-QB-06</t>
        </is>
      </c>
      <c r="B848" t="inlineStr">
        <is>
          <t>T01</t>
        </is>
      </c>
      <c r="C848" t="inlineStr">
        <is>
          <t>YX-QB</t>
        </is>
      </c>
      <c r="D848" t="inlineStr">
        <is>
          <t>6+</t>
        </is>
      </c>
      <c r="E848" s="5" t="inlineStr">
        <is>
          <t>Retiring a question removes it from future test building. Historical attempts, reports and item statistics remain intact.</t>
        </is>
      </c>
      <c r="F848" t="inlineStr">
        <is>
          <t>Not started</t>
        </is>
      </c>
      <c r="H848">
        <f>IF(G848&lt;&gt;"",G848,F848)</f>
        <v/>
      </c>
      <c r="I848" t="n">
        <v>0</v>
      </c>
      <c r="J848" t="n">
        <v>0</v>
      </c>
      <c r="K848" t="n">
        <v>0</v>
      </c>
      <c r="L848" s="5" t="inlineStr"/>
      <c r="M848" s="5" t="n"/>
    </row>
    <row r="849">
      <c r="A849" t="inlineStr">
        <is>
          <t>YX-QB-07</t>
        </is>
      </c>
      <c r="B849" t="inlineStr">
        <is>
          <t>T01</t>
        </is>
      </c>
      <c r="C849" t="inlineStr">
        <is>
          <t>YX-QB</t>
        </is>
      </c>
      <c r="D849" t="inlineStr">
        <is>
          <t>6+</t>
        </is>
      </c>
      <c r="E849" s="5" t="inlineStr">
        <is>
          <t>The duplicate check runs on save (text + embedding similarity against the tenant bank). Near-duplicates above the threshold must be confirmed "not duplicate" by the reviewer before approval.</t>
        </is>
      </c>
      <c r="F849" t="inlineStr">
        <is>
          <t>Not started</t>
        </is>
      </c>
      <c r="H849">
        <f>IF(G849&lt;&gt;"",G849,F849)</f>
        <v/>
      </c>
      <c r="I849" t="n">
        <v>0</v>
      </c>
      <c r="J849" t="n">
        <v>0</v>
      </c>
      <c r="K849" t="n">
        <v>0</v>
      </c>
      <c r="L849" s="5" t="inlineStr"/>
      <c r="M849" s="5" t="n"/>
    </row>
    <row r="850">
      <c r="A850" t="inlineStr">
        <is>
          <t>YX-QB-08</t>
        </is>
      </c>
      <c r="B850" t="inlineStr">
        <is>
          <t>T01</t>
        </is>
      </c>
      <c r="C850" t="inlineStr">
        <is>
          <t>YX-QB</t>
        </is>
      </c>
      <c r="D850" t="inlineStr">
        <is>
          <t>6+</t>
        </is>
      </c>
      <c r="E850" s="5" t="inlineStr">
        <is>
          <t>A translation is served only when it is approved. A candidate's chosen language applies to the whole attempt. Code, formulas and option order stay identical across languages, so scores are comparable (Q5).</t>
        </is>
      </c>
      <c r="F850" t="inlineStr">
        <is>
          <t>Not started</t>
        </is>
      </c>
      <c r="H850">
        <f>IF(G850&lt;&gt;"",G850,F850)</f>
        <v/>
      </c>
      <c r="I850" t="n">
        <v>0</v>
      </c>
      <c r="J850" t="n">
        <v>0</v>
      </c>
      <c r="K850" t="n">
        <v>0</v>
      </c>
      <c r="L850" s="5" t="inlineStr"/>
      <c r="M850" s="5" t="n"/>
    </row>
    <row r="851">
      <c r="A851" t="inlineStr">
        <is>
          <t>YX-QB-09</t>
        </is>
      </c>
      <c r="B851" t="inlineStr">
        <is>
          <t>T01</t>
        </is>
      </c>
      <c r="C851" t="inlineStr">
        <is>
          <t>YX-QB</t>
        </is>
      </c>
      <c r="D851" t="inlineStr">
        <is>
          <t>6+</t>
        </is>
      </c>
      <c r="E851" s="5" t="inlineStr">
        <is>
          <t>Answer keys, test cases and model answers never reach the candidate runtime (browser) before the attempt is submitted.</t>
        </is>
      </c>
      <c r="F851" t="inlineStr">
        <is>
          <t>Not started</t>
        </is>
      </c>
      <c r="H851">
        <f>IF(G851&lt;&gt;"",G851,F851)</f>
        <v/>
      </c>
      <c r="I851" t="n">
        <v>0</v>
      </c>
      <c r="J851" t="n">
        <v>0</v>
      </c>
      <c r="K851" t="n">
        <v>0</v>
      </c>
      <c r="L851" s="5" t="inlineStr"/>
      <c r="M851" s="5" t="n"/>
    </row>
    <row r="852">
      <c r="A852" t="inlineStr">
        <is>
          <t>YX-QB-10</t>
        </is>
      </c>
      <c r="B852" t="inlineStr">
        <is>
          <t>T01</t>
        </is>
      </c>
      <c r="C852" t="inlineStr">
        <is>
          <t>YX-QB</t>
        </is>
      </c>
      <c r="D852" t="inlineStr">
        <is>
          <t>6+</t>
        </is>
      </c>
      <c r="E852" s="5" t="inlineStr">
        <is>
          <t>AI-generated questions are labelled with their source, always start as draft, and go through the same review (Q8).</t>
        </is>
      </c>
      <c r="F852" t="inlineStr">
        <is>
          <t>Not started</t>
        </is>
      </c>
      <c r="H852">
        <f>IF(G852&lt;&gt;"",G852,F852)</f>
        <v/>
      </c>
      <c r="I852" t="n">
        <v>0</v>
      </c>
      <c r="J852" t="n">
        <v>0</v>
      </c>
      <c r="K852" t="n">
        <v>0</v>
      </c>
      <c r="L852" s="5" t="inlineStr"/>
      <c r="M852" s="5" t="n"/>
    </row>
    <row r="853">
      <c r="A853" t="inlineStr">
        <is>
          <t>YX-QB-11</t>
        </is>
      </c>
      <c r="B853" t="inlineStr">
        <is>
          <t>T01</t>
        </is>
      </c>
      <c r="C853" t="inlineStr">
        <is>
          <t>YX-QB</t>
        </is>
      </c>
      <c r="D853" t="inlineStr">
        <is>
          <t>6+</t>
        </is>
      </c>
      <c r="E853" s="5" t="inlineStr">
        <is>
          <t>Media in questions carries alt text / captions (audio and video need a transcript) before approval (T03 accessibility).</t>
        </is>
      </c>
      <c r="F853" t="inlineStr">
        <is>
          <t>Not started</t>
        </is>
      </c>
      <c r="H853">
        <f>IF(G853&lt;&gt;"",G853,F853)</f>
        <v/>
      </c>
      <c r="I853" t="n">
        <v>0</v>
      </c>
      <c r="J853" t="n">
        <v>0</v>
      </c>
      <c r="K853" t="n">
        <v>0</v>
      </c>
      <c r="L853" s="5" t="inlineStr"/>
      <c r="M853" s="5" t="n"/>
    </row>
    <row r="854">
      <c r="A854" t="inlineStr">
        <is>
          <t>YX-QB-12</t>
        </is>
      </c>
      <c r="B854" t="inlineStr">
        <is>
          <t>T01</t>
        </is>
      </c>
      <c r="C854" t="inlineStr">
        <is>
          <t>YX-QB</t>
        </is>
      </c>
      <c r="D854" t="inlineStr">
        <is>
          <t>6+</t>
        </is>
      </c>
      <c r="E854" s="5" t="inlineStr">
        <is>
          <t>Export includes versions, translations, skills and media references in CSV / XLSX, and in QTI 2.1 for portability. Answer keys are exported only by users with the answer-key permission.</t>
        </is>
      </c>
      <c r="F854" t="inlineStr">
        <is>
          <t>Not started</t>
        </is>
      </c>
      <c r="H854">
        <f>IF(G854&lt;&gt;"",G854,F854)</f>
        <v/>
      </c>
      <c r="I854" t="n">
        <v>0</v>
      </c>
      <c r="J854" t="n">
        <v>0</v>
      </c>
      <c r="K854" t="n">
        <v>0</v>
      </c>
      <c r="L854" s="5" t="inlineStr"/>
      <c r="M854" s="5" t="n"/>
    </row>
    <row r="855">
      <c r="A855" t="inlineStr">
        <is>
          <t>YX-QB-13</t>
        </is>
      </c>
      <c r="B855" t="inlineStr">
        <is>
          <t>T01</t>
        </is>
      </c>
      <c r="C855" t="inlineStr">
        <is>
          <t>YX-QB</t>
        </is>
      </c>
      <c r="D855" t="inlineStr">
        <is>
          <t>6+</t>
        </is>
      </c>
      <c r="E855" s="5" t="inlineStr">
        <is>
          <t>Job-role profiles (B4). YukthiX starter role profiles are read-only, labelled "YukthiX starter" and versioned; a tenant copies a profile to edit it (D17). Updates to a starter profile show "newer starter version" on the tenant copy and are never applied automatically. Every profile skill must exist in the taxonomy (YX-QB-05).</t>
        </is>
      </c>
      <c r="F855" t="inlineStr">
        <is>
          <t>Not started</t>
        </is>
      </c>
      <c r="H855">
        <f>IF(G855&lt;&gt;"",G855,F855)</f>
        <v/>
      </c>
      <c r="I855" t="n">
        <v>0</v>
      </c>
      <c r="J855" t="n">
        <v>0</v>
      </c>
      <c r="K855" t="n">
        <v>0</v>
      </c>
      <c r="L855" s="5" t="inlineStr"/>
      <c r="M855" s="5" t="n"/>
    </row>
    <row r="856">
      <c r="A856" t="inlineStr">
        <is>
          <t>YX-QB-14</t>
        </is>
      </c>
      <c r="B856" t="inlineStr">
        <is>
          <t>T01</t>
        </is>
      </c>
      <c r="C856" t="inlineStr">
        <is>
          <t>YX-QB</t>
        </is>
      </c>
      <c r="D856" t="inlineStr">
        <is>
          <t>6+</t>
        </is>
      </c>
      <c r="E856" s="5" t="inlineStr">
        <is>
          <t>Language proficiency items (B14). A speaking or writing item can be approved only with a CEFR rubric attached and a target CEFR level. Recordings stay in-region; only transcripts / written text may reach external AI (P10, M10 R1, Q6). AI scoring is offered only for target languages YukthiX has validated (English at launch of this phase); other target languages are human-scored.</t>
        </is>
      </c>
      <c r="F856" t="inlineStr">
        <is>
          <t>Not started</t>
        </is>
      </c>
      <c r="H856">
        <f>IF(G856&lt;&gt;"",G856,F856)</f>
        <v/>
      </c>
      <c r="I856" t="n">
        <v>0</v>
      </c>
      <c r="J856" t="n">
        <v>0</v>
      </c>
      <c r="K856" t="n">
        <v>0</v>
      </c>
      <c r="L856" s="5" t="inlineStr"/>
      <c r="M856" s="5" t="n"/>
    </row>
    <row r="857">
      <c r="A857" t="inlineStr">
        <is>
          <t>YX-QB-15</t>
        </is>
      </c>
      <c r="B857" t="inlineStr">
        <is>
          <t>T01</t>
        </is>
      </c>
      <c r="C857" t="inlineStr">
        <is>
          <t>YX-QB</t>
        </is>
      </c>
      <c r="D857" t="inlineStr">
        <is>
          <t>6+</t>
        </is>
      </c>
      <c r="E857" s="5" t="inlineStr">
        <is>
          <t>Typing items (B14). Passages are rendered so they can't be copied into the answer (paste disabled, text not selectable); per-keystroke timings are captured for scoring and integrity only (T05 YX-EVAL-20, T04 YX-PROC-15) and follow biometric-class retention when keystroke dynamics is enabled.</t>
        </is>
      </c>
      <c r="F857" t="inlineStr">
        <is>
          <t>Not started</t>
        </is>
      </c>
      <c r="H857">
        <f>IF(G857&lt;&gt;"",G857,F857)</f>
        <v/>
      </c>
      <c r="I857" t="n">
        <v>0</v>
      </c>
      <c r="J857" t="n">
        <v>0</v>
      </c>
      <c r="K857" t="n">
        <v>0</v>
      </c>
      <c r="L857" s="5" t="inlineStr"/>
      <c r="M857" s="5" t="n"/>
    </row>
    <row r="858">
      <c r="A858" t="inlineStr">
        <is>
          <t>YX-QB-16</t>
        </is>
      </c>
      <c r="B858" t="inlineStr">
        <is>
          <t>T01</t>
        </is>
      </c>
      <c r="C858" t="inlineStr">
        <is>
          <t>YX-QB</t>
        </is>
      </c>
      <c r="D858" t="inlineStr">
        <is>
          <t>6+</t>
        </is>
      </c>
      <c r="E858" s="5" t="inlineStr">
        <is>
          <t>Skill tags from the library (T2). A question's skill tags are chosen from the company skills library (M06 YX-PERF-20) through its proctoring view; a tenant may keep its own domain / sub-skill labels, but each maps to exactly one library skill. Starter-taxonomy tags map automatically; an unmapped custom tag blocks approval until an author maps it. Renaming or merging a library skill updates the view, never a question version's history.</t>
        </is>
      </c>
      <c r="F858" t="inlineStr">
        <is>
          <t>Not started</t>
        </is>
      </c>
      <c r="H858">
        <f>IF(G858&lt;&gt;"",G858,F858)</f>
        <v/>
      </c>
      <c r="I858" t="n">
        <v>0</v>
      </c>
      <c r="J858" t="n">
        <v>0</v>
      </c>
      <c r="K858" t="n">
        <v>0</v>
      </c>
      <c r="L858" s="5" t="inlineStr"/>
      <c r="M858" s="5" t="n"/>
    </row>
    <row r="859">
      <c r="A859" t="inlineStr">
        <is>
          <t>YX-QB-17</t>
        </is>
      </c>
      <c r="B859" t="inlineStr">
        <is>
          <t>T01</t>
        </is>
      </c>
      <c r="C859" t="inlineStr">
        <is>
          <t>YX-QB</t>
        </is>
      </c>
      <c r="D859" t="inlineStr">
        <is>
          <t>6+</t>
        </is>
      </c>
      <c r="E859" s="5" t="inlineStr">
        <is>
          <t>Simulation and role-play items (T13). An in_tray, sim_chat_email or ai_role_play item is approved only with a rubric (criteria, levels, anchors) and, for role-play, a human-reviewed persona script with boundaries (topics, max turns, ending conditions). The AI persona sees only the script and the candidate's turns, never answer keys or other candidates; voice stays in-region and only text goes to external AI (as YX-QB-14). AI rubric scores are advisory; for hiring or promotion a human confirms them (T02 YX-TB-19, P10 YX-AI-01).</t>
        </is>
      </c>
      <c r="F859" t="inlineStr">
        <is>
          <t>Not started</t>
        </is>
      </c>
      <c r="H859">
        <f>IF(G859&lt;&gt;"",G859,F859)</f>
        <v/>
      </c>
      <c r="I859" t="n">
        <v>0</v>
      </c>
      <c r="J859" t="n">
        <v>0</v>
      </c>
      <c r="K859" t="n">
        <v>0</v>
      </c>
      <c r="L859" s="5" t="inlineStr"/>
      <c r="M859" s="5" t="n"/>
    </row>
    <row r="860">
      <c r="A860" t="inlineStr">
        <is>
          <t>YX-TB-01</t>
        </is>
      </c>
      <c r="B860" t="inlineStr">
        <is>
          <t>T02</t>
        </is>
      </c>
      <c r="C860" t="inlineStr">
        <is>
          <t>YX-TB</t>
        </is>
      </c>
      <c r="D860" t="inlineStr">
        <is>
          <t>6+</t>
        </is>
      </c>
      <c r="E860" s="5" t="inlineStr">
        <is>
          <t>A test can be published only when: every question version is approved (T01), section weights total 100 %, and every blueprint / adaptive cell meets the pool-depth minimum.</t>
        </is>
      </c>
      <c r="F860" t="inlineStr">
        <is>
          <t>Tested, code not linked</t>
        </is>
      </c>
      <c r="H860">
        <f>IF(G860&lt;&gt;"",G860,F860)</f>
        <v/>
      </c>
      <c r="I860" t="n">
        <v>0</v>
      </c>
      <c r="J860" t="n">
        <v>2</v>
      </c>
      <c r="K860" t="n">
        <v>2</v>
      </c>
      <c r="L860" s="5" t="inlineStr">
        <is>
          <t>exam-app-org:packages/yx-ui/src/screens/proctoring/proctoring.test.tsx
exam-app-ws:packages/yx-ui/src/screens/proctoring/proctoring.test.tsx</t>
        </is>
      </c>
      <c r="M860" s="5" t="n"/>
    </row>
    <row r="861">
      <c r="A861" t="inlineStr">
        <is>
          <t>YX-TB-02</t>
        </is>
      </c>
      <c r="B861" t="inlineStr">
        <is>
          <t>T02</t>
        </is>
      </c>
      <c r="C861" t="inlineStr">
        <is>
          <t>YX-TB</t>
        </is>
      </c>
      <c r="D861" t="inlineStr">
        <is>
          <t>6+</t>
        </is>
      </c>
      <c r="E861" s="5" t="inlineStr">
        <is>
          <t>Publishing creates an immutable test version. Editing a published test creates a new draft version. Candidates already invited keep their version unless an admin explicitly migrates them before they start (Q6).</t>
        </is>
      </c>
      <c r="F861" t="inlineStr">
        <is>
          <t>Not started</t>
        </is>
      </c>
      <c r="H861">
        <f>IF(G861&lt;&gt;"",G861,F861)</f>
        <v/>
      </c>
      <c r="I861" t="n">
        <v>0</v>
      </c>
      <c r="J861" t="n">
        <v>0</v>
      </c>
      <c r="K861" t="n">
        <v>0</v>
      </c>
      <c r="L861" s="5" t="inlineStr"/>
      <c r="M861" s="5" t="n"/>
    </row>
    <row r="862">
      <c r="A862" t="inlineStr">
        <is>
          <t>YX-TB-03</t>
        </is>
      </c>
      <c r="B862" t="inlineStr">
        <is>
          <t>T02</t>
        </is>
      </c>
      <c r="C862" t="inlineStr">
        <is>
          <t>YX-TB</t>
        </is>
      </c>
      <c r="D862" t="inlineStr">
        <is>
          <t>6+</t>
        </is>
      </c>
      <c r="E862" s="5" t="inlineStr">
        <is>
          <t>Randomised draws respect the blueprint exactly (count per skill × difficulty). Draws are seeded and stored on the attempt, so any attempt can be reproduced.</t>
        </is>
      </c>
      <c r="F862" t="inlineStr">
        <is>
          <t>Not started</t>
        </is>
      </c>
      <c r="H862">
        <f>IF(G862&lt;&gt;"",G862,F862)</f>
        <v/>
      </c>
      <c r="I862" t="n">
        <v>0</v>
      </c>
      <c r="J862" t="n">
        <v>0</v>
      </c>
      <c r="K862" t="n">
        <v>0</v>
      </c>
      <c r="L862" s="5" t="inlineStr"/>
      <c r="M862" s="5" t="n"/>
    </row>
    <row r="863">
      <c r="A863" t="inlineStr">
        <is>
          <t>YX-TB-04</t>
        </is>
      </c>
      <c r="B863" t="inlineStr">
        <is>
          <t>T02</t>
        </is>
      </c>
      <c r="C863" t="inlineStr">
        <is>
          <t>YX-TB</t>
        </is>
      </c>
      <c r="D863" t="inlineStr">
        <is>
          <t>6+</t>
        </is>
      </c>
      <c r="E863" s="5" t="inlineStr">
        <is>
          <t>Adaptive tests follow the Q1 engine. Step, floor / ceiling and termination rules are stored with the attempt. The adaptive path (item, answer, estimate after each item) is logged for review and appeals (T05).</t>
        </is>
      </c>
      <c r="F863" t="inlineStr">
        <is>
          <t>Not started</t>
        </is>
      </c>
      <c r="H863">
        <f>IF(G863&lt;&gt;"",G863,F863)</f>
        <v/>
      </c>
      <c r="I863" t="n">
        <v>0</v>
      </c>
      <c r="J863" t="n">
        <v>0</v>
      </c>
      <c r="K863" t="n">
        <v>0</v>
      </c>
      <c r="L863" s="5" t="inlineStr"/>
      <c r="M863" s="5" t="n"/>
    </row>
    <row r="864">
      <c r="A864" t="inlineStr">
        <is>
          <t>YX-TB-05</t>
        </is>
      </c>
      <c r="B864" t="inlineStr">
        <is>
          <t>T02</t>
        </is>
      </c>
      <c r="C864" t="inlineStr">
        <is>
          <t>YX-TB</t>
        </is>
      </c>
      <c r="D864" t="inlineStr">
        <is>
          <t>6+</t>
        </is>
      </c>
      <c r="E864" s="5" t="inlineStr">
        <is>
          <t>Adaptive, and any test where candidates see different forms, report a scaled score (Q3). Raw totals are never used to rank candidates across different forms.</t>
        </is>
      </c>
      <c r="F864" t="inlineStr">
        <is>
          <t>Not started</t>
        </is>
      </c>
      <c r="H864">
        <f>IF(G864&lt;&gt;"",G864,F864)</f>
        <v/>
      </c>
      <c r="I864" t="n">
        <v>0</v>
      </c>
      <c r="J864" t="n">
        <v>0</v>
      </c>
      <c r="K864" t="n">
        <v>0</v>
      </c>
      <c r="L864" s="5" t="inlineStr"/>
      <c r="M864" s="5" t="n"/>
    </row>
    <row r="865">
      <c r="A865" t="inlineStr">
        <is>
          <t>YX-TB-06</t>
        </is>
      </c>
      <c r="B865" t="inlineStr">
        <is>
          <t>T02</t>
        </is>
      </c>
      <c r="C865" t="inlineStr">
        <is>
          <t>YX-TB</t>
        </is>
      </c>
      <c r="D865" t="inlineStr">
        <is>
          <t>6+</t>
        </is>
      </c>
      <c r="E865" s="5" t="inlineStr">
        <is>
          <t>Enforced section timers auto-submit the section at zero. Advisory timers only warn. Forward-only sections never allow going back (Q4).</t>
        </is>
      </c>
      <c r="F865" t="inlineStr">
        <is>
          <t>Not started</t>
        </is>
      </c>
      <c r="H865">
        <f>IF(G865&lt;&gt;"",G865,F865)</f>
        <v/>
      </c>
      <c r="I865" t="n">
        <v>0</v>
      </c>
      <c r="J865" t="n">
        <v>0</v>
      </c>
      <c r="K865" t="n">
        <v>0</v>
      </c>
      <c r="L865" s="5" t="inlineStr"/>
      <c r="M865" s="5" t="n"/>
    </row>
    <row r="866">
      <c r="A866" t="inlineStr">
        <is>
          <t>YX-TB-07</t>
        </is>
      </c>
      <c r="B866" t="inlineStr">
        <is>
          <t>T02</t>
        </is>
      </c>
      <c r="C866" t="inlineStr">
        <is>
          <t>YX-TB</t>
        </is>
      </c>
      <c r="D866" t="inlineStr">
        <is>
          <t>6+</t>
        </is>
      </c>
      <c r="E866" s="5" t="inlineStr">
        <is>
          <t>Retakes follow the test's policy (Q5). A retake draws fresh questions where the pool allows. The score rule (best / latest / average) is shown to the candidate before starting.</t>
        </is>
      </c>
      <c r="F866" t="inlineStr">
        <is>
          <t>Not started</t>
        </is>
      </c>
      <c r="H866">
        <f>IF(G866&lt;&gt;"",G866,F866)</f>
        <v/>
      </c>
      <c r="I866" t="n">
        <v>0</v>
      </c>
      <c r="J866" t="n">
        <v>0</v>
      </c>
      <c r="K866" t="n">
        <v>0</v>
      </c>
      <c r="L866" s="5" t="inlineStr"/>
      <c r="M866" s="5" t="n"/>
    </row>
    <row r="867">
      <c r="A867" t="inlineStr">
        <is>
          <t>YX-TB-08</t>
        </is>
      </c>
      <c r="B867" t="inlineStr">
        <is>
          <t>T02</t>
        </is>
      </c>
      <c r="C867" t="inlineStr">
        <is>
          <t>YX-TB</t>
        </is>
      </c>
      <c r="D867" t="inlineStr">
        <is>
          <t>6+</t>
        </is>
      </c>
      <c r="E867" s="5" t="inlineStr">
        <is>
          <t>IRT parameters are used for scoring only once an item is calibrated (minimum responses per Q2). Provisional items are served as unscored pilot items or scored by authored difficulty, as configured.</t>
        </is>
      </c>
      <c r="F867" t="inlineStr">
        <is>
          <t>Not started</t>
        </is>
      </c>
      <c r="H867">
        <f>IF(G867&lt;&gt;"",G867,F867)</f>
        <v/>
      </c>
      <c r="I867" t="n">
        <v>0</v>
      </c>
      <c r="J867" t="n">
        <v>0</v>
      </c>
      <c r="K867" t="n">
        <v>0</v>
      </c>
      <c r="L867" s="5" t="inlineStr"/>
      <c r="M867" s="5" t="n"/>
    </row>
    <row r="868">
      <c r="A868" t="inlineStr">
        <is>
          <t>YX-TB-09</t>
        </is>
      </c>
      <c r="B868" t="inlineStr">
        <is>
          <t>T02</t>
        </is>
      </c>
      <c r="C868" t="inlineStr">
        <is>
          <t>YX-TB</t>
        </is>
      </c>
      <c r="D868" t="inlineStr">
        <is>
          <t>6+</t>
        </is>
      </c>
      <c r="E868" s="5" t="inlineStr">
        <is>
          <t>Item exposure is capped (Q7). Items over the cap are skipped by the draw and flagged for rotation. Adaptive selection includes exposure control.</t>
        </is>
      </c>
      <c r="F868" t="inlineStr">
        <is>
          <t>Not started</t>
        </is>
      </c>
      <c r="H868">
        <f>IF(G868&lt;&gt;"",G868,F868)</f>
        <v/>
      </c>
      <c r="I868" t="n">
        <v>0</v>
      </c>
      <c r="J868" t="n">
        <v>0</v>
      </c>
      <c r="K868" t="n">
        <v>0</v>
      </c>
      <c r="L868" s="5" t="inlineStr"/>
      <c r="M868" s="5" t="n"/>
    </row>
    <row r="869">
      <c r="A869" t="inlineStr">
        <is>
          <t>YX-TB-10</t>
        </is>
      </c>
      <c r="B869" t="inlineStr">
        <is>
          <t>T02</t>
        </is>
      </c>
      <c r="C869" t="inlineStr">
        <is>
          <t>YX-TB</t>
        </is>
      </c>
      <c r="D869" t="inlineStr">
        <is>
          <t>6+</t>
        </is>
      </c>
      <c r="E869" s="5" t="inlineStr">
        <is>
          <t>The coding sandbox enforces CPU, memory, wall-clock and no network per run. Every compile / run is kept as evidence (Q8). Hidden test cases never reach the browser.</t>
        </is>
      </c>
      <c r="F869" t="inlineStr">
        <is>
          <t>Not started</t>
        </is>
      </c>
      <c r="H869">
        <f>IF(G869&lt;&gt;"",G869,F869)</f>
        <v/>
      </c>
      <c r="I869" t="n">
        <v>0</v>
      </c>
      <c r="J869" t="n">
        <v>0</v>
      </c>
      <c r="K869" t="n">
        <v>0</v>
      </c>
      <c r="L869" s="5" t="inlineStr"/>
      <c r="M869" s="5" t="n"/>
    </row>
    <row r="870">
      <c r="A870" t="inlineStr">
        <is>
          <t>YX-TB-11</t>
        </is>
      </c>
      <c r="B870" t="inlineStr">
        <is>
          <t>T02</t>
        </is>
      </c>
      <c r="C870" t="inlineStr">
        <is>
          <t>YX-TB</t>
        </is>
      </c>
      <c r="D870" t="inlineStr">
        <is>
          <t>6+</t>
        </is>
      </c>
      <c r="E870" s="5" t="inlineStr">
        <is>
          <t>Test reliability (Cronbach's α for fixed / randomised; marginal reliability for IRT) is computed once the minimum number of attempts is reached. Tests below 0.7 are flagged to the owner.</t>
        </is>
      </c>
      <c r="F870" t="inlineStr">
        <is>
          <t>Not started</t>
        </is>
      </c>
      <c r="H870">
        <f>IF(G870&lt;&gt;"",G870,F870)</f>
        <v/>
      </c>
      <c r="I870" t="n">
        <v>0</v>
      </c>
      <c r="J870" t="n">
        <v>0</v>
      </c>
      <c r="K870" t="n">
        <v>0</v>
      </c>
      <c r="L870" s="5" t="inlineStr"/>
      <c r="M870" s="5" t="n"/>
    </row>
    <row r="871">
      <c r="A871" t="inlineStr">
        <is>
          <t>YX-TB-12</t>
        </is>
      </c>
      <c r="B871" t="inlineStr">
        <is>
          <t>T02</t>
        </is>
      </c>
      <c r="C871" t="inlineStr">
        <is>
          <t>YX-TB</t>
        </is>
      </c>
      <c r="D871" t="inlineStr">
        <is>
          <t>6+</t>
        </is>
      </c>
      <c r="E871" s="5" t="inlineStr">
        <is>
          <t>Every score records its scoring version (engine, parameters used). Re-scoring (e.g. after re-calibration or a T01 key fix) creates a new score version and never silently changes a released result (T05 release rules).</t>
        </is>
      </c>
      <c r="F871" t="inlineStr">
        <is>
          <t>Not started</t>
        </is>
      </c>
      <c r="H871">
        <f>IF(G871&lt;&gt;"",G871,F871)</f>
        <v/>
      </c>
      <c r="I871" t="n">
        <v>0</v>
      </c>
      <c r="J871" t="n">
        <v>0</v>
      </c>
      <c r="K871" t="n">
        <v>0</v>
      </c>
      <c r="L871" s="5" t="inlineStr"/>
      <c r="M871" s="5" t="n"/>
    </row>
    <row r="872">
      <c r="A872" t="inlineStr">
        <is>
          <t>YX-TB-13</t>
        </is>
      </c>
      <c r="B872" t="inlineStr">
        <is>
          <t>T02</t>
        </is>
      </c>
      <c r="C872" t="inlineStr">
        <is>
          <t>YX-TB</t>
        </is>
      </c>
      <c r="D872" t="inlineStr">
        <is>
          <t>6+</t>
        </is>
      </c>
      <c r="E872" s="5" t="inlineStr">
        <is>
          <t>Starter tests (B4). Starter tests are read-only and labelled "YukthiX starter"; tenants use them only through a copy, which becomes a normal draft test (YX-TB-01 / 02 apply). A newer starter version is shown as a prompt on the copy and is never applied automatically. Starter tests draw only from starter questions.</t>
        </is>
      </c>
      <c r="F872" t="inlineStr">
        <is>
          <t>Not started</t>
        </is>
      </c>
      <c r="H872">
        <f>IF(G872&lt;&gt;"",G872,F872)</f>
        <v/>
      </c>
      <c r="I872" t="n">
        <v>0</v>
      </c>
      <c r="J872" t="n">
        <v>0</v>
      </c>
      <c r="K872" t="n">
        <v>0</v>
      </c>
      <c r="L872" s="5" t="inlineStr"/>
      <c r="M872" s="5" t="n"/>
    </row>
    <row r="873">
      <c r="A873" t="inlineStr">
        <is>
          <t>YX-TB-14</t>
        </is>
      </c>
      <c r="B873" t="inlineStr">
        <is>
          <t>T02</t>
        </is>
      </c>
      <c r="C873" t="inlineStr">
        <is>
          <t>YX-TB</t>
        </is>
      </c>
      <c r="D873" t="inlineStr">
        <is>
          <t>6+</t>
        </is>
      </c>
      <c r="E873" s="5" t="inlineStr">
        <is>
          <t>AI test assembly from a JD (B4). Output is always a draft test, never published without human review. Only the JD text and the tenant's taxonomy / role-profile names go to AI (no candidate data, no answer keys, P10). Items are drawn only from approved questions; AI-drafted gap-fill questions start as drafts (T01 YX-QB-10). Each run is metered in AI credits (add-on, D18) and kept in jd_assembly_runs.</t>
        </is>
      </c>
      <c r="F873" t="inlineStr">
        <is>
          <t>Not started</t>
        </is>
      </c>
      <c r="H873">
        <f>IF(G873&lt;&gt;"",G873,F873)</f>
        <v/>
      </c>
      <c r="I873" t="n">
        <v>0</v>
      </c>
      <c r="J873" t="n">
        <v>0</v>
      </c>
      <c r="K873" t="n">
        <v>0</v>
      </c>
      <c r="L873" s="5" t="inlineStr"/>
      <c r="M873" s="5" t="n"/>
    </row>
    <row r="874">
      <c r="A874" t="inlineStr">
        <is>
          <t>YX-TB-15</t>
        </is>
      </c>
      <c r="B874" t="inlineStr">
        <is>
          <t>T02</t>
        </is>
      </c>
      <c r="C874" t="inlineStr">
        <is>
          <t>YX-TB</t>
        </is>
      </c>
      <c r="D874" t="inlineStr">
        <is>
          <t>6+</t>
        </is>
      </c>
      <c r="E874" s="5" t="inlineStr">
        <is>
          <t>Sectional cut-offs (B4). When a test has section cut-offs, the result is "pass" only if the overall pass mark and every enabled section cut-off are met. Each section's outcome is stored on the score. If the test says so, cut-offs are shown to the candidate before starting. A section voided by a T05 verdict counts as not met unless the reviewer records otherwise with a reason.</t>
        </is>
      </c>
      <c r="F874" t="inlineStr">
        <is>
          <t>Tested, code not linked</t>
        </is>
      </c>
      <c r="H874">
        <f>IF(G874&lt;&gt;"",G874,F874)</f>
        <v/>
      </c>
      <c r="I874" t="n">
        <v>0</v>
      </c>
      <c r="J874" t="n">
        <v>2</v>
      </c>
      <c r="K874" t="n">
        <v>2</v>
      </c>
      <c r="L874" s="5" t="inlineStr">
        <is>
          <t>exam-app-org:packages/yx-ui/src/screens/proctoring/proctoring.test.tsx
exam-app-ws:packages/yx-ui/src/screens/proctoring/proctoring.test.tsx</t>
        </is>
      </c>
      <c r="M874" s="5" t="n"/>
    </row>
    <row r="875">
      <c r="A875" t="inlineStr">
        <is>
          <t>YX-TB-16</t>
        </is>
      </c>
      <c r="B875" t="inlineStr">
        <is>
          <t>T02</t>
        </is>
      </c>
      <c r="C875" t="inlineStr">
        <is>
          <t>YX-TB</t>
        </is>
      </c>
      <c r="D875" t="inlineStr">
        <is>
          <t>6+</t>
        </is>
      </c>
      <c r="E875" s="5" t="inlineStr">
        <is>
          <t>Parallel forms &amp; equating (B15). Parallel forms must share anchor items (default ≥ 20 %, minimum 10) and match the blueprint. Candidates on different forms are compared only on the equated scaled score (extends YX-TB-05). Scores before the Q2 minimum per form are marked "provisional"; re-equating creates a new score version (YX-TB-12).</t>
        </is>
      </c>
      <c r="F875" t="inlineStr">
        <is>
          <t>Not started</t>
        </is>
      </c>
      <c r="H875">
        <f>IF(G875&lt;&gt;"",G875,F875)</f>
        <v/>
      </c>
      <c r="I875" t="n">
        <v>0</v>
      </c>
      <c r="J875" t="n">
        <v>0</v>
      </c>
      <c r="K875" t="n">
        <v>0</v>
      </c>
      <c r="L875" s="5" t="inlineStr"/>
      <c r="M875" s="5" t="n"/>
    </row>
    <row r="876">
      <c r="A876" t="inlineStr">
        <is>
          <t>YX-TB-17</t>
        </is>
      </c>
      <c r="B876" t="inlineStr">
        <is>
          <t>T02</t>
        </is>
      </c>
      <c r="C876" t="inlineStr">
        <is>
          <t>YX-TB</t>
        </is>
      </c>
      <c r="D876" t="inlineStr">
        <is>
          <t>6+</t>
        </is>
      </c>
      <c r="E876" s="5" t="inlineStr">
        <is>
          <t>Cut-score studies (B15). A test marked certification can be published only with an approved cut-score study, or an owner override with a written reason (audited). SMEs rate independently in round 1 (no peer ratings visible). The study record (method, panel, rounds, ratings, impact data, approval) is kept with the test version.</t>
        </is>
      </c>
      <c r="F876" t="inlineStr">
        <is>
          <t>Not started</t>
        </is>
      </c>
      <c r="H876">
        <f>IF(G876&lt;&gt;"",G876,F876)</f>
        <v/>
      </c>
      <c r="I876" t="n">
        <v>0</v>
      </c>
      <c r="J876" t="n">
        <v>0</v>
      </c>
      <c r="K876" t="n">
        <v>0</v>
      </c>
      <c r="L876" s="5" t="inlineStr"/>
      <c r="M876" s="5" t="n"/>
    </row>
    <row r="877">
      <c r="A877" t="inlineStr">
        <is>
          <t>YX-TB-18</t>
        </is>
      </c>
      <c r="B877" t="inlineStr">
        <is>
          <t>T02</t>
        </is>
      </c>
      <c r="C877" t="inlineStr">
        <is>
          <t>YX-TB</t>
        </is>
      </c>
      <c r="D877" t="inlineStr">
        <is>
          <t>6+</t>
        </is>
      </c>
      <c r="E877" s="5" t="inlineStr">
        <is>
          <t>Item fairness statistics (A13). Item statistics include DIF (Mantel-Haenszel and IRT-based) per group once sample thresholds are met, and the question editor shows the DIF grade next to difficulty and discrimination. Findings follow T05 YX-EVAL-26 / 27.</t>
        </is>
      </c>
      <c r="F877" t="inlineStr">
        <is>
          <t>Not started</t>
        </is>
      </c>
      <c r="H877">
        <f>IF(G877&lt;&gt;"",G877,F877)</f>
        <v/>
      </c>
      <c r="I877" t="n">
        <v>0</v>
      </c>
      <c r="J877" t="n">
        <v>0</v>
      </c>
      <c r="K877" t="n">
        <v>0</v>
      </c>
      <c r="L877" s="5" t="inlineStr"/>
      <c r="M877" s="5" t="n"/>
    </row>
    <row r="878">
      <c r="A878" t="inlineStr">
        <is>
          <t>YX-TB-19</t>
        </is>
      </c>
      <c r="B878" t="inlineStr">
        <is>
          <t>T02</t>
        </is>
      </c>
      <c r="C878" t="inlineStr">
        <is>
          <t>YX-TB</t>
        </is>
      </c>
      <c r="D878" t="inlineStr">
        <is>
          <t>6+</t>
        </is>
      </c>
      <c r="E878" s="5" t="inlineStr">
        <is>
          <t>Simulation sections (T13). A section with simulation or role-play items has a section time limit (in-tray) or a turn cap plus time limit (role-play). Its score is the rubric total; when AI scored it and the test is used for hiring or promotion, the score is provisional until a human reviewer confirms or changes it (P10 YX-AI-01), and sectional cut-offs (YX-TB-15) use only the confirmed score. AI role-play runs consume AI credits (D18).</t>
        </is>
      </c>
      <c r="F878" t="inlineStr">
        <is>
          <t>Not started</t>
        </is>
      </c>
      <c r="H878">
        <f>IF(G878&lt;&gt;"",G878,F878)</f>
        <v/>
      </c>
      <c r="I878" t="n">
        <v>0</v>
      </c>
      <c r="J878" t="n">
        <v>0</v>
      </c>
      <c r="K878" t="n">
        <v>0</v>
      </c>
      <c r="L878" s="5" t="inlineStr"/>
      <c r="M878" s="5" t="n"/>
    </row>
    <row r="879">
      <c r="A879" t="inlineStr">
        <is>
          <t>YX-DLV-01</t>
        </is>
      </c>
      <c r="B879" t="inlineStr">
        <is>
          <t>T03</t>
        </is>
      </c>
      <c r="C879" t="inlineStr">
        <is>
          <t>YX-DLV</t>
        </is>
      </c>
      <c r="D879" t="inlineStr">
        <is>
          <t>6+</t>
        </is>
      </c>
      <c r="E879" s="5" t="inlineStr">
        <is>
          <t>Times are stored in UTC and shown in the candidate's local time zone. The test records its authoring time zone. Every reminder shows both the time and the zone.</t>
        </is>
      </c>
      <c r="F879" t="inlineStr">
        <is>
          <t>Not started</t>
        </is>
      </c>
      <c r="H879">
        <f>IF(G879&lt;&gt;"",G879,F879)</f>
        <v/>
      </c>
      <c r="I879" t="n">
        <v>0</v>
      </c>
      <c r="J879" t="n">
        <v>0</v>
      </c>
      <c r="K879" t="n">
        <v>0</v>
      </c>
      <c r="L879" s="5" t="inlineStr"/>
      <c r="M879" s="5" t="n"/>
    </row>
    <row r="880">
      <c r="A880" t="inlineStr">
        <is>
          <t>YX-DLV-02</t>
        </is>
      </c>
      <c r="B880" t="inlineStr">
        <is>
          <t>T03</t>
        </is>
      </c>
      <c r="C880" t="inlineStr">
        <is>
          <t>YX-DLV</t>
        </is>
      </c>
      <c r="D880" t="inlineStr">
        <is>
          <t>6+</t>
        </is>
      </c>
      <c r="E880" s="5" t="inlineStr">
        <is>
          <t>Reminders go out before the window / slot (Q1 defaults). A missed test raises an alert to the recruiter and a "missed" message to the candidate with next steps.</t>
        </is>
      </c>
      <c r="F880" t="inlineStr">
        <is>
          <t>Not started</t>
        </is>
      </c>
      <c r="H880">
        <f>IF(G880&lt;&gt;"",G880,F880)</f>
        <v/>
      </c>
      <c r="I880" t="n">
        <v>0</v>
      </c>
      <c r="J880" t="n">
        <v>0</v>
      </c>
      <c r="K880" t="n">
        <v>0</v>
      </c>
      <c r="L880" s="5" t="inlineStr"/>
      <c r="M880" s="5" t="n"/>
    </row>
    <row r="881">
      <c r="A881" t="inlineStr">
        <is>
          <t>YX-DLV-03</t>
        </is>
      </c>
      <c r="B881" t="inlineStr">
        <is>
          <t>T03</t>
        </is>
      </c>
      <c r="C881" t="inlineStr">
        <is>
          <t>YX-DLV</t>
        </is>
      </c>
      <c r="D881" t="inlineStr">
        <is>
          <t>6+</t>
        </is>
      </c>
      <c r="E881" s="5" t="inlineStr">
        <is>
          <t>Slot booking respects capacity. Reschedules are limited per the Q1 policy. A no-show is recorded automatically at slot end + grace.</t>
        </is>
      </c>
      <c r="F881" t="inlineStr">
        <is>
          <t>Not started</t>
        </is>
      </c>
      <c r="H881">
        <f>IF(G881&lt;&gt;"",G881,F881)</f>
        <v/>
      </c>
      <c r="I881" t="n">
        <v>0</v>
      </c>
      <c r="J881" t="n">
        <v>0</v>
      </c>
      <c r="K881" t="n">
        <v>0</v>
      </c>
      <c r="L881" s="5" t="inlineStr"/>
      <c r="M881" s="5" t="n"/>
    </row>
    <row r="882">
      <c r="A882" t="inlineStr">
        <is>
          <t>YX-DLV-04</t>
        </is>
      </c>
      <c r="B882" t="inlineStr">
        <is>
          <t>T03</t>
        </is>
      </c>
      <c r="C882" t="inlineStr">
        <is>
          <t>YX-DLV</t>
        </is>
      </c>
      <c r="D882" t="inlineStr">
        <is>
          <t>6+</t>
        </is>
      </c>
      <c r="E882" s="5" t="inlineStr">
        <is>
          <t>The server is the only clock. Answers are saved on every change and acknowledged. When offline, the client queues answers locally (encrypted) and syncs them on reconnect, with server-side conflict resolution (Q3).</t>
        </is>
      </c>
      <c r="F882" t="inlineStr">
        <is>
          <t>Not started</t>
        </is>
      </c>
      <c r="H882">
        <f>IF(G882&lt;&gt;"",G882,F882)</f>
        <v/>
      </c>
      <c r="I882" t="n">
        <v>0</v>
      </c>
      <c r="J882" t="n">
        <v>0</v>
      </c>
      <c r="K882" t="n">
        <v>0</v>
      </c>
      <c r="L882" s="5" t="inlineStr"/>
      <c r="M882" s="5" t="n"/>
    </row>
    <row r="883">
      <c r="A883" t="inlineStr">
        <is>
          <t>YX-DLV-05</t>
        </is>
      </c>
      <c r="B883" t="inlineStr">
        <is>
          <t>T03</t>
        </is>
      </c>
      <c r="C883" t="inlineStr">
        <is>
          <t>YX-DLV</t>
        </is>
      </c>
      <c r="D883" t="inlineStr">
        <is>
          <t>6+</t>
        </is>
      </c>
      <c r="E883" s="5" t="inlineStr">
        <is>
          <t>Lost time is measured on the server from missed heartbeats. Credit follows Q4: automatic up to the cap, beyond that only with admin approval. Every credit is audited.</t>
        </is>
      </c>
      <c r="F883" t="inlineStr">
        <is>
          <t>Not started</t>
        </is>
      </c>
      <c r="H883">
        <f>IF(G883&lt;&gt;"",G883,F883)</f>
        <v/>
      </c>
      <c r="I883" t="n">
        <v>0</v>
      </c>
      <c r="J883" t="n">
        <v>0</v>
      </c>
      <c r="K883" t="n">
        <v>0</v>
      </c>
      <c r="L883" s="5" t="inlineStr"/>
      <c r="M883" s="5" t="n"/>
    </row>
    <row r="884">
      <c r="A884" t="inlineStr">
        <is>
          <t>YX-DLV-06</t>
        </is>
      </c>
      <c r="B884" t="inlineStr">
        <is>
          <t>T03</t>
        </is>
      </c>
      <c r="C884" t="inlineStr">
        <is>
          <t>YX-DLV</t>
        </is>
      </c>
      <c r="D884" t="inlineStr">
        <is>
          <t>6+</t>
        </is>
      </c>
      <c r="E884" s="5" t="inlineStr">
        <is>
          <t>Resuming after a block or a long disconnection needs re-authentication (face re-check per T04 mode, or OTP for Open mode) when the Q4 threshold is exceeded.</t>
        </is>
      </c>
      <c r="F884" t="inlineStr">
        <is>
          <t>Not started</t>
        </is>
      </c>
      <c r="H884">
        <f>IF(G884&lt;&gt;"",G884,F884)</f>
        <v/>
      </c>
      <c r="I884" t="n">
        <v>0</v>
      </c>
      <c r="J884" t="n">
        <v>0</v>
      </c>
      <c r="K884" t="n">
        <v>0</v>
      </c>
      <c r="L884" s="5" t="inlineStr"/>
      <c r="M884" s="5" t="n"/>
    </row>
    <row r="885">
      <c r="A885" t="inlineStr">
        <is>
          <t>YX-DLV-07</t>
        </is>
      </c>
      <c r="B885" t="inlineStr">
        <is>
          <t>T03</t>
        </is>
      </c>
      <c r="C885" t="inlineStr">
        <is>
          <t>YX-DLV</t>
        </is>
      </c>
      <c r="D885" t="inlineStr">
        <is>
          <t>6+</t>
        </is>
      </c>
      <c r="E885" s="5" t="inlineStr">
        <is>
          <t>Breaks follow the test's rules (Q5). Proctoring pauses during a break, and re-verification is required on return in proctored modes.</t>
        </is>
      </c>
      <c r="F885" t="inlineStr">
        <is>
          <t>Not started</t>
        </is>
      </c>
      <c r="H885">
        <f>IF(G885&lt;&gt;"",G885,F885)</f>
        <v/>
      </c>
      <c r="I885" t="n">
        <v>0</v>
      </c>
      <c r="J885" t="n">
        <v>0</v>
      </c>
      <c r="K885" t="n">
        <v>0</v>
      </c>
      <c r="L885" s="5" t="inlineStr"/>
      <c r="M885" s="5" t="n"/>
    </row>
    <row r="886">
      <c r="A886" t="inlineStr">
        <is>
          <t>YX-DLV-08</t>
        </is>
      </c>
      <c r="B886" t="inlineStr">
        <is>
          <t>T03</t>
        </is>
      </c>
      <c r="C886" t="inlineStr">
        <is>
          <t>YX-DLV</t>
        </is>
      </c>
      <c r="D886" t="inlineStr">
        <is>
          <t>6+</t>
        </is>
      </c>
      <c r="E886" s="5" t="inlineStr">
        <is>
          <t>The device policy is enforced at start (Q6). Candidates on a disallowed device are shown how to switch, and are not counted as attempted.</t>
        </is>
      </c>
      <c r="F886" t="inlineStr">
        <is>
          <t>Not started</t>
        </is>
      </c>
      <c r="H886">
        <f>IF(G886&lt;&gt;"",G886,F886)</f>
        <v/>
      </c>
      <c r="I886" t="n">
        <v>0</v>
      </c>
      <c r="J886" t="n">
        <v>0</v>
      </c>
      <c r="K886" t="n">
        <v>0</v>
      </c>
      <c r="L886" s="5" t="inlineStr"/>
      <c r="M886" s="5" t="n"/>
    </row>
    <row r="887">
      <c r="A887" t="inlineStr">
        <is>
          <t>YX-DLV-09</t>
        </is>
      </c>
      <c r="B887" t="inlineStr">
        <is>
          <t>T03</t>
        </is>
      </c>
      <c r="C887" t="inlineStr">
        <is>
          <t>YX-DLV</t>
        </is>
      </c>
      <c r="D887" t="inlineStr">
        <is>
          <t>6+</t>
        </is>
      </c>
      <c r="E887" s="5" t="inlineStr">
        <is>
          <t>Readiness results (Q7) are stored. Blocking checks prevent the start; warnings are shown and noted for reviewers (T05).</t>
        </is>
      </c>
      <c r="F887" t="inlineStr">
        <is>
          <t>UI prototype only</t>
        </is>
      </c>
      <c r="H887">
        <f>IF(G887&lt;&gt;"",G887,F887)</f>
        <v/>
      </c>
      <c r="I887" t="n">
        <v>0</v>
      </c>
      <c r="J887" t="n">
        <v>0</v>
      </c>
      <c r="K887" t="n">
        <v>2</v>
      </c>
      <c r="L887" s="5" t="inlineStr"/>
      <c r="M887" s="5" t="n"/>
    </row>
    <row r="888">
      <c r="A888" t="inlineStr">
        <is>
          <t>YX-DLV-10</t>
        </is>
      </c>
      <c r="B888" t="inlineStr">
        <is>
          <t>T03</t>
        </is>
      </c>
      <c r="C888" t="inlineStr">
        <is>
          <t>YX-DLV</t>
        </is>
      </c>
      <c r="D888" t="inlineStr">
        <is>
          <t>6+</t>
        </is>
      </c>
      <c r="E888" s="5" t="inlineStr">
        <is>
          <t>Accommodations are requested and approved before the attempt (Q8). Approved ones apply automatically: time, breaks, UI mode and proctoring profile. Evaluators never see the reason or the evidence.</t>
        </is>
      </c>
      <c r="F888" t="inlineStr">
        <is>
          <t>Not started</t>
        </is>
      </c>
      <c r="H888">
        <f>IF(G888&lt;&gt;"",G888,F888)</f>
        <v/>
      </c>
      <c r="I888" t="n">
        <v>0</v>
      </c>
      <c r="J888" t="n">
        <v>0</v>
      </c>
      <c r="K888" t="n">
        <v>0</v>
      </c>
      <c r="L888" s="5" t="inlineStr"/>
      <c r="M888" s="5" t="n"/>
    </row>
    <row r="889">
      <c r="A889" t="inlineStr">
        <is>
          <t>YX-DLV-11</t>
        </is>
      </c>
      <c r="B889" t="inlineStr">
        <is>
          <t>T03</t>
        </is>
      </c>
      <c r="C889" t="inlineStr">
        <is>
          <t>YX-DLV</t>
        </is>
      </c>
      <c r="D889" t="inlineStr">
        <is>
          <t>6+</t>
        </is>
      </c>
      <c r="E889" s="5" t="inlineStr">
        <is>
          <t>The candidate test UI meets WCAG 2.1 AA: keyboard-only navigation, screen-reader labels, zoom to 200 % without loss, contrast mode.</t>
        </is>
      </c>
      <c r="F889" t="inlineStr">
        <is>
          <t>Not started</t>
        </is>
      </c>
      <c r="H889">
        <f>IF(G889&lt;&gt;"",G889,F889)</f>
        <v/>
      </c>
      <c r="I889" t="n">
        <v>0</v>
      </c>
      <c r="J889" t="n">
        <v>0</v>
      </c>
      <c r="K889" t="n">
        <v>0</v>
      </c>
      <c r="L889" s="5" t="inlineStr"/>
      <c r="M889" s="5" t="n"/>
    </row>
    <row r="890">
      <c r="A890" t="inlineStr">
        <is>
          <t>YX-DLV-12</t>
        </is>
      </c>
      <c r="B890" t="inlineStr">
        <is>
          <t>T03</t>
        </is>
      </c>
      <c r="C890" t="inlineStr">
        <is>
          <t>YX-DLV</t>
        </is>
      </c>
      <c r="D890" t="inlineStr">
        <is>
          <t>6+</t>
        </is>
      </c>
      <c r="E890" s="5" t="inlineStr">
        <is>
          <t>Drive capacity: before a drive above the configured size, a capacity check and staggered start plan are required (Q2). Runtime autoscaling is pre-warmed for the drive window.</t>
        </is>
      </c>
      <c r="F890" t="inlineStr">
        <is>
          <t>UI prototype only</t>
        </is>
      </c>
      <c r="H890">
        <f>IF(G890&lt;&gt;"",G890,F890)</f>
        <v/>
      </c>
      <c r="I890" t="n">
        <v>0</v>
      </c>
      <c r="J890" t="n">
        <v>0</v>
      </c>
      <c r="K890" t="n">
        <v>2</v>
      </c>
      <c r="L890" s="5" t="inlineStr"/>
      <c r="M890" s="5" t="n"/>
    </row>
    <row r="891">
      <c r="A891" t="inlineStr">
        <is>
          <t>YX-DLV-13</t>
        </is>
      </c>
      <c r="B891" t="inlineStr">
        <is>
          <t>T03</t>
        </is>
      </c>
      <c r="C891" t="inlineStr">
        <is>
          <t>YX-DLV</t>
        </is>
      </c>
      <c r="D891" t="inlineStr">
        <is>
          <t>6+</t>
        </is>
      </c>
      <c r="E891" s="5" t="inlineStr">
        <is>
          <t>Employee test-takers: an invitation with subject_type = employee is opened only through the employee's own session (web or M04 app, SSO / OTP), never a candidate magic link. Consent (T05) is captured per attempt. Accommodations are approved by HR / L&amp;D (P02 scope). The result is written back to the source M07 enrolment or M06 competency evidence and shown in the Me tab. Retention follows the employee record (T05 Q7).</t>
        </is>
      </c>
      <c r="F891" t="inlineStr">
        <is>
          <t>UI prototype only</t>
        </is>
      </c>
      <c r="H891">
        <f>IF(G891&lt;&gt;"",G891,F891)</f>
        <v/>
      </c>
      <c r="I891" t="n">
        <v>0</v>
      </c>
      <c r="J891" t="n">
        <v>0</v>
      </c>
      <c r="K891" t="n">
        <v>2</v>
      </c>
      <c r="L891" s="5" t="inlineStr"/>
      <c r="M891" s="5" t="n"/>
    </row>
    <row r="892">
      <c r="A892" t="inlineStr">
        <is>
          <t>YX-DLV-14</t>
        </is>
      </c>
      <c r="B892" t="inlineStr">
        <is>
          <t>T03</t>
        </is>
      </c>
      <c r="C892" t="inlineStr">
        <is>
          <t>YX-DLV</t>
        </is>
      </c>
      <c r="D892" t="inlineStr">
        <is>
          <t>6+</t>
        </is>
      </c>
      <c r="E892" s="5" t="inlineStr">
        <is>
          <t>Drive registration (B7). A registration counts only after OTP verification of email or mobile and recorded consent. Eligibility filters and the cap are applied at submit; ineligible registrants are told why. Every registration is de-duplicated against M10 candidates (email / mobile; roll number + college) and linked to the existing candidate on a match — never a second profile.</t>
        </is>
      </c>
      <c r="F892" t="inlineStr">
        <is>
          <t>Not started</t>
        </is>
      </c>
      <c r="H892">
        <f>IF(G892&lt;&gt;"",G892,F892)</f>
        <v/>
      </c>
      <c r="I892" t="n">
        <v>0</v>
      </c>
      <c r="J892" t="n">
        <v>0</v>
      </c>
      <c r="K892" t="n">
        <v>0</v>
      </c>
      <c r="L892" s="5" t="inlineStr"/>
      <c r="M892" s="5" t="n"/>
    </row>
    <row r="893">
      <c r="A893" t="inlineStr">
        <is>
          <t>YX-DLV-15</t>
        </is>
      </c>
      <c r="B893" t="inlineStr">
        <is>
          <t>T03</t>
        </is>
      </c>
      <c r="C893" t="inlineStr">
        <is>
          <t>YX-DLV</t>
        </is>
      </c>
      <c r="D893" t="inlineStr">
        <is>
          <t>6+</t>
        </is>
      </c>
      <c r="E893" s="5" t="inlineStr">
        <is>
          <t>College coordinators (B7). A coordinator sees only registrants from their own institution, only for drives shared with them, and only the results level the company set (none / aggregate / per candidate). Answers, evidence, integrity details and accommodations are never visible to them. Every coordinator view is audited.</t>
        </is>
      </c>
      <c r="F893" t="inlineStr">
        <is>
          <t>UI prototype only</t>
        </is>
      </c>
      <c r="H893">
        <f>IF(G893&lt;&gt;"",G893,F893)</f>
        <v/>
      </c>
      <c r="I893" t="n">
        <v>0</v>
      </c>
      <c r="J893" t="n">
        <v>0</v>
      </c>
      <c r="K893" t="n">
        <v>2</v>
      </c>
      <c r="L893" s="5" t="inlineStr"/>
      <c r="M893" s="5" t="n"/>
    </row>
    <row r="894">
      <c r="A894" t="inlineStr">
        <is>
          <t>YX-DLV-16</t>
        </is>
      </c>
      <c r="B894" t="inlineStr">
        <is>
          <t>T03</t>
        </is>
      </c>
      <c r="C894" t="inlineStr">
        <is>
          <t>YX-DLV</t>
        </is>
      </c>
      <c r="D894" t="inlineStr">
        <is>
          <t>6+</t>
        </is>
      </c>
      <c r="E894" s="5" t="inlineStr">
        <is>
          <t>Admit cards (B7). An admit card is issued only for an eligible registration or a booked slot. Its QR is a signed, single-attempt token; reissue revokes the previous one, and a revoked or foreign QR fails at check-in.</t>
        </is>
      </c>
      <c r="F894" t="inlineStr">
        <is>
          <t>Not started</t>
        </is>
      </c>
      <c r="H894">
        <f>IF(G894&lt;&gt;"",G894,F894)</f>
        <v/>
      </c>
      <c r="I894" t="n">
        <v>0</v>
      </c>
      <c r="J894" t="n">
        <v>0</v>
      </c>
      <c r="K894" t="n">
        <v>0</v>
      </c>
      <c r="L894" s="5" t="inlineStr"/>
      <c r="M894" s="5" t="n"/>
    </row>
    <row r="895">
      <c r="A895" t="inlineStr">
        <is>
          <t>YX-DLV-17</t>
        </is>
      </c>
      <c r="B895" t="inlineStr">
        <is>
          <t>T03</t>
        </is>
      </c>
      <c r="C895" t="inlineStr">
        <is>
          <t>YX-DLV</t>
        </is>
      </c>
      <c r="D895" t="inlineStr">
        <is>
          <t>6+</t>
        </is>
      </c>
      <c r="E895" s="5" t="inlineStr">
        <is>
          <t>Native candidate app (B7). The app may run a test only in Open or AI-only mode (amends Q6). Where the OS offers lockdown (Android lock-task, iOS assessment mode) and the test requires it, the attempt can't start without it; leaving the app is a T04 flag, never an auto-fail. Device-policy checks (YX-DLV-08) apply as in the browser.</t>
        </is>
      </c>
      <c r="F895" t="inlineStr">
        <is>
          <t>Not started</t>
        </is>
      </c>
      <c r="H895">
        <f>IF(G895&lt;&gt;"",G895,F895)</f>
        <v/>
      </c>
      <c r="I895" t="n">
        <v>0</v>
      </c>
      <c r="J895" t="n">
        <v>0</v>
      </c>
      <c r="K895" t="n">
        <v>0</v>
      </c>
      <c r="L895" s="5" t="inlineStr"/>
      <c r="M895" s="5" t="n"/>
    </row>
    <row r="896">
      <c r="A896" t="inlineStr">
        <is>
          <t>YX-DLV-18</t>
        </is>
      </c>
      <c r="B896" t="inlineStr">
        <is>
          <t>T03</t>
        </is>
      </c>
      <c r="C896" t="inlineStr">
        <is>
          <t>YX-DLV</t>
        </is>
      </c>
      <c r="D896" t="inlineStr">
        <is>
          <t>6+</t>
        </is>
      </c>
      <c r="E896" s="5" t="inlineStr">
        <is>
          <t>Test-centre hybrid mode (C5). Test packages are encrypted at rest on the centre server and unusable before the session start key is released. Answers and evidence captured at the centre are encrypted, hash-sealed at capture (T05 chain of custody) and synced to the cloud; results are not released until the full sync is verified against the hashes. A missing or mismatched item opens a T05 incident instead of being silently dropped.</t>
        </is>
      </c>
      <c r="F896" t="inlineStr">
        <is>
          <t>Not started</t>
        </is>
      </c>
      <c r="H896">
        <f>IF(G896&lt;&gt;"",G896,F896)</f>
        <v/>
      </c>
      <c r="I896" t="n">
        <v>0</v>
      </c>
      <c r="J896" t="n">
        <v>0</v>
      </c>
      <c r="K896" t="n">
        <v>0</v>
      </c>
      <c r="L896" s="5" t="inlineStr"/>
      <c r="M896" s="5" t="n"/>
    </row>
    <row r="897">
      <c r="A897" t="inlineStr">
        <is>
          <t>YX-DLV-19</t>
        </is>
      </c>
      <c r="B897" t="inlineStr">
        <is>
          <t>T03</t>
        </is>
      </c>
      <c r="C897" t="inlineStr">
        <is>
          <t>YX-DLV</t>
        </is>
      </c>
      <c r="D897" t="inlineStr">
        <is>
          <t>6+</t>
        </is>
      </c>
      <c r="E897" s="5" t="inlineStr">
        <is>
          <t>Invigilator app (C5). An invigilator acts only within their assigned centre session. Check-in needs a valid admit-card QR and a photo-ID check; a face mismatch is a flag for review, not a refusal by the app alone (the invigilator decides and records a reason). Incident-log entries are timestamped, attributed and become T05 evidence.</t>
        </is>
      </c>
      <c r="F897" t="inlineStr">
        <is>
          <t>Not started</t>
        </is>
      </c>
      <c r="H897">
        <f>IF(G897&lt;&gt;"",G897,F897)</f>
        <v/>
      </c>
      <c r="I897" t="n">
        <v>0</v>
      </c>
      <c r="J897" t="n">
        <v>0</v>
      </c>
      <c r="K897" t="n">
        <v>0</v>
      </c>
      <c r="L897" s="5" t="inlineStr"/>
      <c r="M897" s="5" t="n"/>
    </row>
    <row r="898">
      <c r="A898" t="inlineStr">
        <is>
          <t>YX-DLV-20</t>
        </is>
      </c>
      <c r="B898" t="inlineStr">
        <is>
          <t>T03</t>
        </is>
      </c>
      <c r="C898" t="inlineStr">
        <is>
          <t>YX-DLV</t>
        </is>
      </c>
      <c r="D898" t="inlineStr">
        <is>
          <t>6+</t>
        </is>
      </c>
      <c r="E898" s="5" t="inlineStr">
        <is>
          <t>Post-test survey (C5). The survey is shown only after submission, is skippable, never affects the score, and is reported only in aggregate (minimum group size 5); evaluators and reviewers never see individual responses.</t>
        </is>
      </c>
      <c r="F898" t="inlineStr">
        <is>
          <t>Not started</t>
        </is>
      </c>
      <c r="H898">
        <f>IF(G898&lt;&gt;"",G898,F898)</f>
        <v/>
      </c>
      <c r="I898" t="n">
        <v>0</v>
      </c>
      <c r="J898" t="n">
        <v>0</v>
      </c>
      <c r="K898" t="n">
        <v>0</v>
      </c>
      <c r="L898" s="5" t="inlineStr"/>
      <c r="M898" s="5" t="n"/>
    </row>
    <row r="899">
      <c r="A899" t="inlineStr">
        <is>
          <t>YX-DLV-21</t>
        </is>
      </c>
      <c r="B899" t="inlineStr">
        <is>
          <t>T03</t>
        </is>
      </c>
      <c r="C899" t="inlineStr">
        <is>
          <t>YX-DLV</t>
        </is>
      </c>
      <c r="D899" t="inlineStr">
        <is>
          <t>6+</t>
        </is>
      </c>
      <c r="E899" s="5" t="inlineStr">
        <is>
          <t>Identity chain hook (T10). The test-start ID check (T04 YX-PROC-04) and the centre photo-ID check (YX-DLV-19) look up the person record (P01 persons): if no identity template exists yet and the candidate consents, this check captures it for the chain; if one exists, it is the match against it. A mismatch is a flag for review (T04 YX-PROC-19), never a refusal to start by itself; where face detection is off or consent refused, the invigilator's or proctor's attestation plus the ID check is recorded instead.</t>
        </is>
      </c>
      <c r="F899" t="inlineStr">
        <is>
          <t>Not started</t>
        </is>
      </c>
      <c r="H899">
        <f>IF(G899&lt;&gt;"",G899,F899)</f>
        <v/>
      </c>
      <c r="I899" t="n">
        <v>0</v>
      </c>
      <c r="J899" t="n">
        <v>0</v>
      </c>
      <c r="K899" t="n">
        <v>0</v>
      </c>
      <c r="L899" s="5" t="inlineStr"/>
      <c r="M899" s="5" t="n"/>
    </row>
    <row r="900">
      <c r="A900" t="inlineStr">
        <is>
          <t>YX-DLV-22</t>
        </is>
      </c>
      <c r="B900" t="inlineStr">
        <is>
          <t>T03</t>
        </is>
      </c>
      <c r="C900" t="inlineStr">
        <is>
          <t>YX-DLV</t>
        </is>
      </c>
      <c r="D900" t="inlineStr">
        <is>
          <t>6+</t>
        </is>
      </c>
      <c r="E900" s="5" t="inlineStr">
        <is>
          <t xml:space="preserve">Result reuse (J12). A reused result is a link to the original attempt, never a copy, allowed only when: the target uses the same or an owner-marked-equivalent test version; the attempt is completed and not invalidated or under an open incident (T05); the target stage is inside the validity window counted from the attempt's submission; and the candidate consented for this job (recorded; withdrawable until the stage is decided). Reuse doesn't consume an attempt. A retake does, and its cooldown runs from the original attempt, so reuse can't be used to skip the cooldown; if the candidate retakes, </t>
        </is>
      </c>
      <c r="F900" t="inlineStr">
        <is>
          <t>Not started</t>
        </is>
      </c>
      <c r="H900">
        <f>IF(G900&lt;&gt;"",G900,F900)</f>
        <v/>
      </c>
      <c r="I900" t="n">
        <v>0</v>
      </c>
      <c r="J900" t="n">
        <v>0</v>
      </c>
      <c r="K900" t="n">
        <v>0</v>
      </c>
      <c r="L900" s="5" t="inlineStr"/>
      <c r="M900" s="5" t="n"/>
    </row>
    <row r="901">
      <c r="A901" t="inlineStr">
        <is>
          <t>YX-DLV-23</t>
        </is>
      </c>
      <c r="B901" t="inlineStr">
        <is>
          <t>T03</t>
        </is>
      </c>
      <c r="C901" t="inlineStr">
        <is>
          <t>YX-DLV</t>
        </is>
      </c>
      <c r="D901" t="inlineStr">
        <is>
          <t>6+</t>
        </is>
      </c>
      <c r="E901" s="5" t="inlineStr">
        <is>
          <t>Internal applicants (J13). An invitation created from an M10 internal application carries the application id. Its result, report and integrity flags are visible only to that application's hiring team, HR and the employee (per release settings), and never to the employee's current manager chain through any M06, M07, analytics or report view. The attempt doesn't become M06 skills evidence unless the employee opts in after the application closes.</t>
        </is>
      </c>
      <c r="F901" t="inlineStr">
        <is>
          <t>Not started</t>
        </is>
      </c>
      <c r="H901">
        <f>IF(G901&lt;&gt;"",G901,F901)</f>
        <v/>
      </c>
      <c r="I901" t="n">
        <v>0</v>
      </c>
      <c r="J901" t="n">
        <v>0</v>
      </c>
      <c r="K901" t="n">
        <v>0</v>
      </c>
      <c r="L901" s="5" t="inlineStr"/>
      <c r="M901" s="5" t="n"/>
    </row>
    <row r="902">
      <c r="A902" t="inlineStr">
        <is>
          <t>YX-PROC-01</t>
        </is>
      </c>
      <c r="B902" t="inlineStr">
        <is>
          <t>T04</t>
        </is>
      </c>
      <c r="C902" t="inlineStr">
        <is>
          <t>YX-PROC</t>
        </is>
      </c>
      <c r="D902" t="inlineStr">
        <is>
          <t>6+</t>
        </is>
      </c>
      <c r="E902" s="5" t="inlineStr">
        <is>
          <t>Every published test has exactly one proctoring mode. Its preset is applied, and matrix overrides can't go below the mode's minimum (Q1).</t>
        </is>
      </c>
      <c r="F902" t="inlineStr">
        <is>
          <t>Not started</t>
        </is>
      </c>
      <c r="H902">
        <f>IF(G902&lt;&gt;"",G902,F902)</f>
        <v/>
      </c>
      <c r="I902" t="n">
        <v>0</v>
      </c>
      <c r="J902" t="n">
        <v>0</v>
      </c>
      <c r="K902" t="n">
        <v>0</v>
      </c>
      <c r="L902" s="5" t="inlineStr"/>
      <c r="M902" s="5" t="n"/>
    </row>
    <row r="903">
      <c r="A903" t="inlineStr">
        <is>
          <t>YX-PROC-02</t>
        </is>
      </c>
      <c r="B903" t="inlineStr">
        <is>
          <t>T04</t>
        </is>
      </c>
      <c r="C903" t="inlineStr">
        <is>
          <t>YX-PROC</t>
        </is>
      </c>
      <c r="D903" t="inlineStr">
        <is>
          <t>6+</t>
        </is>
      </c>
      <c r="E903" s="5" t="inlineStr">
        <is>
          <t>Detection signals are flags. Only configured actions (warn / pause / terminate) act automatically. A terminate always preserves the attempt and evidence for review and appeal (T05). Nothing auto-fails a candidate.</t>
        </is>
      </c>
      <c r="F903" t="inlineStr">
        <is>
          <t>Not started</t>
        </is>
      </c>
      <c r="H903">
        <f>IF(G903&lt;&gt;"",G903,F903)</f>
        <v/>
      </c>
      <c r="I903" t="n">
        <v>0</v>
      </c>
      <c r="J903" t="n">
        <v>0</v>
      </c>
      <c r="K903" t="n">
        <v>0</v>
      </c>
      <c r="L903" s="5" t="inlineStr"/>
      <c r="M903" s="5" t="n"/>
    </row>
    <row r="904">
      <c r="A904" t="inlineStr">
        <is>
          <t>YX-PROC-03</t>
        </is>
      </c>
      <c r="B904" t="inlineStr">
        <is>
          <t>T04</t>
        </is>
      </c>
      <c r="C904" t="inlineStr">
        <is>
          <t>YX-PROC</t>
        </is>
      </c>
      <c r="D904" t="inlineStr">
        <is>
          <t>6+</t>
        </is>
      </c>
      <c r="E904" s="5" t="inlineStr">
        <is>
          <t>AI-assistance signals (Q7; including the overlay-assistant and second-device voice-tool signals from T08 YX-SCL-09, G16) are review flags only. They never trigger warn / pause / terminate on their own.</t>
        </is>
      </c>
      <c r="F904" t="inlineStr">
        <is>
          <t>Not started</t>
        </is>
      </c>
      <c r="H904">
        <f>IF(G904&lt;&gt;"",G904,F904)</f>
        <v/>
      </c>
      <c r="I904" t="n">
        <v>0</v>
      </c>
      <c r="J904" t="n">
        <v>0</v>
      </c>
      <c r="K904" t="n">
        <v>0</v>
      </c>
      <c r="L904" s="5" t="inlineStr"/>
      <c r="M904" s="5" t="n"/>
    </row>
    <row r="905">
      <c r="A905" t="inlineStr">
        <is>
          <t>YX-PROC-04</t>
        </is>
      </c>
      <c r="B905" t="inlineStr">
        <is>
          <t>T04</t>
        </is>
      </c>
      <c r="C905" t="inlineStr">
        <is>
          <t>YX-PROC</t>
        </is>
      </c>
      <c r="D905" t="inlineStr">
        <is>
          <t>6+</t>
        </is>
      </c>
      <c r="E905" s="5" t="inlineStr">
        <is>
          <t>Identity: in modes that require it, the attempt can't start until the ID check and face match pass or a proctor approves manually (Q3). Periodic re-verification continues during the test.</t>
        </is>
      </c>
      <c r="F905" t="inlineStr">
        <is>
          <t>Not started</t>
        </is>
      </c>
      <c r="H905">
        <f>IF(G905&lt;&gt;"",G905,F905)</f>
        <v/>
      </c>
      <c r="I905" t="n">
        <v>0</v>
      </c>
      <c r="J905" t="n">
        <v>0</v>
      </c>
      <c r="K905" t="n">
        <v>0</v>
      </c>
      <c r="L905" s="5" t="inlineStr"/>
      <c r="M905" s="5" t="n"/>
    </row>
    <row r="906">
      <c r="A906" t="inlineStr">
        <is>
          <t>YX-PROC-05</t>
        </is>
      </c>
      <c r="B906" t="inlineStr">
        <is>
          <t>T04</t>
        </is>
      </c>
      <c r="C906" t="inlineStr">
        <is>
          <t>YX-PROC</t>
        </is>
      </c>
      <c r="D906" t="inlineStr">
        <is>
          <t>6+</t>
        </is>
      </c>
      <c r="E906" s="5" t="inlineStr">
        <is>
          <t>ID documents: only the document type, masked number and the verification result are kept. The image is kept per T05 retention. Aadhaar numbers are never stored unmasked.</t>
        </is>
      </c>
      <c r="F906" t="inlineStr">
        <is>
          <t>UI prototype only</t>
        </is>
      </c>
      <c r="H906">
        <f>IF(G906&lt;&gt;"",G906,F906)</f>
        <v/>
      </c>
      <c r="I906" t="n">
        <v>0</v>
      </c>
      <c r="J906" t="n">
        <v>0</v>
      </c>
      <c r="K906" t="n">
        <v>2</v>
      </c>
      <c r="L906" s="5" t="inlineStr"/>
      <c r="M906" s="5" t="n"/>
    </row>
    <row r="907">
      <c r="A907" t="inlineStr">
        <is>
          <t>YX-PROC-06</t>
        </is>
      </c>
      <c r="B907" t="inlineStr">
        <is>
          <t>T04</t>
        </is>
      </c>
      <c r="C907" t="inlineStr">
        <is>
          <t>YX-PROC</t>
        </is>
      </c>
      <c r="D907" t="inlineStr">
        <is>
          <t>6+</t>
        </is>
      </c>
      <c r="E907" s="5" t="inlineStr">
        <is>
          <t>Recording follows the mode (Q5). The candidate is told exactly what is recorded (camera / screen / audio / companion) before consenting (T05 privacy).</t>
        </is>
      </c>
      <c r="F907" t="inlineStr">
        <is>
          <t>Not started</t>
        </is>
      </c>
      <c r="H907">
        <f>IF(G907&lt;&gt;"",G907,F907)</f>
        <v/>
      </c>
      <c r="I907" t="n">
        <v>0</v>
      </c>
      <c r="J907" t="n">
        <v>0</v>
      </c>
      <c r="K907" t="n">
        <v>0</v>
      </c>
      <c r="L907" s="5" t="inlineStr"/>
      <c r="M907" s="5" t="n"/>
    </row>
    <row r="908">
      <c r="A908" t="inlineStr">
        <is>
          <t>YX-PROC-07</t>
        </is>
      </c>
      <c r="B908" t="inlineStr">
        <is>
          <t>T04</t>
        </is>
      </c>
      <c r="C908" t="inlineStr">
        <is>
          <t>YX-PROC</t>
        </is>
      </c>
      <c r="D908" t="inlineStr">
        <is>
          <t>6+</t>
        </is>
      </c>
      <c r="E908" s="5" t="inlineStr">
        <is>
          <t>Face, voice and video processing runs in-region, in-house. Only derived text (e.g. an answer transcript) may reach external AI (P10, M10 R1). One exception (T10): the deepfake / voice-clone check sends minimal interview clips or frames to the contracted specialist partner under YX-PROC-20; it is not an AI provider for P10 tiers and never receives test recordings.</t>
        </is>
      </c>
      <c r="F908" t="inlineStr">
        <is>
          <t>Not started</t>
        </is>
      </c>
      <c r="H908">
        <f>IF(G908&lt;&gt;"",G908,F908)</f>
        <v/>
      </c>
      <c r="I908" t="n">
        <v>0</v>
      </c>
      <c r="J908" t="n">
        <v>0</v>
      </c>
      <c r="K908" t="n">
        <v>0</v>
      </c>
      <c r="L908" s="5" t="inlineStr"/>
      <c r="M908" s="5" t="n"/>
    </row>
    <row r="909">
      <c r="A909" t="inlineStr">
        <is>
          <t>YX-PROC-08</t>
        </is>
      </c>
      <c r="B909" t="inlineStr">
        <is>
          <t>T04</t>
        </is>
      </c>
      <c r="C909" t="inlineStr">
        <is>
          <t>YX-PROC</t>
        </is>
      </c>
      <c r="D909" t="inlineStr">
        <is>
          <t>6+</t>
        </is>
      </c>
      <c r="E909" s="5" t="inlineStr">
        <is>
          <t>Live mode: a proctor may watch at most N candidates at once (Q8). A session without an assigned proctor present can't start (a waiting room is shown).</t>
        </is>
      </c>
      <c r="F909" t="inlineStr">
        <is>
          <t>Not started</t>
        </is>
      </c>
      <c r="H909">
        <f>IF(G909&lt;&gt;"",G909,F909)</f>
        <v/>
      </c>
      <c r="I909" t="n">
        <v>0</v>
      </c>
      <c r="J909" t="n">
        <v>0</v>
      </c>
      <c r="K909" t="n">
        <v>0</v>
      </c>
      <c r="L909" s="5" t="inlineStr"/>
      <c r="M909" s="5" t="n"/>
    </row>
    <row r="910">
      <c r="A910" t="inlineStr">
        <is>
          <t>YX-PROC-09</t>
        </is>
      </c>
      <c r="B910" t="inlineStr">
        <is>
          <t>T04</t>
        </is>
      </c>
      <c r="C910" t="inlineStr">
        <is>
          <t>YX-PROC</t>
        </is>
      </c>
      <c r="D910" t="inlineStr">
        <is>
          <t>6+</t>
        </is>
      </c>
      <c r="E910" s="5" t="inlineStr">
        <is>
          <t>Every proctor action (warn, pause, resume, terminate, manual ID approval) needs a reason and is audited with the proctor identity.</t>
        </is>
      </c>
      <c r="F910" t="inlineStr">
        <is>
          <t>Tested, code not linked</t>
        </is>
      </c>
      <c r="H910">
        <f>IF(G910&lt;&gt;"",G910,F910)</f>
        <v/>
      </c>
      <c r="I910" t="n">
        <v>0</v>
      </c>
      <c r="J910" t="n">
        <v>2</v>
      </c>
      <c r="K910" t="n">
        <v>2</v>
      </c>
      <c r="L910" s="5" t="inlineStr">
        <is>
          <t>exam-app-org:packages/yx-ui/src/screens/proctoring/proctoring.test.tsx
exam-app-ws:packages/yx-ui/src/screens/proctoring/proctoring.test.tsx</t>
        </is>
      </c>
      <c r="M910" s="5" t="n"/>
    </row>
    <row r="911">
      <c r="A911" t="inlineStr">
        <is>
          <t>YX-PROC-10</t>
        </is>
      </c>
      <c r="B911" t="inlineStr">
        <is>
          <t>T04</t>
        </is>
      </c>
      <c r="C911" t="inlineStr">
        <is>
          <t>YX-PROC</t>
        </is>
      </c>
      <c r="D911" t="inlineStr">
        <is>
          <t>6+</t>
        </is>
      </c>
      <c r="E911" s="5" t="inlineStr">
        <is>
          <t>Companion-device (second camera) streams are bound to the attempt by a single-use pairing code and are treated as evidence like the main stream (Q4).</t>
        </is>
      </c>
      <c r="F911" t="inlineStr">
        <is>
          <t>Not started</t>
        </is>
      </c>
      <c r="H911">
        <f>IF(G911&lt;&gt;"",G911,F911)</f>
        <v/>
      </c>
      <c r="I911" t="n">
        <v>0</v>
      </c>
      <c r="J911" t="n">
        <v>0</v>
      </c>
      <c r="K911" t="n">
        <v>0</v>
      </c>
      <c r="L911" s="5" t="inlineStr"/>
      <c r="M911" s="5" t="n"/>
    </row>
    <row r="912">
      <c r="A912" t="inlineStr">
        <is>
          <t>YX-PROC-11</t>
        </is>
      </c>
      <c r="B912" t="inlineStr">
        <is>
          <t>T04</t>
        </is>
      </c>
      <c r="C912" t="inlineStr">
        <is>
          <t>YX-PROC</t>
        </is>
      </c>
      <c r="D912" t="inlineStr">
        <is>
          <t>6+</t>
        </is>
      </c>
      <c r="E912" s="5" t="inlineStr">
        <is>
          <t>The secure client / browser (Q2) is checked at start (config key / signature). A mismatch blocks the start in modes that require it.</t>
        </is>
      </c>
      <c r="F912" t="inlineStr">
        <is>
          <t>Not started</t>
        </is>
      </c>
      <c r="H912">
        <f>IF(G912&lt;&gt;"",G912,F912)</f>
        <v/>
      </c>
      <c r="I912" t="n">
        <v>0</v>
      </c>
      <c r="J912" t="n">
        <v>0</v>
      </c>
      <c r="K912" t="n">
        <v>0</v>
      </c>
      <c r="L912" s="5" t="inlineStr"/>
      <c r="M912" s="5" t="n"/>
    </row>
    <row r="913">
      <c r="A913" t="inlineStr">
        <is>
          <t>YX-PROC-12</t>
        </is>
      </c>
      <c r="B913" t="inlineStr">
        <is>
          <t>T04</t>
        </is>
      </c>
      <c r="C913" t="inlineStr">
        <is>
          <t>YX-PROC</t>
        </is>
      </c>
      <c r="D913" t="inlineStr">
        <is>
          <t>6+</t>
        </is>
      </c>
      <c r="E913" s="5" t="inlineStr">
        <is>
          <t>YukthiX-pool proctors can be assigned only when the company has an active opt-in (proctor_service_optins). Each assignment issues a P02 proctor-service grant for that slot only: valid for the slot window, limited to the assigned sessions, live view + evidence for those candidates only, nothing else in the tenant. MFA and accepted confidentiality terms are checked at every sign-in. Every view and action is audited and shown to the company.</t>
        </is>
      </c>
      <c r="F913" t="inlineStr">
        <is>
          <t>Not started</t>
        </is>
      </c>
      <c r="H913">
        <f>IF(G913&lt;&gt;"",G913,F913)</f>
        <v/>
      </c>
      <c r="I913" t="n">
        <v>0</v>
      </c>
      <c r="J913" t="n">
        <v>0</v>
      </c>
      <c r="K913" t="n">
        <v>0</v>
      </c>
      <c r="L913" s="5" t="inlineStr"/>
      <c r="M913" s="5" t="n"/>
    </row>
    <row r="914">
      <c r="A914" t="inlineStr">
        <is>
          <t>YX-PROC-13</t>
        </is>
      </c>
      <c r="B914" t="inlineStr">
        <is>
          <t>T04</t>
        </is>
      </c>
      <c r="C914" t="inlineStr">
        <is>
          <t>YX-PROC</t>
        </is>
      </c>
      <c r="D914" t="inlineStr">
        <is>
          <t>6+</t>
        </is>
      </c>
      <c r="E914" s="5" t="inlineStr">
        <is>
          <t>Object detection and gaze (B5). Object and gaze signals are flags by default; like any detection they act only through the configured action matrix, and never fail a candidate (YX-PROC-02). Frames are processed in-region, in-house (YX-PROC-07). Gaze and earbud / headphone signals are switched off automatically when an approved accommodation makes them unfair (T03 YX-DLV-10; e.g. hearing aids, screen-reader users).</t>
        </is>
      </c>
      <c r="F914" t="inlineStr">
        <is>
          <t>Not started</t>
        </is>
      </c>
      <c r="H914">
        <f>IF(G914&lt;&gt;"",G914,F914)</f>
        <v/>
      </c>
      <c r="I914" t="n">
        <v>0</v>
      </c>
      <c r="J914" t="n">
        <v>0</v>
      </c>
      <c r="K914" t="n">
        <v>0</v>
      </c>
      <c r="L914" s="5" t="inlineStr"/>
      <c r="M914" s="5" t="n"/>
    </row>
    <row r="915">
      <c r="A915" t="inlineStr">
        <is>
          <t>YX-PROC-14</t>
        </is>
      </c>
      <c r="B915" t="inlineStr">
        <is>
          <t>T04</t>
        </is>
      </c>
      <c r="C915" t="inlineStr">
        <is>
          <t>YX-PROC</t>
        </is>
      </c>
      <c r="D915" t="inlineStr">
        <is>
          <t>6+</t>
        </is>
      </c>
      <c r="E915" s="5" t="inlineStr">
        <is>
          <t>Integrity score (B5). Every attempt in AI-only, Record &amp; review and Live modes gets a 0–100 score next to its level. The score is always shown with the weights and the contributions that produced it and the weight-profile version. Weights are set by the company (starter template, D17); changes apply to new attempts only unless an admin re-scores with a reason (audited). The score and level are review aids only: verdicts are human (T05 YX-EVAL-01) and ATS rules use the integrity status, not the score (YX-EVAL-12).</t>
        </is>
      </c>
      <c r="F915" t="inlineStr">
        <is>
          <t>Tested, code not linked</t>
        </is>
      </c>
      <c r="H915">
        <f>IF(G915&lt;&gt;"",G915,F915)</f>
        <v/>
      </c>
      <c r="I915" t="n">
        <v>0</v>
      </c>
      <c r="J915" t="n">
        <v>2</v>
      </c>
      <c r="K915" t="n">
        <v>2</v>
      </c>
      <c r="L915" s="5" t="inlineStr">
        <is>
          <t>exam-app-org:packages/yx-ui/src/screens/proctoring/proctoring.test.tsx
exam-app-ws:packages/yx-ui/src/screens/proctoring/proctoring.test.tsx</t>
        </is>
      </c>
      <c r="M915" s="5" t="n"/>
    </row>
    <row r="916">
      <c r="A916" t="inlineStr">
        <is>
          <t>YX-PROC-15</t>
        </is>
      </c>
      <c r="B916" t="inlineStr">
        <is>
          <t>T04</t>
        </is>
      </c>
      <c r="C916" t="inlineStr">
        <is>
          <t>YX-PROC</t>
        </is>
      </c>
      <c r="D916" t="inlineStr">
        <is>
          <t>6+</t>
        </is>
      </c>
      <c r="E916" s="5" t="inlineStr">
        <is>
          <t>Keystroke dynamics (C5). Off by default; enabled per test by the company and used only after the candidate's separate, purpose-specific consent (T05 YX-EVAL-09). A declining candidate continues without it and is not flagged for declining. Mismatch is a flag only. Never enabled for under-18 test-takers (YX-EVAL-13). The profile is biometric data (Special, in-region, retention and erasure per T05).</t>
        </is>
      </c>
      <c r="F916" t="inlineStr">
        <is>
          <t>Not started</t>
        </is>
      </c>
      <c r="H916">
        <f>IF(G916&lt;&gt;"",G916,F916)</f>
        <v/>
      </c>
      <c r="I916" t="n">
        <v>0</v>
      </c>
      <c r="J916" t="n">
        <v>0</v>
      </c>
      <c r="K916" t="n">
        <v>0</v>
      </c>
      <c r="L916" s="5" t="inlineStr"/>
      <c r="M916" s="5" t="n"/>
    </row>
    <row r="917">
      <c r="A917" t="inlineStr">
        <is>
          <t>YX-PROC-16</t>
        </is>
      </c>
      <c r="B917" t="inlineStr">
        <is>
          <t>T04</t>
        </is>
      </c>
      <c r="C917" t="inlineStr">
        <is>
          <t>YX-PROC</t>
        </is>
      </c>
      <c r="D917" t="inlineStr">
        <is>
          <t>6+</t>
        </is>
      </c>
      <c r="E917" s="5" t="inlineStr">
        <is>
          <t>AI-allowed mode (C5). In a test marked AI-allowed, the Q7 AI-assistance signals are disabled and the in-runner assistant is available; all assistant prompts and outputs are logged per question and kept with the attempt. The candidate is told before starting. Other detections continue per the proctoring mode. Only the approved assistant is "allowed"; other AI tools are treated like any outside resource. For under-18 test-takers AI-allowed mode is available, but scoring stays deterministic / human (YX-EVAL-13).</t>
        </is>
      </c>
      <c r="F917" t="inlineStr">
        <is>
          <t>Not started</t>
        </is>
      </c>
      <c r="H917">
        <f>IF(G917&lt;&gt;"",G917,F917)</f>
        <v/>
      </c>
      <c r="I917" t="n">
        <v>0</v>
      </c>
      <c r="J917" t="n">
        <v>0</v>
      </c>
      <c r="K917" t="n">
        <v>0</v>
      </c>
      <c r="L917" s="5" t="inlineStr"/>
      <c r="M917" s="5" t="n"/>
    </row>
    <row r="918">
      <c r="A918" t="inlineStr">
        <is>
          <t>YX-PROC-17</t>
        </is>
      </c>
      <c r="B918" t="inlineStr">
        <is>
          <t>T04</t>
        </is>
      </c>
      <c r="C918" t="inlineStr">
        <is>
          <t>YX-PROC</t>
        </is>
      </c>
      <c r="D918" t="inlineStr">
        <is>
          <t>6+</t>
        </is>
      </c>
      <c r="E918" s="5" t="inlineStr">
        <is>
          <t>Live-proctor SLA (G14). A Live session must start within 10 minutes of the booked slot start. If no assigned proctor (own staff or YukthiX pool, YX-PROC-12) is present by then, the attempt automatically continues in Record &amp; review mode: the waiting time is credited to the attempt (T03 continuity), a "proctor not present" flag is written to the attempt for the reviewer, and the company and proctor planner are notified. The waiting room of YX-PROC-08 therefore never ends in a termination or a lost attempt. YukthiX-pool misses count against the add-on's service level (Q8, D12).</t>
        </is>
      </c>
      <c r="F918" t="inlineStr">
        <is>
          <t>Not started</t>
        </is>
      </c>
      <c r="H918">
        <f>IF(G918&lt;&gt;"",G918,F918)</f>
        <v/>
      </c>
      <c r="I918" t="n">
        <v>0</v>
      </c>
      <c r="J918" t="n">
        <v>0</v>
      </c>
      <c r="K918" t="n">
        <v>0</v>
      </c>
      <c r="L918" s="5" t="inlineStr"/>
      <c r="M918" s="5" t="n"/>
    </row>
    <row r="919">
      <c r="A919" t="inlineStr">
        <is>
          <t>YX-PROC-18</t>
        </is>
      </c>
      <c r="B919" t="inlineStr">
        <is>
          <t>T04</t>
        </is>
      </c>
      <c r="C919" t="inlineStr">
        <is>
          <t>YX-PROC</t>
        </is>
      </c>
      <c r="D919" t="inlineStr">
        <is>
          <t>6+</t>
        </is>
      </c>
      <c r="E919" s="5" t="inlineStr">
        <is>
          <t>No-face-detection mode (G15). A company may set a test (any mode) to no face detection: identity is established by the ID check (YX-PROC-04) and / or a proctor's manual verification (T05 YX-EVAL-14), and no continuous face analysis runs — face-match re-verification, gaze and face-region object signals are off; other detections stay per mode. Intended for approved accommodations (T03 YX-DLV-10) and for jurisdictions that restrict biometrics (T05 Q8). The candidate is told what is and isn't analysed before consenting (YX-PROC-06); the test report states the mode (T05 YX-EVAL-16).</t>
        </is>
      </c>
      <c r="F919" t="inlineStr">
        <is>
          <t>Not started</t>
        </is>
      </c>
      <c r="H919">
        <f>IF(G919&lt;&gt;"",G919,F919)</f>
        <v/>
      </c>
      <c r="I919" t="n">
        <v>0</v>
      </c>
      <c r="J919" t="n">
        <v>0</v>
      </c>
      <c r="K919" t="n">
        <v>0</v>
      </c>
      <c r="L919" s="5" t="inlineStr"/>
      <c r="M919" s="5" t="n"/>
    </row>
    <row r="920">
      <c r="A920" t="inlineStr">
        <is>
          <t>YX-PROC-19</t>
        </is>
      </c>
      <c r="B920" t="inlineStr">
        <is>
          <t>T04</t>
        </is>
      </c>
      <c r="C920" t="inlineStr">
        <is>
          <t>YX-PROC</t>
        </is>
      </c>
      <c r="D920" t="inlineStr">
        <is>
          <t>6+</t>
        </is>
      </c>
      <c r="E920" s="5" t="inlineStr">
        <is>
          <t>Identity chain across hiring (T10). With the candidate's consent (T05 YX-EVAL-09, per jurisdiction: DPDP, GDPR Art. 9, BIPA written release), a face template and ID check are captured once, at the first of: application verification (M10 YX-ATS-32), the test ID check (YX-PROC-04, T03 YX-DLV-21) or pre-boarding (M01), and attached to the person record (P01 persons). The same person is then matched again at test start (existing YX-PROC-04), AI interview and live interview (M10 YX-ATS-32; T07 interview room) and day-1 onboarding (M01). A mismatch is a flag for human review, never an auto-reject (Y</t>
        </is>
      </c>
      <c r="F920" t="inlineStr">
        <is>
          <t>UI prototype only</t>
        </is>
      </c>
      <c r="H920">
        <f>IF(G920&lt;&gt;"",G920,F920)</f>
        <v/>
      </c>
      <c r="I920" t="n">
        <v>0</v>
      </c>
      <c r="J920" t="n">
        <v>0</v>
      </c>
      <c r="K920" t="n">
        <v>2</v>
      </c>
      <c r="L920" s="5" t="inlineStr"/>
      <c r="M920" s="5" t="n"/>
    </row>
    <row r="921">
      <c r="A921" t="inlineStr">
        <is>
          <t>YX-PROC-20</t>
        </is>
      </c>
      <c r="B921" t="inlineStr">
        <is>
          <t>T04</t>
        </is>
      </c>
      <c r="C921" t="inlineStr">
        <is>
          <t>YX-PROC</t>
        </is>
      </c>
      <c r="D921" t="inlineStr">
        <is>
          <t>6+</t>
        </is>
      </c>
      <c r="E921" s="5" t="inlineStr">
        <is>
          <t>Deepfake / synthetic-video and voice-clone detection (T10). Runs only on interview video / audio (M10 AI interview, T07 live interview), never on test recordings, through the specialist partner connector (P10 §B3, YX-INT-11). Only the minimal clip or frames needed are sent; a partner processing in-region or with India data residency is preferred; the partner keeps nothing after returning the result. Results are signals only (media.synthetic_suspected, voice.clone_suspected): they never reject, warn or end an interview on their own and go to human review via T05 incidents (YX-EVAL-30). Off unle</t>
        </is>
      </c>
      <c r="F921" t="inlineStr">
        <is>
          <t>UI prototype only</t>
        </is>
      </c>
      <c r="H921">
        <f>IF(G921&lt;&gt;"",G921,F921)</f>
        <v/>
      </c>
      <c r="I921" t="n">
        <v>0</v>
      </c>
      <c r="J921" t="n">
        <v>0</v>
      </c>
      <c r="K921" t="n">
        <v>2</v>
      </c>
      <c r="L921" s="5" t="inlineStr"/>
      <c r="M921" s="5" t="n"/>
    </row>
    <row r="922">
      <c r="A922" t="inlineStr">
        <is>
          <t>YX-EVAL-01</t>
        </is>
      </c>
      <c r="B922" t="inlineStr">
        <is>
          <t>T05</t>
        </is>
      </c>
      <c r="C922" t="inlineStr">
        <is>
          <t>YX-EVAL</t>
        </is>
      </c>
      <c r="D922" t="inlineStr">
        <is>
          <t>6+</t>
        </is>
      </c>
      <c r="E922" s="5" t="inlineStr">
        <is>
          <t>Only a human verdict can invalidate a section or an attempt. Attempt invalidation needs two reviewers, or one reviewer plus the test owner (Q1). Signals and AI never decide.</t>
        </is>
      </c>
      <c r="F922" t="inlineStr">
        <is>
          <t>Tested, code not linked</t>
        </is>
      </c>
      <c r="H922">
        <f>IF(G922&lt;&gt;"",G922,F922)</f>
        <v/>
      </c>
      <c r="I922" t="n">
        <v>0</v>
      </c>
      <c r="J922" t="n">
        <v>2</v>
      </c>
      <c r="K922" t="n">
        <v>2</v>
      </c>
      <c r="L922" s="5" t="inlineStr">
        <is>
          <t>exam-app-org:packages/yx-ui/src/screens/proctoring/proctoring.test.tsx
exam-app-ws:packages/yx-ui/src/screens/proctoring/proctoring.test.tsx</t>
        </is>
      </c>
      <c r="M922" s="5" t="n"/>
    </row>
    <row r="923">
      <c r="A923" t="inlineStr">
        <is>
          <t>YX-EVAL-02</t>
        </is>
      </c>
      <c r="B923" t="inlineStr">
        <is>
          <t>T05</t>
        </is>
      </c>
      <c r="C923" t="inlineStr">
        <is>
          <t>YX-EVAL</t>
        </is>
      </c>
      <c r="D923" t="inlineStr">
        <is>
          <t>6+</t>
        </is>
      </c>
      <c r="E923" s="5" t="inlineStr">
        <is>
          <t>Every verdict, score override and re-score records a reason, the evidence referenced and the actor. It is appended to the hash-chained audit (P08).</t>
        </is>
      </c>
      <c r="F923" t="inlineStr">
        <is>
          <t>UI prototype only</t>
        </is>
      </c>
      <c r="H923">
        <f>IF(G923&lt;&gt;"",G923,F923)</f>
        <v/>
      </c>
      <c r="I923" t="n">
        <v>0</v>
      </c>
      <c r="J923" t="n">
        <v>0</v>
      </c>
      <c r="K923" t="n">
        <v>2</v>
      </c>
      <c r="L923" s="5" t="inlineStr"/>
      <c r="M923" s="5" t="n"/>
    </row>
    <row r="924">
      <c r="A924" t="inlineStr">
        <is>
          <t>YX-EVAL-03</t>
        </is>
      </c>
      <c r="B924" t="inlineStr">
        <is>
          <t>T05</t>
        </is>
      </c>
      <c r="C924" t="inlineStr">
        <is>
          <t>YX-EVAL</t>
        </is>
      </c>
      <c r="D924" t="inlineStr">
        <is>
          <t>6+</t>
        </is>
      </c>
      <c r="E924" s="5" t="inlineStr">
        <is>
          <t>Results affected by an open incident or appeal are held. They are not released, and no ATS / learning action happens, until closed (Q5, Q6).</t>
        </is>
      </c>
      <c r="F924" t="inlineStr">
        <is>
          <t>Not started</t>
        </is>
      </c>
      <c r="H924">
        <f>IF(G924&lt;&gt;"",G924,F924)</f>
        <v/>
      </c>
      <c r="I924" t="n">
        <v>0</v>
      </c>
      <c r="J924" t="n">
        <v>0</v>
      </c>
      <c r="K924" t="n">
        <v>0</v>
      </c>
      <c r="L924" s="5" t="inlineStr"/>
      <c r="M924" s="5" t="n"/>
    </row>
    <row r="925">
      <c r="A925" t="inlineStr">
        <is>
          <t>YX-EVAL-04</t>
        </is>
      </c>
      <c r="B925" t="inlineStr">
        <is>
          <t>T05</t>
        </is>
      </c>
      <c r="C925" t="inlineStr">
        <is>
          <t>YX-EVAL</t>
        </is>
      </c>
      <c r="D925" t="inlineStr">
        <is>
          <t>6+</t>
        </is>
      </c>
      <c r="E925" s="5" t="inlineStr">
        <is>
          <t>A candidate may appeal within the appeal window (Q2). The appeal is decided by a reviewer who didn't make the original decision. The decision and reason are sent to the candidate.</t>
        </is>
      </c>
      <c r="F925" t="inlineStr">
        <is>
          <t>Not started</t>
        </is>
      </c>
      <c r="H925">
        <f>IF(G925&lt;&gt;"",G925,F925)</f>
        <v/>
      </c>
      <c r="I925" t="n">
        <v>0</v>
      </c>
      <c r="J925" t="n">
        <v>0</v>
      </c>
      <c r="K925" t="n">
        <v>0</v>
      </c>
      <c r="L925" s="5" t="inlineStr"/>
      <c r="M925" s="5" t="n"/>
    </row>
    <row r="926">
      <c r="A926" t="inlineStr">
        <is>
          <t>YX-EVAL-05</t>
        </is>
      </c>
      <c r="B926" t="inlineStr">
        <is>
          <t>T05</t>
        </is>
      </c>
      <c r="C926" t="inlineStr">
        <is>
          <t>YX-EVAL</t>
        </is>
      </c>
      <c r="D926" t="inlineStr">
        <is>
          <t>6+</t>
        </is>
      </c>
      <c r="E926" s="5" t="inlineStr">
        <is>
          <t>Rubric-marked responses: with multiple evaluators, each marks blind (no other scores, no candidate identity if blind mode is on). A difference above the threshold triggers a moderation / third evaluator (Q4).</t>
        </is>
      </c>
      <c r="F926" t="inlineStr">
        <is>
          <t>Tested, code not linked</t>
        </is>
      </c>
      <c r="H926">
        <f>IF(G926&lt;&gt;"",G926,F926)</f>
        <v/>
      </c>
      <c r="I926" t="n">
        <v>0</v>
      </c>
      <c r="J926" t="n">
        <v>2</v>
      </c>
      <c r="K926" t="n">
        <v>2</v>
      </c>
      <c r="L926" s="5" t="inlineStr">
        <is>
          <t>exam-app-org:packages/yx-ui/src/screens/proctoring/proctoring.test.tsx
exam-app-ws:packages/yx-ui/src/screens/proctoring/proctoring.test.tsx</t>
        </is>
      </c>
      <c r="M926" s="5" t="n"/>
    </row>
    <row r="927">
      <c r="A927" t="inlineStr">
        <is>
          <t>YX-EVAL-06</t>
        </is>
      </c>
      <c r="B927" t="inlineStr">
        <is>
          <t>T05</t>
        </is>
      </c>
      <c r="C927" t="inlineStr">
        <is>
          <t>YX-EVAL</t>
        </is>
      </c>
      <c r="D927" t="inlineStr">
        <is>
          <t>6+</t>
        </is>
      </c>
      <c r="E927" s="5" t="inlineStr">
        <is>
          <t>AI-suggested scores are advisory, shown only after the evaluator enters their own (or, if configured, shown as a suggestion). They're never final without human confirmation (P10 YX-AI-01).</t>
        </is>
      </c>
      <c r="F927" t="inlineStr">
        <is>
          <t>Not started</t>
        </is>
      </c>
      <c r="H927">
        <f>IF(G927&lt;&gt;"",G927,F927)</f>
        <v/>
      </c>
      <c r="I927" t="n">
        <v>0</v>
      </c>
      <c r="J927" t="n">
        <v>0</v>
      </c>
      <c r="K927" t="n">
        <v>0</v>
      </c>
      <c r="L927" s="5" t="inlineStr"/>
      <c r="M927" s="5" t="n"/>
    </row>
    <row r="928">
      <c r="A928" t="inlineStr">
        <is>
          <t>YX-EVAL-07</t>
        </is>
      </c>
      <c r="B928" t="inlineStr">
        <is>
          <t>T05</t>
        </is>
      </c>
      <c r="C928" t="inlineStr">
        <is>
          <t>YX-EVAL</t>
        </is>
      </c>
      <c r="D928" t="inlineStr">
        <is>
          <t>6+</t>
        </is>
      </c>
      <c r="E928" s="5" t="inlineStr">
        <is>
          <t>Collusion and plagiarism results are integrity flags feeding incidents. They never change a score by themselves.</t>
        </is>
      </c>
      <c r="F928" t="inlineStr">
        <is>
          <t>Not started</t>
        </is>
      </c>
      <c r="H928">
        <f>IF(G928&lt;&gt;"",G928,F928)</f>
        <v/>
      </c>
      <c r="I928" t="n">
        <v>0</v>
      </c>
      <c r="J928" t="n">
        <v>0</v>
      </c>
      <c r="K928" t="n">
        <v>0</v>
      </c>
      <c r="L928" s="5" t="inlineStr"/>
      <c r="M928" s="5" t="n"/>
    </row>
    <row r="929">
      <c r="A929" t="inlineStr">
        <is>
          <t>YX-EVAL-08</t>
        </is>
      </c>
      <c r="B929" t="inlineStr">
        <is>
          <t>T05</t>
        </is>
      </c>
      <c r="C929" t="inlineStr">
        <is>
          <t>YX-EVAL</t>
        </is>
      </c>
      <c r="D929" t="inlineStr">
        <is>
          <t>6+</t>
        </is>
      </c>
      <c r="E929" s="5" t="inlineStr">
        <is>
          <t>Retention: data classes are deleted automatically at the end of their retention (Q7) unless under legal hold (open incident / appeal / litigation). Each deletion writes a deletion record. The shipped default for proctoring evidence (recordings / clips / face data / ID images) is 30 days (Q7 as amended by G17); the company sets 30–365.</t>
        </is>
      </c>
      <c r="F929" t="inlineStr">
        <is>
          <t>Not started</t>
        </is>
      </c>
      <c r="H929">
        <f>IF(G929&lt;&gt;"",G929,F929)</f>
        <v/>
      </c>
      <c r="I929" t="n">
        <v>0</v>
      </c>
      <c r="J929" t="n">
        <v>0</v>
      </c>
      <c r="K929" t="n">
        <v>0</v>
      </c>
      <c r="L929" s="5" t="inlineStr"/>
      <c r="M929" s="5" t="n"/>
    </row>
    <row r="930">
      <c r="A930" t="inlineStr">
        <is>
          <t>YX-EVAL-09</t>
        </is>
      </c>
      <c r="B930" t="inlineStr">
        <is>
          <t>T05</t>
        </is>
      </c>
      <c r="C930" t="inlineStr">
        <is>
          <t>YX-EVAL</t>
        </is>
      </c>
      <c r="D930" t="inlineStr">
        <is>
          <t>6+</t>
        </is>
      </c>
      <c r="E930" s="5" t="inlineStr">
        <is>
          <t>No biometric capture (face, voice, ID image) without explicit, purpose-specific consent recorded for the candidate's jurisdiction (Q8). A candidate who declines gets the fallback path the test allows (manual ID check or an unproctored alternative), or is told clearly that the test can't proceed.</t>
        </is>
      </c>
      <c r="F930" t="inlineStr">
        <is>
          <t>Not started</t>
        </is>
      </c>
      <c r="H930">
        <f>IF(G930&lt;&gt;"",G930,F930)</f>
        <v/>
      </c>
      <c r="I930" t="n">
        <v>0</v>
      </c>
      <c r="J930" t="n">
        <v>0</v>
      </c>
      <c r="K930" t="n">
        <v>0</v>
      </c>
      <c r="L930" s="5" t="inlineStr"/>
      <c r="M930" s="5" t="n"/>
    </row>
    <row r="931">
      <c r="A931" t="inlineStr">
        <is>
          <t>YX-EVAL-10</t>
        </is>
      </c>
      <c r="B931" t="inlineStr">
        <is>
          <t>T05</t>
        </is>
      </c>
      <c r="C931" t="inlineStr">
        <is>
          <t>YX-EVAL</t>
        </is>
      </c>
      <c r="D931" t="inlineStr">
        <is>
          <t>6+</t>
        </is>
      </c>
      <c r="E931" s="5" t="inlineStr">
        <is>
          <t>Candidates may withdraw consent and request erasure. Erasure removes biometrics and recordings, keeps a minimal, non-identifying score record where the law allows, and is completed within the legal limit.</t>
        </is>
      </c>
      <c r="F931" t="inlineStr">
        <is>
          <t>Not started</t>
        </is>
      </c>
      <c r="H931">
        <f>IF(G931&lt;&gt;"",G931,F931)</f>
        <v/>
      </c>
      <c r="I931" t="n">
        <v>0</v>
      </c>
      <c r="J931" t="n">
        <v>0</v>
      </c>
      <c r="K931" t="n">
        <v>0</v>
      </c>
      <c r="L931" s="5" t="inlineStr"/>
      <c r="M931" s="5" t="n"/>
    </row>
    <row r="932">
      <c r="A932" t="inlineStr">
        <is>
          <t>YX-EVAL-11</t>
        </is>
      </c>
      <c r="B932" t="inlineStr">
        <is>
          <t>T05</t>
        </is>
      </c>
      <c r="C932" t="inlineStr">
        <is>
          <t>YX-EVAL</t>
        </is>
      </c>
      <c r="D932" t="inlineStr">
        <is>
          <t>6+</t>
        </is>
      </c>
      <c r="E932" s="5" t="inlineStr">
        <is>
          <t>A failed face detection never fails a candidate. It routes to manual review (existing behaviour, kept).</t>
        </is>
      </c>
      <c r="F932" t="inlineStr">
        <is>
          <t>Not started</t>
        </is>
      </c>
      <c r="H932">
        <f>IF(G932&lt;&gt;"",G932,F932)</f>
        <v/>
      </c>
      <c r="I932" t="n">
        <v>0</v>
      </c>
      <c r="J932" t="n">
        <v>0</v>
      </c>
      <c r="K932" t="n">
        <v>0</v>
      </c>
      <c r="L932" s="5" t="inlineStr"/>
      <c r="M932" s="5" t="n"/>
    </row>
    <row r="933">
      <c r="A933" t="inlineStr">
        <is>
          <t>YX-EVAL-12</t>
        </is>
      </c>
      <c r="B933" t="inlineStr">
        <is>
          <t>T05</t>
        </is>
      </c>
      <c r="C933" t="inlineStr">
        <is>
          <t>YX-EVAL</t>
        </is>
      </c>
      <c r="D933" t="inlineStr">
        <is>
          <t>6+</t>
        </is>
      </c>
      <c r="E933" s="5" t="inlineStr">
        <is>
          <t>Auto-advance into the ATS only happens when score rules are met and the integrity status is clear or cleared. A candidate is never auto-rejected on integrity grounds (Q6).</t>
        </is>
      </c>
      <c r="F933" t="inlineStr">
        <is>
          <t>Not started</t>
        </is>
      </c>
      <c r="H933">
        <f>IF(G933&lt;&gt;"",G933,F933)</f>
        <v/>
      </c>
      <c r="I933" t="n">
        <v>0</v>
      </c>
      <c r="J933" t="n">
        <v>0</v>
      </c>
      <c r="K933" t="n">
        <v>0</v>
      </c>
      <c r="L933" s="5" t="inlineStr"/>
      <c r="M933" s="5" t="n"/>
    </row>
    <row r="934">
      <c r="A934" t="inlineStr">
        <is>
          <t>YX-EVAL-13</t>
        </is>
      </c>
      <c r="B934" t="inlineStr">
        <is>
          <t>T05</t>
        </is>
      </c>
      <c r="C934" t="inlineStr">
        <is>
          <t>YX-EVAL</t>
        </is>
      </c>
      <c r="D934" t="inlineStr">
        <is>
          <t>6+</t>
        </is>
      </c>
      <c r="E934" s="5" t="inlineStr">
        <is>
          <t>Minors (law; DPDP s.9; E16). An under-18 test-taker (date of birth from M10 YX-ATS-19 or the test invite) needs verifiable guardian consent before any biometric capture (face, voice, ID image). Their answers get deterministic scoring only: no AI-assisted / LLM scoring or AI-suggested scores beyond deterministic scoring, and no profiling (behavioural analytics, cross-attempt ranking beyond the test's own result). Human rubric marking is allowed. This is a legal rule and can't be switched off.</t>
        </is>
      </c>
      <c r="F934" t="inlineStr">
        <is>
          <t>Not started</t>
        </is>
      </c>
      <c r="H934">
        <f>IF(G934&lt;&gt;"",G934,F934)</f>
        <v/>
      </c>
      <c r="I934" t="n">
        <v>0</v>
      </c>
      <c r="J934" t="n">
        <v>0</v>
      </c>
      <c r="K934" t="n">
        <v>0</v>
      </c>
      <c r="L934" s="5" t="inlineStr"/>
      <c r="M934" s="5" t="n"/>
    </row>
    <row r="935">
      <c r="A935" t="inlineStr">
        <is>
          <t>YX-EVAL-14</t>
        </is>
      </c>
      <c r="B935" t="inlineStr">
        <is>
          <t>T05</t>
        </is>
      </c>
      <c r="C935" t="inlineStr">
        <is>
          <t>YX-EVAL</t>
        </is>
      </c>
      <c r="D935" t="inlineStr">
        <is>
          <t>6+</t>
        </is>
      </c>
      <c r="E935" s="5" t="inlineStr">
        <is>
          <t>Candidate without a government ID (E16). Where the test allows it, a candidate can verify identity by an alternate path: an admit card plus a photo attested by their institution, or a proctor's manual verification (live check against submitted details). The method is recorded on the attempt; a test that requires government ID says so before the candidate starts.</t>
        </is>
      </c>
      <c r="F935" t="inlineStr">
        <is>
          <t>UI prototype only</t>
        </is>
      </c>
      <c r="H935">
        <f>IF(G935&lt;&gt;"",G935,F935)</f>
        <v/>
      </c>
      <c r="I935" t="n">
        <v>0</v>
      </c>
      <c r="J935" t="n">
        <v>0</v>
      </c>
      <c r="K935" t="n">
        <v>2</v>
      </c>
      <c r="L935" s="5" t="inlineStr"/>
      <c r="M935" s="5" t="n"/>
    </row>
    <row r="936">
      <c r="A936" t="inlineStr">
        <is>
          <t>YX-EVAL-15</t>
        </is>
      </c>
      <c r="B936" t="inlineStr">
        <is>
          <t>T05</t>
        </is>
      </c>
      <c r="C936" t="inlineStr">
        <is>
          <t>YX-EVAL</t>
        </is>
      </c>
      <c r="D936" t="inlineStr">
        <is>
          <t>6+</t>
        </is>
      </c>
      <c r="E936" s="5" t="inlineStr">
        <is>
          <t>Reviewer assignment and conflict of interest (G7). Incidents (and appeals, and manual-evaluation queues where the test enables it) are assigned by the tenant's assignment policy — round-robin (starter template, D17), by language or by load — optionally overridden per test, skipping reviewers who are at their capacity cap, on leave or delegating. A reviewer may never be assigned an item where they are the candidate's recruiter, hiring manager or interviewer / panel member on that application, in an employee test-taker's manager chain, or the test-taker; appeals and second reviews also exclude t</t>
        </is>
      </c>
      <c r="F936" t="inlineStr">
        <is>
          <t>Not started</t>
        </is>
      </c>
      <c r="H936">
        <f>IF(G936&lt;&gt;"",G936,F936)</f>
        <v/>
      </c>
      <c r="I936" t="n">
        <v>0</v>
      </c>
      <c r="J936" t="n">
        <v>0</v>
      </c>
      <c r="K936" t="n">
        <v>0</v>
      </c>
      <c r="L936" s="5" t="inlineStr"/>
      <c r="M936" s="5" t="n"/>
    </row>
    <row r="937">
      <c r="A937" t="inlineStr">
        <is>
          <t>YX-EVAL-16</t>
        </is>
      </c>
      <c r="B937" t="inlineStr">
        <is>
          <t>T05</t>
        </is>
      </c>
      <c r="C937" t="inlineStr">
        <is>
          <t>YX-EVAL</t>
        </is>
      </c>
      <c r="D937" t="inlineStr">
        <is>
          <t>6+</t>
        </is>
      </c>
      <c r="E937" s="5" t="inlineStr">
        <is>
          <t>Session report PDF (B5). One report per attempt; a verdict or appeal that changes the outcome generates a new version and supersedes the old one. It never contains ID images, full recordings or accommodation details; stills are omitted when recording consent was withdrawn or for an under-18 test-taker without guardian consent. A report is "final" only after the integrity review closes; earlier copies are watermarked "provisional". Access follows P02 (Confidential); every external share uses an expiring link and is audited.</t>
        </is>
      </c>
      <c r="F937" t="inlineStr">
        <is>
          <t>Not started</t>
        </is>
      </c>
      <c r="H937">
        <f>IF(G937&lt;&gt;"",G937,F937)</f>
        <v/>
      </c>
      <c r="I937" t="n">
        <v>0</v>
      </c>
      <c r="J937" t="n">
        <v>0</v>
      </c>
      <c r="K937" t="n">
        <v>0</v>
      </c>
      <c r="L937" s="5" t="inlineStr"/>
      <c r="M937" s="5" t="n"/>
    </row>
    <row r="938">
      <c r="A938" t="inlineStr">
        <is>
          <t>YX-EVAL-17</t>
        </is>
      </c>
      <c r="B938" t="inlineStr">
        <is>
          <t>T05</t>
        </is>
      </c>
      <c r="C938" t="inlineStr">
        <is>
          <t>YX-EVAL</t>
        </is>
      </c>
      <c r="D938" t="inlineStr">
        <is>
          <t>6+</t>
        </is>
      </c>
      <c r="E938" s="5" t="inlineStr">
        <is>
          <t>ATS connectors (B6). Results go to an external ATS only when released (YX-EVAL-03) and only the elements the company chose for that mapping; a held result pushes only "under review". The ATS never receives evidence, answers or biometric data — only a report link that enforces YukthiX access rules. Push failures are retried and shown to the admin; nothing is silently dropped. YukthiX never sends a reject decision: it sends results, and decisions stay with the company in its ATS (YX-EVAL-12 spirit).</t>
        </is>
      </c>
      <c r="F938" t="inlineStr">
        <is>
          <t>Not started</t>
        </is>
      </c>
      <c r="H938">
        <f>IF(G938&lt;&gt;"",G938,F938)</f>
        <v/>
      </c>
      <c r="I938" t="n">
        <v>0</v>
      </c>
      <c r="J938" t="n">
        <v>0</v>
      </c>
      <c r="K938" t="n">
        <v>0</v>
      </c>
      <c r="L938" s="5" t="inlineStr"/>
      <c r="M938" s="5" t="n"/>
    </row>
    <row r="939">
      <c r="A939" t="inlineStr">
        <is>
          <t>YX-EVAL-18</t>
        </is>
      </c>
      <c r="B939" t="inlineStr">
        <is>
          <t>T05</t>
        </is>
      </c>
      <c r="C939" t="inlineStr">
        <is>
          <t>YX-EVAL</t>
        </is>
      </c>
      <c r="D939" t="inlineStr">
        <is>
          <t>6+</t>
        </is>
      </c>
      <c r="E939" s="5" t="inlineStr">
        <is>
          <t>Assessment webhooks (B6). Assessment webhooks are signed, retried and carry thin payloads (ids + fetch link); fetching applies P02 field classes and the release state, so a subscriber can't read a held result early.</t>
        </is>
      </c>
      <c r="F939" t="inlineStr">
        <is>
          <t>Not started</t>
        </is>
      </c>
      <c r="H939">
        <f>IF(G939&lt;&gt;"",G939,F939)</f>
        <v/>
      </c>
      <c r="I939" t="n">
        <v>0</v>
      </c>
      <c r="J939" t="n">
        <v>0</v>
      </c>
      <c r="K939" t="n">
        <v>0</v>
      </c>
      <c r="L939" s="5" t="inlineStr"/>
      <c r="M939" s="5" t="n"/>
    </row>
    <row r="940">
      <c r="A940" t="inlineStr">
        <is>
          <t>YX-EVAL-19</t>
        </is>
      </c>
      <c r="B940" t="inlineStr">
        <is>
          <t>T05</t>
        </is>
      </c>
      <c r="C940" t="inlineStr">
        <is>
          <t>YX-EVAL</t>
        </is>
      </c>
      <c r="D940" t="inlineStr">
        <is>
          <t>6+</t>
        </is>
      </c>
      <c r="E940" s="5" t="inlineStr">
        <is>
          <t>Language proficiency scoring (B14). CEFR AI scores are advisory and need human confirmation before release (YX-EVAL-06); high-stakes tests need an individual human rating. Only transcripts / text go to external AI; pronunciation features are computed in-region from audio (P10, M10 R1). Under-18 test-takers are human-rated only (YX-EVAL-13). The report shows "AI-assisted, human-confirmed" and the confirming evaluator.</t>
        </is>
      </c>
      <c r="F940" t="inlineStr">
        <is>
          <t>Not started</t>
        </is>
      </c>
      <c r="H940">
        <f>IF(G940&lt;&gt;"",G940,F940)</f>
        <v/>
      </c>
      <c r="I940" t="n">
        <v>0</v>
      </c>
      <c r="J940" t="n">
        <v>0</v>
      </c>
      <c r="K940" t="n">
        <v>0</v>
      </c>
      <c r="L940" s="5" t="inlineStr"/>
      <c r="M940" s="5" t="n"/>
    </row>
    <row r="941">
      <c r="A941" t="inlineStr">
        <is>
          <t>YX-EVAL-20</t>
        </is>
      </c>
      <c r="B941" t="inlineStr">
        <is>
          <t>T05</t>
        </is>
      </c>
      <c r="C941" t="inlineStr">
        <is>
          <t>YX-EVAL</t>
        </is>
      </c>
      <c r="D941" t="inlineStr">
        <is>
          <t>6+</t>
        </is>
      </c>
      <c r="E941" s="5" t="inlineStr">
        <is>
          <t>Typing scoring (B14). Typing results are computed deterministically from the server-side keystroke log using the published formula; pasted or programmatic input is not counted and raises an integrity flag (never a score change by itself, YX-EVAL-07).</t>
        </is>
      </c>
      <c r="F941" t="inlineStr">
        <is>
          <t>Tested, code not linked</t>
        </is>
      </c>
      <c r="H941">
        <f>IF(G941&lt;&gt;"",G941,F941)</f>
        <v/>
      </c>
      <c r="I941" t="n">
        <v>0</v>
      </c>
      <c r="J941" t="n">
        <v>2</v>
      </c>
      <c r="K941" t="n">
        <v>2</v>
      </c>
      <c r="L941" s="5" t="inlineStr">
        <is>
          <t>exam-app-org:packages/yx-ui/src/screens/proctoring/proctoring.test.tsx
exam-app-ws:packages/yx-ui/src/screens/proctoring/proctoring.test.tsx</t>
        </is>
      </c>
      <c r="M941" s="5" t="n"/>
    </row>
    <row r="942">
      <c r="A942" t="inlineStr">
        <is>
          <t>YX-EVAL-21</t>
        </is>
      </c>
      <c r="B942" t="inlineStr">
        <is>
          <t>T05</t>
        </is>
      </c>
      <c r="C942" t="inlineStr">
        <is>
          <t>YX-EVAL</t>
        </is>
      </c>
      <c r="D942" t="inlineStr">
        <is>
          <t>6+</t>
        </is>
      </c>
      <c r="E942" s="5" t="inlineStr">
        <is>
          <t>Digital badges (B15). A badge is issued only for a released pass on a certificate-enabled test and carries the certificate's verification link. Section / attempt invalidation or an appeal that removes the pass revokes it (Open Badges status list / Credly revoke) within 24 hours, with a reason.</t>
        </is>
      </c>
      <c r="F942" t="inlineStr">
        <is>
          <t>Not started</t>
        </is>
      </c>
      <c r="H942">
        <f>IF(G942&lt;&gt;"",G942,F942)</f>
        <v/>
      </c>
      <c r="I942" t="n">
        <v>0</v>
      </c>
      <c r="J942" t="n">
        <v>0</v>
      </c>
      <c r="K942" t="n">
        <v>0</v>
      </c>
      <c r="L942" s="5" t="inlineStr"/>
      <c r="M942" s="5" t="n"/>
    </row>
    <row r="943">
      <c r="A943" t="inlineStr">
        <is>
          <t>YX-EVAL-22</t>
        </is>
      </c>
      <c r="B943" t="inlineStr">
        <is>
          <t>T05</t>
        </is>
      </c>
      <c r="C943" t="inlineStr">
        <is>
          <t>YX-EVAL</t>
        </is>
      </c>
      <c r="D943" t="inlineStr">
        <is>
          <t>6+</t>
        </is>
      </c>
      <c r="E943" s="5" t="inlineStr">
        <is>
          <t>LTI 1.3 (B15). Launches are accepted only from registered platforms with valid signed ID tokens (nonce, audience, deployment checks). Grades are passed back only after release (YX-EVAL-03), as the scaled score unless the company chooses otherwise. LTI test-takers get the same consent, integrity and appeal rights as any candidate.</t>
        </is>
      </c>
      <c r="F943" t="inlineStr">
        <is>
          <t>Not started</t>
        </is>
      </c>
      <c r="H943">
        <f>IF(G943&lt;&gt;"",G943,F943)</f>
        <v/>
      </c>
      <c r="I943" t="n">
        <v>0</v>
      </c>
      <c r="J943" t="n">
        <v>0</v>
      </c>
      <c r="K943" t="n">
        <v>0</v>
      </c>
      <c r="L943" s="5" t="inlineStr"/>
      <c r="M943" s="5" t="n"/>
    </row>
    <row r="944">
      <c r="A944" t="inlineStr">
        <is>
          <t>YX-EVAL-23</t>
        </is>
      </c>
      <c r="B944" t="inlineStr">
        <is>
          <t>T05</t>
        </is>
      </c>
      <c r="C944" t="inlineStr">
        <is>
          <t>YX-EVAL</t>
        </is>
      </c>
      <c r="D944" t="inlineStr">
        <is>
          <t>6+</t>
        </is>
      </c>
      <c r="E944" s="5" t="inlineStr">
        <is>
          <t>AI-allowed mode evaluation (C5). Evaluators of AI-allowed tests see the full assistant log for each response; prompting / verification criteria are scored only from that log and the answer. Use of the approved assistant is never an integrity issue in that test.</t>
        </is>
      </c>
      <c r="F944" t="inlineStr">
        <is>
          <t>Not started</t>
        </is>
      </c>
      <c r="H944">
        <f>IF(G944&lt;&gt;"",G944,F944)</f>
        <v/>
      </c>
      <c r="I944" t="n">
        <v>0</v>
      </c>
      <c r="J944" t="n">
        <v>0</v>
      </c>
      <c r="K944" t="n">
        <v>0</v>
      </c>
      <c r="L944" s="5" t="inlineStr"/>
      <c r="M944" s="5" t="n"/>
    </row>
    <row r="945">
      <c r="A945" t="inlineStr">
        <is>
          <t>YX-EVAL-24</t>
        </is>
      </c>
      <c r="B945" t="inlineStr">
        <is>
          <t>T05</t>
        </is>
      </c>
      <c r="C945" t="inlineStr">
        <is>
          <t>YX-EVAL</t>
        </is>
      </c>
      <c r="D945" t="inlineStr">
        <is>
          <t>6+</t>
        </is>
      </c>
      <c r="E945" s="5" t="inlineStr">
        <is>
          <t>Fairness data (A13). Demographic data is optional and self-declared, collected separately after submission, stored as Special data, and never visible to evaluators, reviewers, ATS stages or the candidate record. It is used only in aggregate fairness analyses.</t>
        </is>
      </c>
      <c r="F945" t="inlineStr">
        <is>
          <t>Not started</t>
        </is>
      </c>
      <c r="H945">
        <f>IF(G945&lt;&gt;"",G945,F945)</f>
        <v/>
      </c>
      <c r="I945" t="n">
        <v>0</v>
      </c>
      <c r="J945" t="n">
        <v>0</v>
      </c>
      <c r="K945" t="n">
        <v>0</v>
      </c>
      <c r="L945" s="5" t="inlineStr"/>
      <c r="M945" s="5" t="n"/>
    </row>
    <row r="946">
      <c r="A946" t="inlineStr">
        <is>
          <t>YX-EVAL-25</t>
        </is>
      </c>
      <c r="B946" t="inlineStr">
        <is>
          <t>T05</t>
        </is>
      </c>
      <c r="C946" t="inlineStr">
        <is>
          <t>YX-EVAL</t>
        </is>
      </c>
      <c r="D946" t="inlineStr">
        <is>
          <t>6+</t>
        </is>
      </c>
      <c r="E946" s="5" t="inlineStr">
        <is>
          <t>Adverse impact (A13). Impact ratios (4/5ths rule) and significance are computed per test, section, cut score and ATS stage whenever a group has enough data (minimum group size, P09 suppression). A ratio below 0.8 with significance raises a finding.</t>
        </is>
      </c>
      <c r="F946" t="inlineStr">
        <is>
          <t>Not started</t>
        </is>
      </c>
      <c r="H946">
        <f>IF(G946&lt;&gt;"",G946,F946)</f>
        <v/>
      </c>
      <c r="I946" t="n">
        <v>0</v>
      </c>
      <c r="J946" t="n">
        <v>0</v>
      </c>
      <c r="K946" t="n">
        <v>0</v>
      </c>
      <c r="L946" s="5" t="inlineStr"/>
      <c r="M946" s="5" t="n"/>
    </row>
    <row r="947">
      <c r="A947" t="inlineStr">
        <is>
          <t>YX-EVAL-26</t>
        </is>
      </c>
      <c r="B947" t="inlineStr">
        <is>
          <t>T05</t>
        </is>
      </c>
      <c r="C947" t="inlineStr">
        <is>
          <t>YX-EVAL</t>
        </is>
      </c>
      <c r="D947" t="inlineStr">
        <is>
          <t>6+</t>
        </is>
      </c>
      <c r="E947" s="5" t="inlineStr">
        <is>
          <t>Item bias (A13). DIF is computed per question version once sample thresholds are met; a grade C (large) DIF raises a finding on that question.</t>
        </is>
      </c>
      <c r="F947" t="inlineStr">
        <is>
          <t>Not started</t>
        </is>
      </c>
      <c r="H947">
        <f>IF(G947&lt;&gt;"",G947,F947)</f>
        <v/>
      </c>
      <c r="I947" t="n">
        <v>0</v>
      </c>
      <c r="J947" t="n">
        <v>0</v>
      </c>
      <c r="K947" t="n">
        <v>0</v>
      </c>
      <c r="L947" s="5" t="inlineStr"/>
      <c r="M947" s="5" t="n"/>
    </row>
    <row r="948">
      <c r="A948" t="inlineStr">
        <is>
          <t>YX-EVAL-27</t>
        </is>
      </c>
      <c r="B948" t="inlineStr">
        <is>
          <t>T05</t>
        </is>
      </c>
      <c r="C948" t="inlineStr">
        <is>
          <t>YX-EVAL</t>
        </is>
      </c>
      <c r="D948" t="inlineStr">
        <is>
          <t>6+</t>
        </is>
      </c>
      <c r="E948" s="5" t="inlineStr">
        <is>
          <t>Finding response (A13, Q9). Each company chooses per test between alert + required review (starter template) and auto-suspend from new attempts until cleared. Attempts in progress are never interrupted. Every decision is audited with its justification.</t>
        </is>
      </c>
      <c r="F948" t="inlineStr">
        <is>
          <t>Not started</t>
        </is>
      </c>
      <c r="H948">
        <f>IF(G948&lt;&gt;"",G948,F948)</f>
        <v/>
      </c>
      <c r="I948" t="n">
        <v>0</v>
      </c>
      <c r="J948" t="n">
        <v>0</v>
      </c>
      <c r="K948" t="n">
        <v>0</v>
      </c>
      <c r="L948" s="5" t="inlineStr"/>
      <c r="M948" s="5" t="n"/>
    </row>
    <row r="949">
      <c r="A949" t="inlineStr">
        <is>
          <t>YX-EVAL-28</t>
        </is>
      </c>
      <c r="B949" t="inlineStr">
        <is>
          <t>T05</t>
        </is>
      </c>
      <c r="C949" t="inlineStr">
        <is>
          <t>YX-EVAL</t>
        </is>
      </c>
      <c r="D949" t="inlineStr">
        <is>
          <t>6+</t>
        </is>
      </c>
      <c r="E949" s="5" t="inlineStr">
        <is>
          <t>Predictive validity (A13, Q10). For tenants using Proctoring and HRMS, hires' scores are linked to M06 ratings, time-to-productivity and retention and reported only in aggregate with minimum sample sizes; the purpose is stated in the candidate and employee privacy notices. Individual-level linked data is never shown.</t>
        </is>
      </c>
      <c r="F949" t="inlineStr">
        <is>
          <t>Not started</t>
        </is>
      </c>
      <c r="H949">
        <f>IF(G949&lt;&gt;"",G949,F949)</f>
        <v/>
      </c>
      <c r="I949" t="n">
        <v>0</v>
      </c>
      <c r="J949" t="n">
        <v>0</v>
      </c>
      <c r="K949" t="n">
        <v>0</v>
      </c>
      <c r="L949" s="5" t="inlineStr"/>
      <c r="M949" s="5" t="n"/>
    </row>
    <row r="950">
      <c r="A950" t="inlineStr">
        <is>
          <t>YX-EVAL-29</t>
        </is>
      </c>
      <c r="B950" t="inlineStr">
        <is>
          <t>T05</t>
        </is>
      </c>
      <c r="C950" t="inlineStr">
        <is>
          <t>YX-EVAL</t>
        </is>
      </c>
      <c r="D950" t="inlineStr">
        <is>
          <t>6+</t>
        </is>
      </c>
      <c r="E950" s="5" t="inlineStr">
        <is>
          <t xml:space="preserve">Employee-side AI fairness (C4). For EU tenants, A13 fairness analytics and human oversight also cover every employee-side AI feature classed high-risk or "depends" under EU AI Act Annex III(4) in P10 §A4 (attrition risk, AI in performance reviews, M12 allocation suggestions, individual M02 anomaly flags, psychometric scores used for promotion): adverse impact of outcomes per group (YX-EVAL-25 method, minimum group sizes), optional self-declared Special group data never shown on decision screens (YX-EVAL-24), findings handled per YX-EVAL-27 including suspension through the P10 kill switch, and </t>
        </is>
      </c>
      <c r="F950" t="inlineStr">
        <is>
          <t>Not started</t>
        </is>
      </c>
      <c r="H950">
        <f>IF(G950&lt;&gt;"",G950,F950)</f>
        <v/>
      </c>
      <c r="I950" t="n">
        <v>0</v>
      </c>
      <c r="J950" t="n">
        <v>0</v>
      </c>
      <c r="K950" t="n">
        <v>0</v>
      </c>
      <c r="L950" s="5" t="inlineStr"/>
      <c r="M950" s="5" t="n"/>
    </row>
    <row r="951">
      <c r="A951" t="inlineStr">
        <is>
          <t>YX-EVAL-30</t>
        </is>
      </c>
      <c r="B951" t="inlineStr">
        <is>
          <t>T05</t>
        </is>
      </c>
      <c r="C951" t="inlineStr">
        <is>
          <t>YX-EVAL</t>
        </is>
      </c>
      <c r="D951" t="inlineStr">
        <is>
          <t>6+</t>
        </is>
      </c>
      <c r="E951" s="5" t="inlineStr">
        <is>
          <t>Identity-mismatch and deepfake signals (T10). identity.mismatch (T04 YX-PROC-19) and media.synthetic_suspected / voice.clone_suspected (T04 YX-PROC-20) open or join an incident like any other flag, are assigned under YX-EVAL-15 (the interviewer who attested is never the reviewer), and follow YX-EVAL-01 / 03 / 04: only a human verdict acts, results or the application stage are held while open, and the candidate may explain, re-verify and appeal. The evidence (match score, stills, partner result, attestation) is Special and kept per YX-EVAL-08 (30-day default, legal hold while open); identity te</t>
        </is>
      </c>
      <c r="F951" t="inlineStr">
        <is>
          <t>Not started</t>
        </is>
      </c>
      <c r="H951">
        <f>IF(G951&lt;&gt;"",G951,F951)</f>
        <v/>
      </c>
      <c r="I951" t="n">
        <v>0</v>
      </c>
      <c r="J951" t="n">
        <v>0</v>
      </c>
      <c r="K951" t="n">
        <v>0</v>
      </c>
      <c r="L951" s="5" t="inlineStr"/>
      <c r="M951" s="5" t="n"/>
    </row>
    <row r="952">
      <c r="A952" t="inlineStr">
        <is>
          <t>YX-EVAL-31</t>
        </is>
      </c>
      <c r="B952" t="inlineStr">
        <is>
          <t>T05</t>
        </is>
      </c>
      <c r="C952" t="inlineStr">
        <is>
          <t>YX-EVAL</t>
        </is>
      </c>
      <c r="D952" t="inlineStr">
        <is>
          <t>6+</t>
        </is>
      </c>
      <c r="E952" s="5" t="inlineStr">
        <is>
          <t>Escalated disputes (J23). Only after the final appeal verdict, a tenant admin or legal role records an escalation (legal notice / court / DPB complaint, reference, date, counsel). This places a legal hold (YX-EVAL-08, P08 pattern) on every evidence item, score, report and audit record of the incident; retention sweeps and erasure requests skip them (the requester is told why) until a recorded closure. The evidence export is a sealed package: files, the P08 audit trail with hash-chain proof, a SHA-256 manifest and an electronic-records certificate from an APX-F template for the tenant's signato</t>
        </is>
      </c>
      <c r="F952" t="inlineStr">
        <is>
          <t>Not started</t>
        </is>
      </c>
      <c r="H952">
        <f>IF(G952&lt;&gt;"",G952,F952)</f>
        <v/>
      </c>
      <c r="I952" t="n">
        <v>0</v>
      </c>
      <c r="J952" t="n">
        <v>0</v>
      </c>
      <c r="K952" t="n">
        <v>0</v>
      </c>
      <c r="L952" s="5" t="inlineStr"/>
      <c r="M952" s="5" t="n"/>
    </row>
    <row r="953">
      <c r="A953" t="inlineStr">
        <is>
          <t>YX-EVAL-32</t>
        </is>
      </c>
      <c r="B953" t="inlineStr">
        <is>
          <t>T05</t>
        </is>
      </c>
      <c r="C953" t="inlineStr">
        <is>
          <t>YX-EVAL</t>
        </is>
      </c>
      <c r="D953" t="inlineStr">
        <is>
          <t>6+</t>
        </is>
      </c>
      <c r="E953" s="5" t="inlineStr">
        <is>
          <t>NYC LL144 bias audit (R13). With the company's NYC setting on, each AI-scored hiring feature used for NYC jobs (AI interview, candidate-fit, AI first round, AI-scored tests) produces a yearly bias-audit export from A13 data (YX-EVAL-25 method): selection or scoring rates and impact ratios by sex, race / ethnicity and intersectional categories, counts per category, small categories flagged for the auditor, and the data period, with no candidate identities. The independent auditor gets time-boxed read-only access to the export and the P10 model card. The company records the audit date and publis</t>
        </is>
      </c>
      <c r="F953" t="inlineStr">
        <is>
          <t>Tested, code not linked</t>
        </is>
      </c>
      <c r="H953">
        <f>IF(G953&lt;&gt;"",G953,F953)</f>
        <v/>
      </c>
      <c r="I953" t="n">
        <v>0</v>
      </c>
      <c r="J953" t="n">
        <v>2</v>
      </c>
      <c r="K953" t="n">
        <v>4</v>
      </c>
      <c r="L953" s="5" t="inlineStr">
        <is>
          <t>exam-app-org:packages/yx-ui/src/screens/hiring/hiring.test.tsx
exam-app-ws:packages/yx-ui/src/screens/hiring/hiring.test.tsx</t>
        </is>
      </c>
      <c r="M953" s="5" t="n"/>
    </row>
    <row r="954">
      <c r="A954" t="inlineStr">
        <is>
          <t>YX-PSY-01</t>
        </is>
      </c>
      <c r="B954" t="inlineStr">
        <is>
          <t>T06</t>
        </is>
      </c>
      <c r="C954" t="inlineStr">
        <is>
          <t>YX-PSY</t>
        </is>
      </c>
      <c r="D954" t="inlineStr">
        <is>
          <t>6+</t>
        </is>
      </c>
      <c r="E954" s="5" t="inlineStr">
        <is>
          <t>Psychometric results are advisory. They are never the sole basis for rejection; an ATS stage can't auto-reject on a psychometric score (T05 YX-EVAL-12).</t>
        </is>
      </c>
      <c r="F954" t="inlineStr">
        <is>
          <t>Not started</t>
        </is>
      </c>
      <c r="H954">
        <f>IF(G954&lt;&gt;"",G954,F954)</f>
        <v/>
      </c>
      <c r="I954" t="n">
        <v>0</v>
      </c>
      <c r="J954" t="n">
        <v>0</v>
      </c>
      <c r="K954" t="n">
        <v>0</v>
      </c>
      <c r="L954" s="5" t="inlineStr"/>
      <c r="M954" s="5" t="n"/>
    </row>
    <row r="955">
      <c r="A955" t="inlineStr">
        <is>
          <t>YX-PSY-02</t>
        </is>
      </c>
      <c r="B955" t="inlineStr">
        <is>
          <t>T06</t>
        </is>
      </c>
      <c r="C955" t="inlineStr">
        <is>
          <t>YX-PSY</t>
        </is>
      </c>
      <c r="D955" t="inlineStr">
        <is>
          <t>6+</t>
        </is>
      </c>
      <c r="E955" s="5" t="inlineStr">
        <is>
          <t>Every instrument shown to customers has published reliability and validity evidence, with a version. An instrument without sufficient evidence can only be used in "research / development" mode, not for hiring decisions.</t>
        </is>
      </c>
      <c r="F955" t="inlineStr">
        <is>
          <t>Not started</t>
        </is>
      </c>
      <c r="H955">
        <f>IF(G955&lt;&gt;"",G955,F955)</f>
        <v/>
      </c>
      <c r="I955" t="n">
        <v>0</v>
      </c>
      <c r="J955" t="n">
        <v>0</v>
      </c>
      <c r="K955" t="n">
        <v>0</v>
      </c>
      <c r="L955" s="5" t="inlineStr"/>
      <c r="M955" s="5" t="n"/>
    </row>
    <row r="956">
      <c r="A956" t="inlineStr">
        <is>
          <t>YX-PSY-03</t>
        </is>
      </c>
      <c r="B956" t="inlineStr">
        <is>
          <t>T06</t>
        </is>
      </c>
      <c r="C956" t="inlineStr">
        <is>
          <t>YX-PSY</t>
        </is>
      </c>
      <c r="D956" t="inlineStr">
        <is>
          <t>6+</t>
        </is>
      </c>
      <c r="E956" s="5" t="inlineStr">
        <is>
          <t>Scores are reported against a named norm group with confidence bands. Mixing norm groups in one comparison is blocked.</t>
        </is>
      </c>
      <c r="F956" t="inlineStr">
        <is>
          <t>Not started</t>
        </is>
      </c>
      <c r="H956">
        <f>IF(G956&lt;&gt;"",G956,F956)</f>
        <v/>
      </c>
      <c r="I956" t="n">
        <v>0</v>
      </c>
      <c r="J956" t="n">
        <v>0</v>
      </c>
      <c r="K956" t="n">
        <v>0</v>
      </c>
      <c r="L956" s="5" t="inlineStr"/>
      <c r="M956" s="5" t="n"/>
    </row>
    <row r="957">
      <c r="A957" t="inlineStr">
        <is>
          <t>YX-PSY-04</t>
        </is>
      </c>
      <c r="B957" t="inlineStr">
        <is>
          <t>T06</t>
        </is>
      </c>
      <c r="C957" t="inlineStr">
        <is>
          <t>YX-PSY</t>
        </is>
      </c>
      <c r="D957" t="inlineStr">
        <is>
          <t>6+</t>
        </is>
      </c>
      <c r="E957" s="5" t="inlineStr">
        <is>
          <t>Personality and SJT instruments are not timed per item and not proctored beyond the test's mode. Cognitive instruments are timed and may use Record &amp; review.</t>
        </is>
      </c>
      <c r="F957" t="inlineStr">
        <is>
          <t>Not started</t>
        </is>
      </c>
      <c r="H957">
        <f>IF(G957&lt;&gt;"",G957,F957)</f>
        <v/>
      </c>
      <c r="I957" t="n">
        <v>0</v>
      </c>
      <c r="J957" t="n">
        <v>0</v>
      </c>
      <c r="K957" t="n">
        <v>0</v>
      </c>
      <c r="L957" s="5" t="inlineStr"/>
      <c r="M957" s="5" t="n"/>
    </row>
    <row r="958">
      <c r="A958" t="inlineStr">
        <is>
          <t>YX-PSY-05</t>
        </is>
      </c>
      <c r="B958" t="inlineStr">
        <is>
          <t>T06</t>
        </is>
      </c>
      <c r="C958" t="inlineStr">
        <is>
          <t>YX-PSY</t>
        </is>
      </c>
      <c r="D958" t="inlineStr">
        <is>
          <t>6+</t>
        </is>
      </c>
      <c r="E958" s="5" t="inlineStr">
        <is>
          <t>Response-quality signals (too fast, straight-lining, inconsistency) are flags for the reviewer, never automatic invalidation.</t>
        </is>
      </c>
      <c r="F958" t="inlineStr">
        <is>
          <t>Not started</t>
        </is>
      </c>
      <c r="H958">
        <f>IF(G958&lt;&gt;"",G958,F958)</f>
        <v/>
      </c>
      <c r="I958" t="n">
        <v>0</v>
      </c>
      <c r="J958" t="n">
        <v>0</v>
      </c>
      <c r="K958" t="n">
        <v>0</v>
      </c>
      <c r="L958" s="5" t="inlineStr"/>
      <c r="M958" s="5" t="n"/>
    </row>
    <row r="959">
      <c r="A959" t="inlineStr">
        <is>
          <t>YX-PSY-06</t>
        </is>
      </c>
      <c r="B959" t="inlineStr">
        <is>
          <t>T06</t>
        </is>
      </c>
      <c r="C959" t="inlineStr">
        <is>
          <t>YX-PSY</t>
        </is>
      </c>
      <c r="D959" t="inlineStr">
        <is>
          <t>6+</t>
        </is>
      </c>
      <c r="E959" s="5" t="inlineStr">
        <is>
          <t>No clinical, medical or mental-health inference; no emotion recognition from face or voice. Report wording is reviewed against a banned-claims list.</t>
        </is>
      </c>
      <c r="F959" t="inlineStr">
        <is>
          <t>Not started</t>
        </is>
      </c>
      <c r="H959">
        <f>IF(G959&lt;&gt;"",G959,F959)</f>
        <v/>
      </c>
      <c r="I959" t="n">
        <v>0</v>
      </c>
      <c r="J959" t="n">
        <v>0</v>
      </c>
      <c r="K959" t="n">
        <v>0</v>
      </c>
      <c r="L959" s="5" t="inlineStr"/>
      <c r="M959" s="5" t="n"/>
    </row>
    <row r="960">
      <c r="A960" t="inlineStr">
        <is>
          <t>YX-PSY-07</t>
        </is>
      </c>
      <c r="B960" t="inlineStr">
        <is>
          <t>T06</t>
        </is>
      </c>
      <c r="C960" t="inlineStr">
        <is>
          <t>YX-PSY</t>
        </is>
      </c>
      <c r="D960" t="inlineStr">
        <is>
          <t>6+</t>
        </is>
      </c>
      <c r="E960" s="5" t="inlineStr">
        <is>
          <t>Candidate consent (T05) states the purpose, who sees results and retention. Candidates are offered their own feedback report where the company enables it (T05 Q5).</t>
        </is>
      </c>
      <c r="F960" t="inlineStr">
        <is>
          <t>Not started</t>
        </is>
      </c>
      <c r="H960">
        <f>IF(G960&lt;&gt;"",G960,F960)</f>
        <v/>
      </c>
      <c r="I960" t="n">
        <v>0</v>
      </c>
      <c r="J960" t="n">
        <v>0</v>
      </c>
      <c r="K960" t="n">
        <v>0</v>
      </c>
      <c r="L960" s="5" t="inlineStr"/>
      <c r="M960" s="5" t="n"/>
    </row>
    <row r="961">
      <c r="A961" t="inlineStr">
        <is>
          <t>YX-PSY-08</t>
        </is>
      </c>
      <c r="B961" t="inlineStr">
        <is>
          <t>T06</t>
        </is>
      </c>
      <c r="C961" t="inlineStr">
        <is>
          <t>YX-PSY</t>
        </is>
      </c>
      <c r="D961" t="inlineStr">
        <is>
          <t>6+</t>
        </is>
      </c>
      <c r="E961" s="5" t="inlineStr">
        <is>
          <t>Adverse impact and differential item functioning are monitored per instrument and per tenant use (A13); results below the 4/5ths rule trigger a review alert to the instrument owner.</t>
        </is>
      </c>
      <c r="F961" t="inlineStr">
        <is>
          <t>Not started</t>
        </is>
      </c>
      <c r="H961">
        <f>IF(G961&lt;&gt;"",G961,F961)</f>
        <v/>
      </c>
      <c r="I961" t="n">
        <v>0</v>
      </c>
      <c r="J961" t="n">
        <v>0</v>
      </c>
      <c r="K961" t="n">
        <v>0</v>
      </c>
      <c r="L961" s="5" t="inlineStr"/>
      <c r="M961" s="5" t="n"/>
    </row>
    <row r="962">
      <c r="A962" t="inlineStr">
        <is>
          <t>YX-PSY-09</t>
        </is>
      </c>
      <c r="B962" t="inlineStr">
        <is>
          <t>T06</t>
        </is>
      </c>
      <c r="C962" t="inlineStr">
        <is>
          <t>YX-PSY</t>
        </is>
      </c>
      <c r="D962" t="inlineStr">
        <is>
          <t>6+</t>
        </is>
      </c>
      <c r="E962" s="5" t="inlineStr">
        <is>
          <t>Tenant-built instruments follow the T01 review workflow and must reach the YX-PSY-02 evidence threshold before hiring use (Q3).</t>
        </is>
      </c>
      <c r="F962" t="inlineStr">
        <is>
          <t>Not started</t>
        </is>
      </c>
      <c r="H962">
        <f>IF(G962&lt;&gt;"",G962,F962)</f>
        <v/>
      </c>
      <c r="I962" t="n">
        <v>0</v>
      </c>
      <c r="J962" t="n">
        <v>0</v>
      </c>
      <c r="K962" t="n">
        <v>0</v>
      </c>
      <c r="L962" s="5" t="inlineStr"/>
      <c r="M962" s="5" t="n"/>
    </row>
    <row r="963">
      <c r="A963" t="inlineStr">
        <is>
          <t>YX-PSY-10</t>
        </is>
      </c>
      <c r="B963" t="inlineStr">
        <is>
          <t>T06</t>
        </is>
      </c>
      <c r="C963" t="inlineStr">
        <is>
          <t>YX-PSY</t>
        </is>
      </c>
      <c r="D963" t="inlineStr">
        <is>
          <t>6+</t>
        </is>
      </c>
      <c r="E963" s="5" t="inlineStr">
        <is>
          <t>Job-profile fit is shown as ranges and "probe" prompts for interviewers, never as a pass / fail badge.</t>
        </is>
      </c>
      <c r="F963" t="inlineStr">
        <is>
          <t>Not started</t>
        </is>
      </c>
      <c r="H963">
        <f>IF(G963&lt;&gt;"",G963,F963)</f>
        <v/>
      </c>
      <c r="I963" t="n">
        <v>0</v>
      </c>
      <c r="J963" t="n">
        <v>0</v>
      </c>
      <c r="K963" t="n">
        <v>0</v>
      </c>
      <c r="L963" s="5" t="inlineStr"/>
      <c r="M963" s="5" t="n"/>
    </row>
    <row r="964">
      <c r="A964" t="inlineStr">
        <is>
          <t>YX-PSY-11</t>
        </is>
      </c>
      <c r="B964" t="inlineStr">
        <is>
          <t>T06</t>
        </is>
      </c>
      <c r="C964" t="inlineStr">
        <is>
          <t>YX-PSY</t>
        </is>
      </c>
      <c r="D964" t="inlineStr">
        <is>
          <t>6+</t>
        </is>
      </c>
      <c r="E964" s="5" t="inlineStr">
        <is>
          <t>Employee psychometric results are for development by default and visible to the employee; use in promotion / termination decisions requires the company to enable it per assessment, HR-only approval, and a prior notice to the employee; such use is audited.</t>
        </is>
      </c>
      <c r="F964" t="inlineStr">
        <is>
          <t>Not started</t>
        </is>
      </c>
      <c r="H964">
        <f>IF(G964&lt;&gt;"",G964,F964)</f>
        <v/>
      </c>
      <c r="I964" t="n">
        <v>0</v>
      </c>
      <c r="J964" t="n">
        <v>0</v>
      </c>
      <c r="K964" t="n">
        <v>0</v>
      </c>
      <c r="L964" s="5" t="inlineStr"/>
      <c r="M964" s="5" t="n"/>
    </row>
    <row r="965">
      <c r="A965" t="inlineStr">
        <is>
          <t>YX-CODE-01</t>
        </is>
      </c>
      <c r="B965" t="inlineStr">
        <is>
          <t>T07</t>
        </is>
      </c>
      <c r="C965" t="inlineStr">
        <is>
          <t>YX-CODE</t>
        </is>
      </c>
      <c r="D965" t="inlineStr">
        <is>
          <t>6+</t>
        </is>
      </c>
      <c r="E965" s="5" t="inlineStr">
        <is>
          <t>Every workspace is isolated per attempt: no network except the allow-listed package mirror, CPU / memory / time limits per template, destroyed after submission snapshot + retention.</t>
        </is>
      </c>
      <c r="F965" t="inlineStr">
        <is>
          <t>Not started</t>
        </is>
      </c>
      <c r="H965">
        <f>IF(G965&lt;&gt;"",G965,F965)</f>
        <v/>
      </c>
      <c r="I965" t="n">
        <v>0</v>
      </c>
      <c r="J965" t="n">
        <v>0</v>
      </c>
      <c r="K965" t="n">
        <v>0</v>
      </c>
      <c r="L965" s="5" t="inlineStr"/>
      <c r="M965" s="5" t="n"/>
    </row>
    <row r="966">
      <c r="A966" t="inlineStr">
        <is>
          <t>YX-CODE-02</t>
        </is>
      </c>
      <c r="B966" t="inlineStr">
        <is>
          <t>T07</t>
        </is>
      </c>
      <c r="C966" t="inlineStr">
        <is>
          <t>YX-CODE</t>
        </is>
      </c>
      <c r="D966" t="inlineStr">
        <is>
          <t>6+</t>
        </is>
      </c>
      <c r="E966" s="5" t="inlineStr">
        <is>
          <t>Hidden tests, reference solutions and grading scripts never enter the candidate's workspace; they run in a separate grader container against the submission snapshot.</t>
        </is>
      </c>
      <c r="F966" t="inlineStr">
        <is>
          <t>Not started</t>
        </is>
      </c>
      <c r="H966">
        <f>IF(G966&lt;&gt;"",G966,F966)</f>
        <v/>
      </c>
      <c r="I966" t="n">
        <v>0</v>
      </c>
      <c r="J966" t="n">
        <v>0</v>
      </c>
      <c r="K966" t="n">
        <v>0</v>
      </c>
      <c r="L966" s="5" t="inlineStr"/>
      <c r="M966" s="5" t="n"/>
    </row>
    <row r="967">
      <c r="A967" t="inlineStr">
        <is>
          <t>YX-CODE-03</t>
        </is>
      </c>
      <c r="B967" t="inlineStr">
        <is>
          <t>T07</t>
        </is>
      </c>
      <c r="C967" t="inlineStr">
        <is>
          <t>YX-CODE</t>
        </is>
      </c>
      <c r="D967" t="inlineStr">
        <is>
          <t>6+</t>
        </is>
      </c>
      <c r="E967" s="5" t="inlineStr">
        <is>
          <t>The submission is an immutable snapshot (files + commit hash). Scores always reference that snapshot and the template version.</t>
        </is>
      </c>
      <c r="F967" t="inlineStr">
        <is>
          <t>Not started</t>
        </is>
      </c>
      <c r="H967">
        <f>IF(G967&lt;&gt;"",G967,F967)</f>
        <v/>
      </c>
      <c r="I967" t="n">
        <v>0</v>
      </c>
      <c r="J967" t="n">
        <v>0</v>
      </c>
      <c r="K967" t="n">
        <v>0</v>
      </c>
      <c r="L967" s="5" t="inlineStr"/>
      <c r="M967" s="5" t="n"/>
    </row>
    <row r="968">
      <c r="A968" t="inlineStr">
        <is>
          <t>YX-CODE-04</t>
        </is>
      </c>
      <c r="B968" t="inlineStr">
        <is>
          <t>T07</t>
        </is>
      </c>
      <c r="C968" t="inlineStr">
        <is>
          <t>YX-CODE</t>
        </is>
      </c>
      <c r="D968" t="inlineStr">
        <is>
          <t>6+</t>
        </is>
      </c>
      <c r="E968" s="5" t="inlineStr">
        <is>
          <t>Playback events are recorded for every workspace and interview session and are available to reviewers and in incidents (T05). Candidates are told in the consent that their editing is recorded.</t>
        </is>
      </c>
      <c r="F968" t="inlineStr">
        <is>
          <t>Not started</t>
        </is>
      </c>
      <c r="H968">
        <f>IF(G968&lt;&gt;"",G968,F968)</f>
        <v/>
      </c>
      <c r="I968" t="n">
        <v>0</v>
      </c>
      <c r="J968" t="n">
        <v>0</v>
      </c>
      <c r="K968" t="n">
        <v>0</v>
      </c>
      <c r="L968" s="5" t="inlineStr"/>
      <c r="M968" s="5" t="n"/>
    </row>
    <row r="969">
      <c r="A969" t="inlineStr">
        <is>
          <t>YX-CODE-05</t>
        </is>
      </c>
      <c r="B969" t="inlineStr">
        <is>
          <t>T07</t>
        </is>
      </c>
      <c r="C969" t="inlineStr">
        <is>
          <t>YX-CODE</t>
        </is>
      </c>
      <c r="D969" t="inlineStr">
        <is>
          <t>6+</t>
        </is>
      </c>
      <c r="E969" s="5" t="inlineStr">
        <is>
          <t>Take-home tasks have a deadline shown in the candidate's time zone. Late commits are marked late; the company decides whether late work is accepted (D17).</t>
        </is>
      </c>
      <c r="F969" t="inlineStr">
        <is>
          <t>Not started</t>
        </is>
      </c>
      <c r="H969">
        <f>IF(G969&lt;&gt;"",G969,F969)</f>
        <v/>
      </c>
      <c r="I969" t="n">
        <v>0</v>
      </c>
      <c r="J969" t="n">
        <v>0</v>
      </c>
      <c r="K969" t="n">
        <v>0</v>
      </c>
      <c r="L969" s="5" t="inlineStr"/>
      <c r="M969" s="5" t="n"/>
    </row>
    <row r="970">
      <c r="A970" t="inlineStr">
        <is>
          <t>YX-CODE-06</t>
        </is>
      </c>
      <c r="B970" t="inlineStr">
        <is>
          <t>T07</t>
        </is>
      </c>
      <c r="C970" t="inlineStr">
        <is>
          <t>YX-CODE</t>
        </is>
      </c>
      <c r="D970" t="inlineStr">
        <is>
          <t>6+</t>
        </is>
      </c>
      <c r="E970" s="5" t="inlineStr">
        <is>
          <t>Automatic scores, AI code review and similarity results are advisory inputs to the human rubric (T05). An interviewer's recommendation is required to move an interview candidate forward (M10).</t>
        </is>
      </c>
      <c r="F970" t="inlineStr">
        <is>
          <t>Not started</t>
        </is>
      </c>
      <c r="H970">
        <f>IF(G970&lt;&gt;"",G970,F970)</f>
        <v/>
      </c>
      <c r="I970" t="n">
        <v>0</v>
      </c>
      <c r="J970" t="n">
        <v>0</v>
      </c>
      <c r="K970" t="n">
        <v>0</v>
      </c>
      <c r="L970" s="5" t="inlineStr"/>
      <c r="M970" s="5" t="n"/>
    </row>
    <row r="971">
      <c r="A971" t="inlineStr">
        <is>
          <t>YX-CODE-07</t>
        </is>
      </c>
      <c r="B971" t="inlineStr">
        <is>
          <t>T07</t>
        </is>
      </c>
      <c r="C971" t="inlineStr">
        <is>
          <t>YX-CODE</t>
        </is>
      </c>
      <c r="D971" t="inlineStr">
        <is>
          <t>6+</t>
        </is>
      </c>
      <c r="E971" s="5" t="inlineStr">
        <is>
          <t>Live interview notes and rubric scores are private to the panel until submitted, and feed the M10 scorecard. Video recording of interviews follows Q4 and requires consent at join.</t>
        </is>
      </c>
      <c r="F971" t="inlineStr">
        <is>
          <t>Not started</t>
        </is>
      </c>
      <c r="H971">
        <f>IF(G971&lt;&gt;"",G971,F971)</f>
        <v/>
      </c>
      <c r="I971" t="n">
        <v>0</v>
      </c>
      <c r="J971" t="n">
        <v>0</v>
      </c>
      <c r="K971" t="n">
        <v>0</v>
      </c>
      <c r="L971" s="5" t="inlineStr"/>
      <c r="M971" s="5" t="n"/>
    </row>
    <row r="972">
      <c r="A972" t="inlineStr">
        <is>
          <t>YX-CODE-08</t>
        </is>
      </c>
      <c r="B972" t="inlineStr">
        <is>
          <t>T07</t>
        </is>
      </c>
      <c r="C972" t="inlineStr">
        <is>
          <t>YX-CODE</t>
        </is>
      </c>
      <c r="D972" t="inlineStr">
        <is>
          <t>6+</t>
        </is>
      </c>
      <c r="E972" s="5" t="inlineStr">
        <is>
          <t>Similarity checks run across attempts in the tenant (existing 5-gram engine, extended to multi-file) and against public solutions where the partner add-on is enabled (T05 Q3).</t>
        </is>
      </c>
      <c r="F972" t="inlineStr">
        <is>
          <t>Not started</t>
        </is>
      </c>
      <c r="H972">
        <f>IF(G972&lt;&gt;"",G972,F972)</f>
        <v/>
      </c>
      <c r="I972" t="n">
        <v>0</v>
      </c>
      <c r="J972" t="n">
        <v>0</v>
      </c>
      <c r="K972" t="n">
        <v>0</v>
      </c>
      <c r="L972" s="5" t="inlineStr"/>
      <c r="M972" s="5" t="n"/>
    </row>
    <row r="973">
      <c r="A973" t="inlineStr">
        <is>
          <t>YX-CODE-09</t>
        </is>
      </c>
      <c r="B973" t="inlineStr">
        <is>
          <t>T07</t>
        </is>
      </c>
      <c r="C973" t="inlineStr">
        <is>
          <t>YX-CODE</t>
        </is>
      </c>
      <c r="D973" t="inlineStr">
        <is>
          <t>6+</t>
        </is>
      </c>
      <c r="E973" s="5" t="inlineStr">
        <is>
          <t>Workspace idle / time limits and resource usage are metered; heavy usage beyond fair use follows the D18 usage add-on.</t>
        </is>
      </c>
      <c r="F973" t="inlineStr">
        <is>
          <t>Not started</t>
        </is>
      </c>
      <c r="H973">
        <f>IF(G973&lt;&gt;"",G973,F973)</f>
        <v/>
      </c>
      <c r="I973" t="n">
        <v>0</v>
      </c>
      <c r="J973" t="n">
        <v>0</v>
      </c>
      <c r="K973" t="n">
        <v>0</v>
      </c>
      <c r="L973" s="5" t="inlineStr"/>
      <c r="M973" s="5" t="n"/>
    </row>
    <row r="974">
      <c r="A974" t="inlineStr">
        <is>
          <t>YX-SCL-01</t>
        </is>
      </c>
      <c r="B974" t="inlineStr">
        <is>
          <t>T08</t>
        </is>
      </c>
      <c r="C974" t="inlineStr">
        <is>
          <t>YX-SCL</t>
        </is>
      </c>
      <c r="D974" t="inlineStr">
        <is>
          <t>6+</t>
        </is>
      </c>
      <c r="E974" s="5" t="inlineStr">
        <is>
          <t>The client is code-signed, verifies its own integrity at start, and must be at or above the test's minimum version. The server accepts a session only with a valid one-time launch token bound to the attempt.</t>
        </is>
      </c>
      <c r="F974" t="inlineStr">
        <is>
          <t>Not started</t>
        </is>
      </c>
      <c r="H974">
        <f>IF(G974&lt;&gt;"",G974,F974)</f>
        <v/>
      </c>
      <c r="I974" t="n">
        <v>0</v>
      </c>
      <c r="J974" t="n">
        <v>0</v>
      </c>
      <c r="K974" t="n">
        <v>0</v>
      </c>
      <c r="L974" s="5" t="inlineStr"/>
      <c r="M974" s="5" t="n"/>
    </row>
    <row r="975">
      <c r="A975" t="inlineStr">
        <is>
          <t>YX-SCL-02</t>
        </is>
      </c>
      <c r="B975" t="inlineStr">
        <is>
          <t>T08</t>
        </is>
      </c>
      <c r="C975" t="inlineStr">
        <is>
          <t>YX-SCL</t>
        </is>
      </c>
      <c r="D975" t="inlineStr">
        <is>
          <t>6+</t>
        </is>
      </c>
      <c r="E975" s="5" t="inlineStr">
        <is>
          <t>The client runs only during an attempt. It installs no always-on background service or kernel driver, keeps no data after exit except crash logs, and uninstalls cleanly (Q3).</t>
        </is>
      </c>
      <c r="F975" t="inlineStr">
        <is>
          <t>Not started</t>
        </is>
      </c>
      <c r="H975">
        <f>IF(G975&lt;&gt;"",G975,F975)</f>
        <v/>
      </c>
      <c r="I975" t="n">
        <v>0</v>
      </c>
      <c r="J975" t="n">
        <v>0</v>
      </c>
      <c r="K975" t="n">
        <v>0</v>
      </c>
      <c r="L975" s="5" t="inlineStr"/>
      <c r="M975" s="5" t="n"/>
    </row>
    <row r="976">
      <c r="A976" t="inlineStr">
        <is>
          <t>YX-SCL-03</t>
        </is>
      </c>
      <c r="B976" t="inlineStr">
        <is>
          <t>T08</t>
        </is>
      </c>
      <c r="C976" t="inlineStr">
        <is>
          <t>YX-SCL</t>
        </is>
      </c>
      <c r="D976" t="inlineStr">
        <is>
          <t>6+</t>
        </is>
      </c>
      <c r="E976" s="5" t="inlineStr">
        <is>
          <t>Detections are signals routed through the T04 action matrix (flag / warn / pause / terminate). Nothing auto-fails a candidate (T04 YX-PROC-02).</t>
        </is>
      </c>
      <c r="F976" t="inlineStr">
        <is>
          <t>Not started</t>
        </is>
      </c>
      <c r="H976">
        <f>IF(G976&lt;&gt;"",G976,F976)</f>
        <v/>
      </c>
      <c r="I976" t="n">
        <v>0</v>
      </c>
      <c r="J976" t="n">
        <v>0</v>
      </c>
      <c r="K976" t="n">
        <v>0</v>
      </c>
      <c r="L976" s="5" t="inlineStr"/>
      <c r="M976" s="5" t="n"/>
    </row>
    <row r="977">
      <c r="A977" t="inlineStr">
        <is>
          <t>YX-SCL-04</t>
        </is>
      </c>
      <c r="B977" t="inlineStr">
        <is>
          <t>T08</t>
        </is>
      </c>
      <c r="C977" t="inlineStr">
        <is>
          <t>YX-SCL</t>
        </is>
      </c>
      <c r="D977" t="inlineStr">
        <is>
          <t>6+</t>
        </is>
      </c>
      <c r="E977" s="5" t="inlineStr">
        <is>
          <t>Blocked-process lists are platform-maintained, and tenants may add entries or allow exceptions per test (e.g. an assistive technology approved as an accommodation, T03 YX-DLV-10). Accommodations always take precedence.</t>
        </is>
      </c>
      <c r="F977" t="inlineStr">
        <is>
          <t>Not started</t>
        </is>
      </c>
      <c r="H977">
        <f>IF(G977&lt;&gt;"",G977,F977)</f>
        <v/>
      </c>
      <c r="I977" t="n">
        <v>0</v>
      </c>
      <c r="J977" t="n">
        <v>0</v>
      </c>
      <c r="K977" t="n">
        <v>0</v>
      </c>
      <c r="L977" s="5" t="inlineStr"/>
      <c r="M977" s="5" t="n"/>
    </row>
    <row r="978">
      <c r="A978" t="inlineStr">
        <is>
          <t>YX-SCL-05</t>
        </is>
      </c>
      <c r="B978" t="inlineStr">
        <is>
          <t>T08</t>
        </is>
      </c>
      <c r="C978" t="inlineStr">
        <is>
          <t>YX-SCL</t>
        </is>
      </c>
      <c r="D978" t="inlineStr">
        <is>
          <t>6+</t>
        </is>
      </c>
      <c r="E978" s="5" t="inlineStr">
        <is>
          <t>The client collects only the data listed in the consent (process names, device types, display count, VM indicators). It never reads files, keystroke content outside the test, browsing history or personal documents.</t>
        </is>
      </c>
      <c r="F978" t="inlineStr">
        <is>
          <t>Not started</t>
        </is>
      </c>
      <c r="H978">
        <f>IF(G978&lt;&gt;"",G978,F978)</f>
        <v/>
      </c>
      <c r="I978" t="n">
        <v>0</v>
      </c>
      <c r="J978" t="n">
        <v>0</v>
      </c>
      <c r="K978" t="n">
        <v>0</v>
      </c>
      <c r="L978" s="5" t="inlineStr"/>
      <c r="M978" s="5" t="n"/>
    </row>
    <row r="979">
      <c r="A979" t="inlineStr">
        <is>
          <t>YX-SCL-06</t>
        </is>
      </c>
      <c r="B979" t="inlineStr">
        <is>
          <t>T08</t>
        </is>
      </c>
      <c r="C979" t="inlineStr">
        <is>
          <t>YX-SCL</t>
        </is>
      </c>
      <c r="D979" t="inlineStr">
        <is>
          <t>6+</t>
        </is>
      </c>
      <c r="E979" s="5" t="inlineStr">
        <is>
          <t>The LAN second-device hint is optional per test, consent-based, passive (e.g. discovering devices advertising on the local network), stores only a count and device class, and is never used as a sole reason for action.</t>
        </is>
      </c>
      <c r="F979" t="inlineStr">
        <is>
          <t>Not started</t>
        </is>
      </c>
      <c r="H979">
        <f>IF(G979&lt;&gt;"",G979,F979)</f>
        <v/>
      </c>
      <c r="I979" t="n">
        <v>0</v>
      </c>
      <c r="J979" t="n">
        <v>0</v>
      </c>
      <c r="K979" t="n">
        <v>0</v>
      </c>
      <c r="L979" s="5" t="inlineStr"/>
      <c r="M979" s="5" t="n"/>
    </row>
    <row r="980">
      <c r="A980" t="inlineStr">
        <is>
          <t>YX-SCL-07</t>
        </is>
      </c>
      <c r="B980" t="inlineStr">
        <is>
          <t>T08</t>
        </is>
      </c>
      <c r="C980" t="inlineStr">
        <is>
          <t>YX-SCL</t>
        </is>
      </c>
      <c r="D980" t="inlineStr">
        <is>
          <t>6+</t>
        </is>
      </c>
      <c r="E980" s="5" t="inlineStr">
        <is>
          <t>Releases pass the P12 secure-SDLC gates and a security review. A vulnerability in the client follows P12 SLAs, and affected versions are blocked via minimum-version.</t>
        </is>
      </c>
      <c r="F980" t="inlineStr">
        <is>
          <t>Not started</t>
        </is>
      </c>
      <c r="H980">
        <f>IF(G980&lt;&gt;"",G980,F980)</f>
        <v/>
      </c>
      <c r="I980" t="n">
        <v>0</v>
      </c>
      <c r="J980" t="n">
        <v>0</v>
      </c>
      <c r="K980" t="n">
        <v>0</v>
      </c>
      <c r="L980" s="5" t="inlineStr"/>
      <c r="M980" s="5" t="n"/>
    </row>
    <row r="981">
      <c r="A981" t="inlineStr">
        <is>
          <t>YX-SCL-08</t>
        </is>
      </c>
      <c r="B981" t="inlineStr">
        <is>
          <t>T08</t>
        </is>
      </c>
      <c r="C981" t="inlineStr">
        <is>
          <t>YX-SCL</t>
        </is>
      </c>
      <c r="D981" t="inlineStr">
        <is>
          <t>6+</t>
        </is>
      </c>
      <c r="E981" s="5" t="inlineStr">
        <is>
          <t>If the client crashes or the device fails mid-test, T03 session continuity applies (auto-save, time credit, re-auth). Crashes are logged, not treated as violations.</t>
        </is>
      </c>
      <c r="F981" t="inlineStr">
        <is>
          <t>Not started</t>
        </is>
      </c>
      <c r="H981">
        <f>IF(G981&lt;&gt;"",G981,F981)</f>
        <v/>
      </c>
      <c r="I981" t="n">
        <v>0</v>
      </c>
      <c r="J981" t="n">
        <v>0</v>
      </c>
      <c r="K981" t="n">
        <v>0</v>
      </c>
      <c r="L981" s="5" t="inlineStr"/>
      <c r="M981" s="5" t="n"/>
    </row>
    <row r="982">
      <c r="A982" t="inlineStr">
        <is>
          <t>YX-SCL-09</t>
        </is>
      </c>
      <c r="B982" t="inlineStr">
        <is>
          <t>T08</t>
        </is>
      </c>
      <c r="C982" t="inlineStr">
        <is>
          <t>YX-SCL</t>
        </is>
      </c>
      <c r="D982" t="inlineStr">
        <is>
          <t>6+</t>
        </is>
      </c>
      <c r="E982" s="5" t="inlineStr">
        <is>
          <t xml:space="preserve">Overlay assistants and second-device voice tools (G16). The client enumerates the window layers over the runner and raises an overlay assistant signal for always-on-top, transparent or click-through windows that are invisible in the screen share; the shared screen image alone is never trusted to show everything on the display. A second-device voice tool is inferred only from the T04 audio signals (Q6) and the optional LAN hint (YX-SCL-06), never from listening to the room's content. Both are T04 AI-assistance signals (YX-PROC-03): review flags with their evidence, never an automatic action on </t>
        </is>
      </c>
      <c r="F982" t="inlineStr">
        <is>
          <t>Not started</t>
        </is>
      </c>
      <c r="H982">
        <f>IF(G982&lt;&gt;"",G982,F982)</f>
        <v/>
      </c>
      <c r="I982" t="n">
        <v>0</v>
      </c>
      <c r="J982" t="n">
        <v>0</v>
      </c>
      <c r="K982" t="n">
        <v>0</v>
      </c>
      <c r="L982" s="5" t="inlineStr"/>
      <c r="M982" s="5" t="n"/>
    </row>
  </sheetData>
  <autoFilter ref="A1:M982"/>
  <conditionalFormatting sqref="F2:H982">
    <cfRule type="expression" priority="1" dxfId="0">
      <formula>ISNUMBER(SEARCH("Built +",F2))</formula>
    </cfRule>
    <cfRule type="expression" priority="2" dxfId="1">
      <formula>ISNUMBER(SEARCH("Built,",F2))</formula>
    </cfRule>
    <cfRule type="expression" priority="3" dxfId="1">
      <formula>ISNUMBER(SEARCH("Tested,",F2))</formula>
    </cfRule>
    <cfRule type="expression" priority="4" dxfId="2">
      <formula>ISNUMBER(SEARCH("Verify",F2))</formula>
    </cfRule>
    <cfRule type="expression" priority="5" dxfId="3">
      <formula>ISNUMBER(SEARCH("In progress",F2))</formula>
    </cfRule>
    <cfRule type="expression" priority="6" dxfId="4">
      <formula>ISNUMBER(SEARCH("Not needed",F2))</formula>
    </cfRule>
  </conditionalFormatting>
  <dataValidations count="1">
    <dataValidation sqref="G2:G982" showDropDown="0" showInputMessage="0" showErrorMessage="0" allowBlank="1" type="list">
      <formula1>"Built + tested,Built, no test cites it,Tested, code not linked,UI prototype only,Verify (step done, not linked),In progress,Not started,Not needed"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50" customWidth="1" min="2" max="2"/>
    <col width="9" customWidth="1" min="3" max="3"/>
    <col width="7" customWidth="1" min="4" max="4"/>
    <col width="9" customWidth="1" min="5" max="5"/>
    <col width="9" customWidth="1" min="6" max="6"/>
    <col width="8" customWidth="1" min="7" max="7"/>
    <col width="9" customWidth="1" min="8" max="8"/>
    <col width="8" customWidth="1" min="9" max="9"/>
    <col width="40" customWidth="1" min="10" max="10"/>
    <col width="60" customWidth="1" min="11" max="11"/>
    <col width="36" customWidth="1" min="12" max="12"/>
    <col width="30" customWidth="1" min="13" max="13"/>
  </cols>
  <sheetData>
    <row r="1">
      <c r="A1" s="4" t="inlineStr">
        <is>
          <t>Doc</t>
        </is>
      </c>
      <c r="B1" s="4" t="inlineStr">
        <is>
          <t>Title</t>
        </is>
      </c>
      <c r="C1" s="4" t="inlineStr">
        <is>
          <t>Roadmap step</t>
        </is>
      </c>
      <c r="D1" s="4" t="inlineStr">
        <is>
          <t>Rules</t>
        </is>
      </c>
      <c r="E1" s="4" t="inlineStr">
        <is>
          <t>Built + tested</t>
        </is>
      </c>
      <c r="F1" s="4" t="inlineStr">
        <is>
          <t>Built, no test</t>
        </is>
      </c>
      <c r="G1" s="4" t="inlineStr">
        <is>
          <t>Verify</t>
        </is>
      </c>
      <c r="H1" s="4" t="inlineStr">
        <is>
          <t>Not started</t>
        </is>
      </c>
      <c r="I1" s="4" t="inlineStr">
        <is>
          <t>% built</t>
        </is>
      </c>
      <c r="J1" s="4" t="inlineStr">
        <is>
          <t>Build wave</t>
        </is>
      </c>
      <c r="K1" s="4" t="inlineStr">
        <is>
          <t>Design status</t>
        </is>
      </c>
      <c r="L1" s="4" t="inlineStr">
        <is>
          <t>File</t>
        </is>
      </c>
      <c r="M1" s="4" t="inlineStr">
        <is>
          <t>Notes (you)</t>
        </is>
      </c>
    </row>
    <row r="2">
      <c r="A2" t="inlineStr">
        <is>
          <t>M01</t>
        </is>
      </c>
      <c r="B2" s="5" t="inlineStr">
        <is>
          <t>M01 · Core HR &amp; Employee Lifecycle</t>
        </is>
      </c>
      <c r="C2" t="inlineStr">
        <is>
          <t>2</t>
        </is>
      </c>
      <c r="D2" t="n">
        <v>51</v>
      </c>
      <c r="E2">
        <f>COUNTIFS(Rules!$B$2:$B$982,$A2,Rules!$H$2:$H$982,"Built +*")</f>
        <v/>
      </c>
      <c r="F2">
        <f>COUNTIFS(Rules!$B$2:$B$982,$A2,Rules!$H$2:$H$982,"Built,*")</f>
        <v/>
      </c>
      <c r="G2">
        <f>COUNTIFS(Rules!$B$2:$B$982,$A2,Rules!$H$2:$H$982,"Verify*")</f>
        <v/>
      </c>
      <c r="H2">
        <f>COUNTIFS(Rules!$B$2:$B$982,$A2,Rules!$H$2:$H$982,"Not started*")</f>
        <v/>
      </c>
      <c r="I2" s="6">
        <f>IF(D2=0,"",E2/D2)</f>
        <v/>
      </c>
      <c r="J2" s="5" t="inlineStr">
        <is>
          <t>Core HR in wave 1; onboarding, offboarding, F&amp;F, letters, assets in wave 4 (spec §4).</t>
        </is>
      </c>
      <c r="K2" s="5" t="inlineStr">
        <is>
          <t>✅ Decided, 25 Sep 2026. All 8 questions answered (§11). Extended 26 Sep 2026 (gap register, user decision): position management, workforce-planning scenarios, career paths &amp; IDPs, attrition-risk signal (GAP B16, §3.9, wave 5); §11 B16. Career paths, IDPs, talent pools and the attrition-risk signal a</t>
        </is>
      </c>
      <c r="L2" t="inlineStr">
        <is>
          <t>M01-core-hr-and-lifecycle.md</t>
        </is>
      </c>
    </row>
    <row r="3">
      <c r="A3" t="inlineStr">
        <is>
          <t>M02</t>
        </is>
      </c>
      <c r="B3" s="5" t="inlineStr">
        <is>
          <t>M02 · Leave &amp; Attendance</t>
        </is>
      </c>
      <c r="C3" t="inlineStr">
        <is>
          <t>4</t>
        </is>
      </c>
      <c r="D3" t="n">
        <v>46</v>
      </c>
      <c r="E3">
        <f>COUNTIFS(Rules!$B$2:$B$982,$A3,Rules!$H$2:$H$982,"Built +*")</f>
        <v/>
      </c>
      <c r="F3">
        <f>COUNTIFS(Rules!$B$2:$B$982,$A3,Rules!$H$2:$H$982,"Built,*")</f>
        <v/>
      </c>
      <c r="G3">
        <f>COUNTIFS(Rules!$B$2:$B$982,$A3,Rules!$H$2:$H$982,"Verify*")</f>
        <v/>
      </c>
      <c r="H3">
        <f>COUNTIFS(Rules!$B$2:$B$982,$A3,Rules!$H$2:$H$982,"Not started*")</f>
        <v/>
      </c>
      <c r="I3" s="6">
        <f>IF(D3=0,"",E3/D3)</f>
        <v/>
      </c>
      <c r="J3" s="5" t="inlineStr">
        <is>
          <t>2 (with basic mobile), feeding payroll in wave 3.</t>
        </is>
      </c>
      <c r="K3" s="5" t="inlineStr">
        <is>
          <t xml:space="preserve">✅ Decided (7/7), 25 Sep 2026. The 6 Leave decisions (23 Sep) and the attendance device question (P10 Q4) are already decided. Extended 26 Sep 2026 (gap register, user decision): field-force tracking (GAP B2, §B8, wave 5), auto-rostering, open shifts &amp; shift bidding (GAP B3, §B9, designed now, built </t>
        </is>
      </c>
      <c r="L3" t="inlineStr">
        <is>
          <t>M02-leave-and-attendance.md</t>
        </is>
      </c>
    </row>
    <row r="4">
      <c r="A4" t="inlineStr">
        <is>
          <t>M03</t>
        </is>
      </c>
      <c r="B4" s="5" t="inlineStr">
        <is>
          <t>M03 · Payroll &amp; India Statutory</t>
        </is>
      </c>
      <c r="C4" t="inlineStr">
        <is>
          <t>5</t>
        </is>
      </c>
      <c r="D4" t="n">
        <v>84</v>
      </c>
      <c r="E4">
        <f>COUNTIFS(Rules!$B$2:$B$982,$A4,Rules!$H$2:$H$982,"Built +*")</f>
        <v/>
      </c>
      <c r="F4">
        <f>COUNTIFS(Rules!$B$2:$B$982,$A4,Rules!$H$2:$H$982,"Built,*")</f>
        <v/>
      </c>
      <c r="G4">
        <f>COUNTIFS(Rules!$B$2:$B$982,$A4,Rules!$H$2:$H$982,"Verify*")</f>
        <v/>
      </c>
      <c r="H4">
        <f>COUNTIFS(Rules!$B$2:$B$982,$A4,Rules!$H$2:$H$982,"Not started*")</f>
        <v/>
      </c>
      <c r="I4" s="6">
        <f>IF(D4=0,"",E4/D4)</f>
        <v/>
      </c>
      <c r="J4" s="5" t="inlineStr">
        <is>
          <t>3. The private pilot starts here.</t>
        </is>
      </c>
      <c r="K4" s="5" t="inlineStr">
        <is>
          <t>✅ Decided (8/8), 25 Sep 2026. Extended 26 Sep 2026: consultant / contractor payouts (GAP A8) and always-on digital registers (GAP A9), §11 A8-Q1 / A9-Q2 / A9-Q3. Extended 26 Sep 2026 (gap register, user decision): earned wage access (GAP B10), multi-country payroll readiness with UAE / GCC / US-1099</t>
        </is>
      </c>
      <c r="L4" t="inlineStr">
        <is>
          <t>M03-payroll-and-statutory.md</t>
        </is>
      </c>
    </row>
    <row r="5">
      <c r="A5" t="inlineStr">
        <is>
          <t>M04</t>
        </is>
      </c>
      <c r="B5" s="5" t="inlineStr">
        <is>
          <t>M04 · Mobile App (Employee &amp; Manager)</t>
        </is>
      </c>
      <c r="C5" t="inlineStr">
        <is>
          <t>6+</t>
        </is>
      </c>
      <c r="D5" t="n">
        <v>19</v>
      </c>
      <c r="E5">
        <f>COUNTIFS(Rules!$B$2:$B$982,$A5,Rules!$H$2:$H$982,"Built +*")</f>
        <v/>
      </c>
      <c r="F5">
        <f>COUNTIFS(Rules!$B$2:$B$982,$A5,Rules!$H$2:$H$982,"Built,*")</f>
        <v/>
      </c>
      <c r="G5">
        <f>COUNTIFS(Rules!$B$2:$B$982,$A5,Rules!$H$2:$H$982,"Verify*")</f>
        <v/>
      </c>
      <c r="H5">
        <f>COUNTIFS(Rules!$B$2:$B$982,$A5,Rules!$H$2:$H$982,"Not started*")</f>
        <v/>
      </c>
      <c r="I5" s="6">
        <f>IF(D5=0,"",E5/D5)</f>
        <v/>
      </c>
      <c r="J5" s="5" t="inlineStr">
        <is>
          <t>basic mobile in wave 2 (Time, leave, approvals), and each later module adds its mobile screens in its own wave. No module ships without its employee-facing mobile flow (fixes U95).</t>
        </is>
      </c>
      <c r="K5" s="5" t="inlineStr">
        <is>
          <t>✅ Decided (8/8), 25 Sep 2026. Extended 26 Sep 2026 (gap register, user decision): mobile flows for field force (B2), open shifts &amp; bids (B3), earned wage access (B10), visitor approvals (C1), career / IDP (B16), equity (C4) and M12 timesheets (B1), §3.1; §11 B2 / B3 / B10 / C1 / B1 / B16-C4-B18. Val</t>
        </is>
      </c>
      <c r="L5" t="inlineStr">
        <is>
          <t>M04-mobile-app.md</t>
        </is>
      </c>
    </row>
    <row r="6">
      <c r="A6" t="inlineStr">
        <is>
          <t>M05</t>
        </is>
      </c>
      <c r="B6" s="5" t="inlineStr">
        <is>
          <t>M05 · Expenses, Advances &amp; Travel</t>
        </is>
      </c>
      <c r="C6" t="inlineStr">
        <is>
          <t>6+</t>
        </is>
      </c>
      <c r="D6" t="n">
        <v>16</v>
      </c>
      <c r="E6">
        <f>COUNTIFS(Rules!$B$2:$B$982,$A6,Rules!$H$2:$H$982,"Built +*")</f>
        <v/>
      </c>
      <c r="F6">
        <f>COUNTIFS(Rules!$B$2:$B$982,$A6,Rules!$H$2:$H$982,"Built,*")</f>
        <v/>
      </c>
      <c r="G6">
        <f>COUNTIFS(Rules!$B$2:$B$982,$A6,Rules!$H$2:$H$982,"Verify*")</f>
        <v/>
      </c>
      <c r="H6">
        <f>COUNTIFS(Rules!$B$2:$B$982,$A6,Rules!$H$2:$H$982,"Not started*")</f>
        <v/>
      </c>
      <c r="I6" s="6">
        <f>IF(D6=0,"",E6/D6)</f>
        <v/>
      </c>
      <c r="J6" s="5" t="inlineStr">
        <is>
          <t>5 (mobile-first, M04). Salary advances and loans stay in M03.</t>
        </is>
      </c>
      <c r="K6" s="5" t="inlineStr">
        <is>
          <t>✅ Decided (8/8), 25 Sep 2026. Extended 26 Sep 2026 (gap register, user decision): multi-currency expenses with FX (GAP B18) and field-force distance → mileage lines (GAP B2, M02 §B8); §11 B18 / B2.</t>
        </is>
      </c>
      <c r="L6" t="inlineStr">
        <is>
          <t>M05-expenses-advances-travel.md</t>
        </is>
      </c>
    </row>
    <row r="7">
      <c r="A7" t="inlineStr">
        <is>
          <t>M06</t>
        </is>
      </c>
      <c r="B7" s="5" t="inlineStr">
        <is>
          <t>M06 · Performance</t>
        </is>
      </c>
      <c r="C7" t="inlineStr">
        <is>
          <t>6+</t>
        </is>
      </c>
      <c r="D7" t="n">
        <v>22</v>
      </c>
      <c r="E7">
        <f>COUNTIFS(Rules!$B$2:$B$982,$A7,Rules!$H$2:$H$982,"Built +*")</f>
        <v/>
      </c>
      <c r="F7">
        <f>COUNTIFS(Rules!$B$2:$B$982,$A7,Rules!$H$2:$H$982,"Built,*")</f>
        <v/>
      </c>
      <c r="G7">
        <f>COUNTIFS(Rules!$B$2:$B$982,$A7,Rules!$H$2:$H$982,"Verify*")</f>
        <v/>
      </c>
      <c r="H7">
        <f>COUNTIFS(Rules!$B$2:$B$982,$A7,Rules!$H$2:$H$982,"Not started*")</f>
        <v/>
      </c>
      <c r="I7" s="6">
        <f>IF(D7=0,"",E7/D7)</f>
        <v/>
      </c>
      <c r="J7" s="5" t="inlineStr">
        <is>
          <t>5. Basic (guided) calibration was deliberately moved to wave 5 by Q5; only the 9-box and enforced distribution remain in wave 6 (spec §4).</t>
        </is>
      </c>
      <c r="K7" s="5" t="inlineStr">
        <is>
          <t>✅ Decided (8/8), 25 Sep 2026. Extended 26 Sep 2026: career paths &amp; IDPs, talent pools / succession link, attrition-risk signal (GAP B16); pay-equity analysis and compensation benchmarking (GAP C3); §11 B16 / C3.</t>
        </is>
      </c>
      <c r="L7" t="inlineStr">
        <is>
          <t>M06-performance.md</t>
        </is>
      </c>
    </row>
    <row r="8">
      <c r="A8" t="inlineStr">
        <is>
          <t>M07</t>
        </is>
      </c>
      <c r="B8" s="5" t="inlineStr">
        <is>
          <t>M07 · Learning &amp; Development</t>
        </is>
      </c>
      <c r="C8" t="inlineStr">
        <is>
          <t>6+</t>
        </is>
      </c>
      <c r="D8" t="n">
        <v>15</v>
      </c>
      <c r="E8">
        <f>COUNTIFS(Rules!$B$2:$B$982,$A8,Rules!$H$2:$H$982,"Built +*")</f>
        <v/>
      </c>
      <c r="F8">
        <f>COUNTIFS(Rules!$B$2:$B$982,$A8,Rules!$H$2:$H$982,"Built,*")</f>
        <v/>
      </c>
      <c r="G8">
        <f>COUNTIFS(Rules!$B$2:$B$982,$A8,Rules!$H$2:$H$982,"Verify*")</f>
        <v/>
      </c>
      <c r="H8">
        <f>COUNTIFS(Rules!$B$2:$B$982,$A8,Rules!$H$2:$H$982,"Not started*")</f>
        <v/>
      </c>
      <c r="I8" s="6">
        <f>IF(D8=0,"",E8/D8)</f>
        <v/>
      </c>
      <c r="J8" s="5" t="inlineStr">
        <is>
          <t>5.</t>
        </is>
      </c>
      <c r="K8" s="5" t="inlineStr">
        <is>
          <t>✅ Decided (8/8), 25 Sep 2026. Extended 26 Sep 2026: content marketplace &amp; provider connectors, live-class auto-creation, gamification (GAP C2); Open Badges 3.0 / Credly and an LTI 1.3 tool (GAP B15 part); §11 C2 / B15.</t>
        </is>
      </c>
      <c r="L8" t="inlineStr">
        <is>
          <t>M07-learning-and-development.md</t>
        </is>
      </c>
    </row>
    <row r="9">
      <c r="A9" t="inlineStr">
        <is>
          <t>M08</t>
        </is>
      </c>
      <c r="B9" s="5" t="inlineStr">
        <is>
          <t>M08 · Helpdesk, Grievance, POSH, Disciplinary &amp; Policies</t>
        </is>
      </c>
      <c r="C9" t="inlineStr">
        <is>
          <t>3b</t>
        </is>
      </c>
      <c r="D9" t="n">
        <v>32</v>
      </c>
      <c r="E9">
        <f>COUNTIFS(Rules!$B$2:$B$982,$A9,Rules!$H$2:$H$982,"Built +*")</f>
        <v/>
      </c>
      <c r="F9">
        <f>COUNTIFS(Rules!$B$2:$B$982,$A9,Rules!$H$2:$H$982,"Built,*")</f>
        <v/>
      </c>
      <c r="G9">
        <f>COUNTIFS(Rules!$B$2:$B$982,$A9,Rules!$H$2:$H$982,"Verify*")</f>
        <v/>
      </c>
      <c r="H9">
        <f>COUNTIFS(Rules!$B$2:$B$982,$A9,Rules!$H$2:$H$982,"Not started*")</f>
        <v/>
      </c>
      <c r="I9" s="6">
        <f>IF(D9=0,"",E9/D9)</f>
        <v/>
      </c>
      <c r="J9" s="5" t="inlineStr">
        <is>
          <t>POSH and workplace accident / injury (J6) in wave 4; helpdesk, grievance, disciplinary, policies and whistleblower in wave 5 (spec §4).</t>
        </is>
      </c>
      <c r="K9" s="5" t="inlineStr">
        <is>
          <t>✅ Decided (8/8), 25 Sep 2026. Correction C1 (validation pass 3), 28 Sep 2026: IR Code (P07 IN.IR, in force 21 Nov 2025) Grievance Redressal Committee for 20+ workers and standing orders at 300+ workers linked to the misconduct matrix (YX-CASE-12/13); §11 C1. Validation pass 3 Must J6, 28 Sep 2026: n</t>
        </is>
      </c>
      <c r="L9" t="inlineStr">
        <is>
          <t>M08-helpdesk-cases-policies.md</t>
        </is>
      </c>
    </row>
    <row r="10">
      <c r="A10" t="inlineStr">
        <is>
          <t>M09</t>
        </is>
      </c>
      <c r="B10" s="5" t="inlineStr">
        <is>
          <t>M09 · Engage: Communication, Recognition &amp; Surveys</t>
        </is>
      </c>
      <c r="C10" t="inlineStr">
        <is>
          <t>6+</t>
        </is>
      </c>
      <c r="D10" t="n">
        <v>11</v>
      </c>
      <c r="E10">
        <f>COUNTIFS(Rules!$B$2:$B$982,$A10,Rules!$H$2:$H$982,"Built +*")</f>
        <v/>
      </c>
      <c r="F10">
        <f>COUNTIFS(Rules!$B$2:$B$982,$A10,Rules!$H$2:$H$982,"Built,*")</f>
        <v/>
      </c>
      <c r="G10">
        <f>COUNTIFS(Rules!$B$2:$B$982,$A10,Rules!$H$2:$H$982,"Verify*")</f>
        <v/>
      </c>
      <c r="H10">
        <f>COUNTIFS(Rules!$B$2:$B$982,$A10,Rules!$H$2:$H$982,"Not started*")</f>
        <v/>
      </c>
      <c r="I10" s="6">
        <f>IF(D10=0,"",E10/D10)</f>
        <v/>
      </c>
      <c r="J10" s="5" t="inlineStr">
        <is>
          <t>5. Simple announcements already ship with P04 in wave 1.</t>
        </is>
      </c>
      <c r="K10" s="5" t="inlineStr">
        <is>
          <t>✅ Decided (8/8), 25 Sep 2026.</t>
        </is>
      </c>
      <c r="L10" t="inlineStr">
        <is>
          <t>M09-engage.md</t>
        </is>
      </c>
    </row>
    <row r="11">
      <c r="A11" t="inlineStr">
        <is>
          <t>M10</t>
        </is>
      </c>
      <c r="B11" s="5" t="inlineStr">
        <is>
          <t>M10 · ATS: Internal Hiring, Staffing Desk &amp; Client Helpdesk</t>
        </is>
      </c>
      <c r="C11" t="inlineStr">
        <is>
          <t>6+</t>
        </is>
      </c>
      <c r="D11" t="n">
        <v>45</v>
      </c>
      <c r="E11">
        <f>COUNTIFS(Rules!$B$2:$B$982,$A11,Rules!$H$2:$H$982,"Built +*")</f>
        <v/>
      </c>
      <c r="F11">
        <f>COUNTIFS(Rules!$B$2:$B$982,$A11,Rules!$H$2:$H$982,"Built,*")</f>
        <v/>
      </c>
      <c r="G11">
        <f>COUNTIFS(Rules!$B$2:$B$982,$A11,Rules!$H$2:$H$982,"Verify*")</f>
        <v/>
      </c>
      <c r="H11">
        <f>COUNTIFS(Rules!$B$2:$B$982,$A11,Rules!$H$2:$H$982,"Not started*")</f>
        <v/>
      </c>
      <c r="I11" s="6">
        <f>IF(D11=0,"",E11/D11)</f>
        <v/>
      </c>
      <c r="J11" s="5" t="inlineStr">
        <is>
          <t>7, after HRMS wave 5 (spec §4, P2-6). The internal ATS already exists in the exam app. This doc defines the deltas: what we keep, what we change so it becomes part of HRMS, and what is new.</t>
        </is>
      </c>
      <c r="K11" s="5" t="inlineStr">
        <is>
          <t>✅ Decided (8/8), 25 Sep 2026. Extended 26 Sep 2026: talent CRM, job-board connectors and panel auto-slotting (GAP B8); vendor / sub-vendor portal for the staffing desk (GAP C7, reversing the spec's "out of scope"); §11 B8 / C7. Validation pass 3 Must (T10), founder decision 28 Sep 2026: identity cha</t>
        </is>
      </c>
      <c r="L11" t="inlineStr">
        <is>
          <t>M10-ats.md</t>
        </is>
      </c>
    </row>
    <row r="12">
      <c r="A12" t="inlineStr">
        <is>
          <t>M11</t>
        </is>
      </c>
      <c r="B12" s="5" t="inlineStr">
        <is>
          <t>M11 · Benefits Administration &amp; Flexible Benefit Plan</t>
        </is>
      </c>
      <c r="C12" t="inlineStr">
        <is>
          <t>6+</t>
        </is>
      </c>
      <c r="D12" t="n">
        <v>11</v>
      </c>
      <c r="E12">
        <f>COUNTIFS(Rules!$B$2:$B$982,$A12,Rules!$H$2:$H$982,"Built +*")</f>
        <v/>
      </c>
      <c r="F12">
        <f>COUNTIFS(Rules!$B$2:$B$982,$A12,Rules!$H$2:$H$982,"Built,*")</f>
        <v/>
      </c>
      <c r="G12">
        <f>COUNTIFS(Rules!$B$2:$B$982,$A12,Rules!$H$2:$H$982,"Verify*")</f>
        <v/>
      </c>
      <c r="H12">
        <f>COUNTIFS(Rules!$B$2:$B$982,$A12,Rules!$H$2:$H$982,"Not started*")</f>
        <v/>
      </c>
      <c r="I12" s="6">
        <f>IF(D12=0,"",E12/D12)</f>
        <v/>
      </c>
      <c r="J12" s="5" t="inlineStr">
        <is>
          <t>3 (with payroll, for the pilot). Insurer / broker connectors can follow in a later wave.</t>
        </is>
      </c>
      <c r="K12" s="5" t="inlineStr">
        <is>
          <t>✅ Decided (5/5), 26 Sep 2026.</t>
        </is>
      </c>
      <c r="L12" t="inlineStr">
        <is>
          <t>M11-benefits-fbp.md</t>
        </is>
      </c>
    </row>
    <row r="13">
      <c r="A13" t="inlineStr">
        <is>
          <t>M12</t>
        </is>
      </c>
      <c r="B13" s="5" t="inlineStr">
        <is>
          <t>M12 · Projects &amp; Timesheets</t>
        </is>
      </c>
      <c r="C13" t="inlineStr">
        <is>
          <t>6+</t>
        </is>
      </c>
      <c r="D13" t="n">
        <v>17</v>
      </c>
      <c r="E13">
        <f>COUNTIFS(Rules!$B$2:$B$982,$A13,Rules!$H$2:$H$982,"Built +*")</f>
        <v/>
      </c>
      <c r="F13">
        <f>COUNTIFS(Rules!$B$2:$B$982,$A13,Rules!$H$2:$H$982,"Built,*")</f>
        <v/>
      </c>
      <c r="G13">
        <f>COUNTIFS(Rules!$B$2:$B$982,$A13,Rules!$H$2:$H$982,"Verify*")</f>
        <v/>
      </c>
      <c r="H13">
        <f>COUNTIFS(Rules!$B$2:$B$982,$A13,Rules!$H$2:$H$982,"Not started*")</f>
        <v/>
      </c>
      <c r="I13" s="6">
        <f>IF(D13=0,"",E13/D13)</f>
        <v/>
      </c>
      <c r="J13" s="5" t="inlineStr">
        <is>
          <t>5.</t>
        </is>
      </c>
      <c r="K13" s="5" t="inlineStr">
        <is>
          <t>✅ Decided (by principle), 26 Sep 2026. The user decided on 26 Sep 2026 to include GAP-REGISTER B1; the 4 design questions (§10) were settled by principle (D17 / D18) with the recommended options (§11). Validation pass 3 Shoulds added 28 Sep 2026 (§8b).</t>
        </is>
      </c>
      <c r="L13" t="inlineStr">
        <is>
          <t>M12-projects-timesheets.md</t>
        </is>
      </c>
    </row>
    <row r="14">
      <c r="A14" t="inlineStr">
        <is>
          <t>M13</t>
        </is>
      </c>
      <c r="B14" s="5" t="inlineStr">
        <is>
          <t>M13 · Contract Labour (CLRA) — Principal-Employer Compliance</t>
        </is>
      </c>
      <c r="C14" t="inlineStr">
        <is>
          <t>6+</t>
        </is>
      </c>
      <c r="D14" t="n">
        <v>15</v>
      </c>
      <c r="E14">
        <f>COUNTIFS(Rules!$B$2:$B$982,$A14,Rules!$H$2:$H$982,"Built +*")</f>
        <v/>
      </c>
      <c r="F14">
        <f>COUNTIFS(Rules!$B$2:$B$982,$A14,Rules!$H$2:$H$982,"Built,*")</f>
        <v/>
      </c>
      <c r="G14">
        <f>COUNTIFS(Rules!$B$2:$B$982,$A14,Rules!$H$2:$H$982,"Verify*")</f>
        <v/>
      </c>
      <c r="H14">
        <f>COUNTIFS(Rules!$B$2:$B$982,$A14,Rules!$H$2:$H$982,"Not started*")</f>
        <v/>
      </c>
      <c r="I14" s="6">
        <f>IF(D14=0,"",E14/D14)</f>
        <v/>
      </c>
      <c r="J14" s="5" t="inlineStr">
        <is>
          <t>5.</t>
        </is>
      </c>
      <c r="K14" s="5" t="inlineStr">
        <is>
          <t>✅ Decided (by principle), 26 Sep 2026. 4 questions decided by principle (D17 / D18), §11. Correction C1 (validation pass 3), 28 Sep 2026: contract labour is governed by the OSH Code (contract-labour chapter) since 21 Nov 2025; the design maps to it (§1 mapping, YX-CLRA-13); §11 C1. Validation pass 3</t>
        </is>
      </c>
      <c r="L14" t="inlineStr">
        <is>
          <t>M13-contract-labour-clra.md</t>
        </is>
      </c>
    </row>
    <row r="15">
      <c r="A15" t="inlineStr">
        <is>
          <t>M14</t>
        </is>
      </c>
      <c r="B15" s="5" t="inlineStr">
        <is>
          <t>M14 · YukthiX Service Desk (ITSM + ESM)</t>
        </is>
      </c>
      <c r="C15" t="inlineStr">
        <is>
          <t>3b</t>
        </is>
      </c>
      <c r="D15" t="n">
        <v>0</v>
      </c>
      <c r="E15">
        <f>COUNTIFS(Rules!$B$2:$B$982,$A15,Rules!$H$2:$H$982,"Built +*")</f>
        <v/>
      </c>
      <c r="F15">
        <f>COUNTIFS(Rules!$B$2:$B$982,$A15,Rules!$H$2:$H$982,"Built,*")</f>
        <v/>
      </c>
      <c r="G15">
        <f>COUNTIFS(Rules!$B$2:$B$982,$A15,Rules!$H$2:$H$982,"Verify*")</f>
        <v/>
      </c>
      <c r="H15">
        <f>COUNTIFS(Rules!$B$2:$B$982,$A15,Rules!$H$2:$H$982,"Not started*")</f>
        <v/>
      </c>
      <c r="I15" s="6">
        <f>IF(D15=0,"",E15/D15)</f>
        <v/>
      </c>
      <c r="J15" s="5" t="inlineStr"/>
      <c r="K15" s="5" t="inlineStr">
        <is>
          <t>📝 Scope agreed with the founder, 6 Oct 2026. Detailed design (rules, data model, decisions) to be written before the build, in the same format as the other M docs.</t>
        </is>
      </c>
      <c r="L15" t="inlineStr">
        <is>
          <t>M14-itsm-service-desk.md</t>
        </is>
      </c>
    </row>
    <row r="16">
      <c r="A16" t="inlineStr">
        <is>
          <t>P01</t>
        </is>
      </c>
      <c r="B16" s="5" t="inlineStr">
        <is>
          <t>P01 · Tenancy &amp; Organisation Model</t>
        </is>
      </c>
      <c r="C16" t="inlineStr">
        <is>
          <t>0, 2</t>
        </is>
      </c>
      <c r="D16" t="n">
        <v>27</v>
      </c>
      <c r="E16">
        <f>COUNTIFS(Rules!$B$2:$B$982,$A16,Rules!$H$2:$H$982,"Built +*")</f>
        <v/>
      </c>
      <c r="F16">
        <f>COUNTIFS(Rules!$B$2:$B$982,$A16,Rules!$H$2:$H$982,"Built,*")</f>
        <v/>
      </c>
      <c r="G16">
        <f>COUNTIFS(Rules!$B$2:$B$982,$A16,Rules!$H$2:$H$982,"Verify*")</f>
        <v/>
      </c>
      <c r="H16">
        <f>COUNTIFS(Rules!$B$2:$B$982,$A16,Rules!$H$2:$H$982,"Not started*")</f>
        <v/>
      </c>
      <c r="I16" s="6">
        <f>IF(D16=0,"",E16/D16)</f>
        <v/>
      </c>
      <c r="J16" s="5" t="inlineStr"/>
      <c r="K16" s="5" t="inlineStr">
        <is>
          <t xml:space="preserve">✅ Decided, 24 Sep 2026. All 8 questions answered (§11). Validation pass 3 Must (J15), founder decision 28 Sep 2026: one persons record per tenant with role attachments, matching / merge rules, conversions with history, total-workforce view (§4.5a, YX-ORG-26 / 27); §11 J15. Validation pass 3 Shoulds </t>
        </is>
      </c>
      <c r="L16" t="inlineStr">
        <is>
          <t>P01-tenancy-and-organisation.md</t>
        </is>
      </c>
    </row>
    <row r="17">
      <c r="A17" t="inlineStr">
        <is>
          <t>P02</t>
        </is>
      </c>
      <c r="B17" s="5" t="inlineStr">
        <is>
          <t>P02 · Roles, Data Visibility &amp; Privacy</t>
        </is>
      </c>
      <c r="C17" t="inlineStr">
        <is>
          <t>2</t>
        </is>
      </c>
      <c r="D17" t="n">
        <v>38</v>
      </c>
      <c r="E17">
        <f>COUNTIFS(Rules!$B$2:$B$982,$A17,Rules!$H$2:$H$982,"Built +*")</f>
        <v/>
      </c>
      <c r="F17">
        <f>COUNTIFS(Rules!$B$2:$B$982,$A17,Rules!$H$2:$H$982,"Built,*")</f>
        <v/>
      </c>
      <c r="G17">
        <f>COUNTIFS(Rules!$B$2:$B$982,$A17,Rules!$H$2:$H$982,"Verify*")</f>
        <v/>
      </c>
      <c r="H17">
        <f>COUNTIFS(Rules!$B$2:$B$982,$A17,Rules!$H$2:$H$982,"Not started*")</f>
        <v/>
      </c>
      <c r="I17" s="6">
        <f>IF(D17=0,"",E17/D17)</f>
        <v/>
      </c>
      <c r="J17" s="5" t="inlineStr"/>
      <c r="K17" s="5" t="inlineStr">
        <is>
          <t>✅ Decided, 24 Sep 2026. All 8 questions answered (§11). Extended 26 Sep 2026 (gap-register user decision): DPDP / GDPR programme tooling (B12, §6.1), §11 row B12. Corrected 28 Sep 2026 (validation pass 3, C3): DPDP Rules 2025 dated milestones and readiness plan (§6.2), YX-SEC-32 breach clocks, YX-SE</t>
        </is>
      </c>
      <c r="L17" t="inlineStr">
        <is>
          <t>P02-access-visibility-privacy.md</t>
        </is>
      </c>
    </row>
    <row r="18">
      <c r="A18" t="inlineStr">
        <is>
          <t>P03</t>
        </is>
      </c>
      <c r="B18" s="5" t="inlineStr">
        <is>
          <t>P03 · Workflow &amp; Approval Engine</t>
        </is>
      </c>
      <c r="C18" t="inlineStr">
        <is>
          <t>4</t>
        </is>
      </c>
      <c r="D18" t="n">
        <v>19</v>
      </c>
      <c r="E18">
        <f>COUNTIFS(Rules!$B$2:$B$982,$A18,Rules!$H$2:$H$982,"Built +*")</f>
        <v/>
      </c>
      <c r="F18">
        <f>COUNTIFS(Rules!$B$2:$B$982,$A18,Rules!$H$2:$H$982,"Built,*")</f>
        <v/>
      </c>
      <c r="G18">
        <f>COUNTIFS(Rules!$B$2:$B$982,$A18,Rules!$H$2:$H$982,"Verify*")</f>
        <v/>
      </c>
      <c r="H18">
        <f>COUNTIFS(Rules!$B$2:$B$982,$A18,Rules!$H$2:$H$982,"Not started*")</f>
        <v/>
      </c>
      <c r="I18" s="6">
        <f>IF(D18=0,"",E18/D18)</f>
        <v/>
      </c>
      <c r="J18" s="5" t="inlineStr"/>
      <c r="K18" s="5" t="inlineStr">
        <is>
          <t>✅ Decided, 24 Sep 2026. All 8 questions answered (§11).</t>
        </is>
      </c>
      <c r="L18" t="inlineStr">
        <is>
          <t>P03-workflow-approval-engine.md</t>
        </is>
      </c>
    </row>
    <row r="19">
      <c r="A19" t="inlineStr">
        <is>
          <t>P04</t>
        </is>
      </c>
      <c r="B19" s="5" t="inlineStr">
        <is>
          <t>P04 · Notification Engine</t>
        </is>
      </c>
      <c r="C19" t="inlineStr">
        <is>
          <t>1</t>
        </is>
      </c>
      <c r="D19" t="n">
        <v>17</v>
      </c>
      <c r="E19">
        <f>COUNTIFS(Rules!$B$2:$B$982,$A19,Rules!$H$2:$H$982,"Built +*")</f>
        <v/>
      </c>
      <c r="F19">
        <f>COUNTIFS(Rules!$B$2:$B$982,$A19,Rules!$H$2:$H$982,"Built,*")</f>
        <v/>
      </c>
      <c r="G19">
        <f>COUNTIFS(Rules!$B$2:$B$982,$A19,Rules!$H$2:$H$982,"Verify*")</f>
        <v/>
      </c>
      <c r="H19">
        <f>COUNTIFS(Rules!$B$2:$B$982,$A19,Rules!$H$2:$H$982,"Not started*")</f>
        <v/>
      </c>
      <c r="I19" s="6">
        <f>IF(D19=0,"",E19/D19)</f>
        <v/>
      </c>
      <c r="J19" s="5" t="inlineStr"/>
      <c r="K19" s="5" t="inlineStr">
        <is>
          <t>✅ Decided, 24 Sep 2026. All 8 questions answered (§11). Extended 26 Sep 2026 (gap-register user decision): password-protected payslip PDF by email as a company option (B19, §4.5b), Slack &amp; Microsoft Teams apps (B9, §4.9), desk-UI internationalisation (B18 part, §4.10); §11 rows B19 / B9 / B18.</t>
        </is>
      </c>
      <c r="L19" t="inlineStr">
        <is>
          <t>P04-notification-engine.md</t>
        </is>
      </c>
    </row>
    <row r="20">
      <c r="A20" t="inlineStr">
        <is>
          <t>P05</t>
        </is>
      </c>
      <c r="B20" s="5" t="inlineStr">
        <is>
          <t>P05 · Letters, Documents &amp; E-sign</t>
        </is>
      </c>
      <c r="C20" t="inlineStr">
        <is>
          <t>6+</t>
        </is>
      </c>
      <c r="D20" t="n">
        <v>19</v>
      </c>
      <c r="E20">
        <f>COUNTIFS(Rules!$B$2:$B$982,$A20,Rules!$H$2:$H$982,"Built +*")</f>
        <v/>
      </c>
      <c r="F20">
        <f>COUNTIFS(Rules!$B$2:$B$982,$A20,Rules!$H$2:$H$982,"Built,*")</f>
        <v/>
      </c>
      <c r="G20">
        <f>COUNTIFS(Rules!$B$2:$B$982,$A20,Rules!$H$2:$H$982,"Verify*")</f>
        <v/>
      </c>
      <c r="H20">
        <f>COUNTIFS(Rules!$B$2:$B$982,$A20,Rules!$H$2:$H$982,"Not started*")</f>
        <v/>
      </c>
      <c r="I20" s="6">
        <f>IF(D20=0,"",E20/D20)</f>
        <v/>
      </c>
      <c r="J20" s="5" t="inlineStr"/>
      <c r="K20" s="5" t="inlineStr">
        <is>
          <t>✅ Decided, 24 Sep 2026. All 8 questions answered (§11).</t>
        </is>
      </c>
      <c r="L20" t="inlineStr">
        <is>
          <t>P05-letters-documents-esign.md</t>
        </is>
      </c>
    </row>
    <row r="21">
      <c r="A21" t="inlineStr">
        <is>
          <t>P06</t>
        </is>
      </c>
      <c r="B21" s="5" t="inlineStr">
        <is>
          <t>P06 · Effective-Dated History &amp; Scheduled Changes</t>
        </is>
      </c>
      <c r="C21" t="inlineStr">
        <is>
          <t>2</t>
        </is>
      </c>
      <c r="D21" t="n">
        <v>15</v>
      </c>
      <c r="E21">
        <f>COUNTIFS(Rules!$B$2:$B$982,$A21,Rules!$H$2:$H$982,"Built +*")</f>
        <v/>
      </c>
      <c r="F21">
        <f>COUNTIFS(Rules!$B$2:$B$982,$A21,Rules!$H$2:$H$982,"Built,*")</f>
        <v/>
      </c>
      <c r="G21">
        <f>COUNTIFS(Rules!$B$2:$B$982,$A21,Rules!$H$2:$H$982,"Verify*")</f>
        <v/>
      </c>
      <c r="H21">
        <f>COUNTIFS(Rules!$B$2:$B$982,$A21,Rules!$H$2:$H$982,"Not started*")</f>
        <v/>
      </c>
      <c r="I21" s="6">
        <f>IF(D21=0,"",E21/D21)</f>
        <v/>
      </c>
      <c r="J21" s="5" t="inlineStr"/>
      <c r="K21" s="5" t="inlineStr">
        <is>
          <t>✅ Decided, 25 Sep 2026. All 8 questions answered (§11).</t>
        </is>
      </c>
      <c r="L21" t="inlineStr">
        <is>
          <t>P06-effective-dated-history.md</t>
        </is>
      </c>
    </row>
    <row r="22">
      <c r="A22" t="inlineStr">
        <is>
          <t>P07</t>
        </is>
      </c>
      <c r="B22" s="5" t="inlineStr">
        <is>
          <t>P07 · Statutory Rules as Dated Data (Country Packs)</t>
        </is>
      </c>
      <c r="C22" t="inlineStr">
        <is>
          <t>4, 5</t>
        </is>
      </c>
      <c r="D22" t="n">
        <v>32</v>
      </c>
      <c r="E22">
        <f>COUNTIFS(Rules!$B$2:$B$982,$A22,Rules!$H$2:$H$982,"Built +*")</f>
        <v/>
      </c>
      <c r="F22">
        <f>COUNTIFS(Rules!$B$2:$B$982,$A22,Rules!$H$2:$H$982,"Built,*")</f>
        <v/>
      </c>
      <c r="G22">
        <f>COUNTIFS(Rules!$B$2:$B$982,$A22,Rules!$H$2:$H$982,"Verify*")</f>
        <v/>
      </c>
      <c r="H22">
        <f>COUNTIFS(Rules!$B$2:$B$982,$A22,Rules!$H$2:$H$982,"Not started*")</f>
        <v/>
      </c>
      <c r="I22" s="6">
        <f>IF(D22=0,"",E22/D22)</f>
        <v/>
      </c>
      <c r="J22" s="5" t="inlineStr"/>
      <c r="K22" s="5" t="inlineStr">
        <is>
          <t>✅ Decided, 25 Sep 2026. All 8 questions answered (§11). Extended 26 Sep 2026: non-salary TDS (GAP A8) and IN.REGISTERS (GAP A9), §11 A8-Q1 / A9-Q2 / A9-Q3. Extended 26 Sep 2026 (gap-register user decision): labour-law advisory feed and IN.CLRA (B17, §4.3a), ESOP perquisite valuation and country-pack</t>
        </is>
      </c>
      <c r="L22" t="inlineStr">
        <is>
          <t>P07-statutory-rules-as-data.md</t>
        </is>
      </c>
    </row>
    <row r="23">
      <c r="A23" t="inlineStr">
        <is>
          <t>P08</t>
        </is>
      </c>
      <c r="B23" s="5" t="inlineStr">
        <is>
          <t>P08 · Period Locks &amp; Audit</t>
        </is>
      </c>
      <c r="C23" t="inlineStr">
        <is>
          <t>5</t>
        </is>
      </c>
      <c r="D23" t="n">
        <v>18</v>
      </c>
      <c r="E23">
        <f>COUNTIFS(Rules!$B$2:$B$982,$A23,Rules!$H$2:$H$982,"Built +*")</f>
        <v/>
      </c>
      <c r="F23">
        <f>COUNTIFS(Rules!$B$2:$B$982,$A23,Rules!$H$2:$H$982,"Built,*")</f>
        <v/>
      </c>
      <c r="G23">
        <f>COUNTIFS(Rules!$B$2:$B$982,$A23,Rules!$H$2:$H$982,"Verify*")</f>
        <v/>
      </c>
      <c r="H23">
        <f>COUNTIFS(Rules!$B$2:$B$982,$A23,Rules!$H$2:$H$982,"Not started*")</f>
        <v/>
      </c>
      <c r="I23" s="6">
        <f>IF(D23=0,"",E23/D23)</f>
        <v/>
      </c>
      <c r="J23" s="5" t="inlineStr"/>
      <c r="K23" s="5" t="inlineStr">
        <is>
          <t>✅ Decided, 25 Sep 2026. All 8 questions answered (§11).</t>
        </is>
      </c>
      <c r="L23" t="inlineStr">
        <is>
          <t>P08-period-locks-and-audit.md</t>
        </is>
      </c>
    </row>
    <row r="24">
      <c r="A24" t="inlineStr">
        <is>
          <t>P09</t>
        </is>
      </c>
      <c r="B24" s="5" t="inlineStr">
        <is>
          <t>P09 · Metric Layer &amp; Analytics Platform</t>
        </is>
      </c>
      <c r="C24" t="inlineStr">
        <is>
          <t>6+</t>
        </is>
      </c>
      <c r="D24" t="n">
        <v>24</v>
      </c>
      <c r="E24">
        <f>COUNTIFS(Rules!$B$2:$B$982,$A24,Rules!$H$2:$H$982,"Built +*")</f>
        <v/>
      </c>
      <c r="F24">
        <f>COUNTIFS(Rules!$B$2:$B$982,$A24,Rules!$H$2:$H$982,"Built,*")</f>
        <v/>
      </c>
      <c r="G24">
        <f>COUNTIFS(Rules!$B$2:$B$982,$A24,Rules!$H$2:$H$982,"Verify*")</f>
        <v/>
      </c>
      <c r="H24">
        <f>COUNTIFS(Rules!$B$2:$B$982,$A24,Rules!$H$2:$H$982,"Not started*")</f>
        <v/>
      </c>
      <c r="I24" s="6">
        <f>IF(D24=0,"",E24/D24)</f>
        <v/>
      </c>
      <c r="J24" s="5" t="inlineStr"/>
      <c r="K24" s="5" t="inlineStr">
        <is>
          <t>✅ Decided, 25 Sep 2026. All 8 questions answered (§11). Extended 26 Sep 2026 (gap register, user decision): DEI dashboard template and pay-gap metric (GAP C3), tenant-health metrics feed for customer success (C8), workforce-planning / attrition-risk metric references (B16) and AI-quality metrics (B1</t>
        </is>
      </c>
      <c r="L24" t="inlineStr">
        <is>
          <t>P09-metric-layer-analytics.md</t>
        </is>
      </c>
    </row>
    <row r="25">
      <c r="A25" t="inlineStr">
        <is>
          <t>P10</t>
        </is>
      </c>
      <c r="B25" s="5" t="inlineStr">
        <is>
          <t>P10 · AI Layer &amp; Integration Hub (HR additions)</t>
        </is>
      </c>
      <c r="C25" t="inlineStr">
        <is>
          <t>6+</t>
        </is>
      </c>
      <c r="D25" t="n">
        <v>27</v>
      </c>
      <c r="E25">
        <f>COUNTIFS(Rules!$B$2:$B$982,$A25,Rules!$H$2:$H$982,"Built +*")</f>
        <v/>
      </c>
      <c r="F25">
        <f>COUNTIFS(Rules!$B$2:$B$982,$A25,Rules!$H$2:$H$982,"Built,*")</f>
        <v/>
      </c>
      <c r="G25">
        <f>COUNTIFS(Rules!$B$2:$B$982,$A25,Rules!$H$2:$H$982,"Verify*")</f>
        <v/>
      </c>
      <c r="H25">
        <f>COUNTIFS(Rules!$B$2:$B$982,$A25,Rules!$H$2:$H$982,"Not started*")</f>
        <v/>
      </c>
      <c r="I25" s="6">
        <f>IF(D25=0,"",E25/D25)</f>
        <v/>
      </c>
      <c r="J25" s="5" t="inlineStr"/>
      <c r="K25" s="5" t="inlineStr">
        <is>
          <t>✅ Decided, 25 Sep 2026. All 8 questions answered (§11). Extended 26 Sep 2026 (gap-register user decision): AI governance (B13, §A4), Slack / Teams apps (B9), external-ATS connectors (B6), earned wage access (B10), QuickBooks / Busy / Marg, mailbox sync, Aadhaar eKYC / DigiLocker (C6); §11 rows B13 /</t>
        </is>
      </c>
      <c r="L25" t="inlineStr">
        <is>
          <t>P10-ai-layer-integration-hub.md</t>
        </is>
      </c>
    </row>
    <row r="26">
      <c r="A26" t="inlineStr">
        <is>
          <t>P11</t>
        </is>
      </c>
      <c r="B26" s="5" t="inlineStr">
        <is>
          <t>P11 · API-First (Headless) Architecture</t>
        </is>
      </c>
      <c r="C26" t="inlineStr">
        <is>
          <t>6+</t>
        </is>
      </c>
      <c r="D26" t="n">
        <v>16</v>
      </c>
      <c r="E26">
        <f>COUNTIFS(Rules!$B$2:$B$982,$A26,Rules!$H$2:$H$982,"Built +*")</f>
        <v/>
      </c>
      <c r="F26">
        <f>COUNTIFS(Rules!$B$2:$B$982,$A26,Rules!$H$2:$H$982,"Built,*")</f>
        <v/>
      </c>
      <c r="G26">
        <f>COUNTIFS(Rules!$B$2:$B$982,$A26,Rules!$H$2:$H$982,"Verify*")</f>
        <v/>
      </c>
      <c r="H26">
        <f>COUNTIFS(Rules!$B$2:$B$982,$A26,Rules!$H$2:$H$982,"Not started*")</f>
        <v/>
      </c>
      <c r="I26" s="6">
        <f>IF(D26=0,"",E26/D26)</f>
        <v/>
      </c>
      <c r="J26" s="5" t="inlineStr">
        <is>
          <t>the conventions start in wave 1. Every module after that ships with its API. The public developer portal opens with the pilot in wave 3.</t>
        </is>
      </c>
      <c r="K26" s="5" t="inlineStr">
        <is>
          <t>✅ Decided (8/8), 25 Sep 2026 — TR1 (Salesforce-style extensibility) open for team review. Extended 26 Sep 2026 (gap-register user decision): custom-object APIs cross-reference to P18 (B20), YX-API-16, §11 row B20.</t>
        </is>
      </c>
      <c r="L26" t="inlineStr">
        <is>
          <t>P11-api-first-headless.md</t>
        </is>
      </c>
    </row>
    <row r="27">
      <c r="A27" t="inlineStr">
        <is>
          <t>P12</t>
        </is>
      </c>
      <c r="B27" s="5" t="inlineStr">
        <is>
          <t>P12 · Identity, Authentication &amp; Security Programme</t>
        </is>
      </c>
      <c r="C27" t="inlineStr">
        <is>
          <t>1</t>
        </is>
      </c>
      <c r="D27" t="n">
        <v>23</v>
      </c>
      <c r="E27">
        <f>COUNTIFS(Rules!$B$2:$B$982,$A27,Rules!$H$2:$H$982,"Built +*")</f>
        <v/>
      </c>
      <c r="F27">
        <f>COUNTIFS(Rules!$B$2:$B$982,$A27,Rules!$H$2:$H$982,"Built,*")</f>
        <v/>
      </c>
      <c r="G27">
        <f>COUNTIFS(Rules!$B$2:$B$982,$A27,Rules!$H$2:$H$982,"Verify*")</f>
        <v/>
      </c>
      <c r="H27">
        <f>COUNTIFS(Rules!$B$2:$B$982,$A27,Rules!$H$2:$H$982,"Not started*")</f>
        <v/>
      </c>
      <c r="I27" s="6">
        <f>IF(D27=0,"",E27/D27)</f>
        <v/>
      </c>
      <c r="J27" s="5" t="inlineStr">
        <is>
          <t>identity core in wave 1. Security programme milestones are tied to the pilot (wave 3) and public launch.</t>
        </is>
      </c>
      <c r="K27" s="5" t="inlineStr">
        <is>
          <t>✅ Decided (8/8), 26 Sep 2026. Corrected 28 Sep 2026 (validation pass 3, C3): log retention at least 1 year (DPDP Rules 2025) and DPDP breach clocks; Q6 amended, YX-SECOPS-07 updated. Validation pass 3 Shoulds added 28 Sep 2026 (§8b).</t>
        </is>
      </c>
      <c r="L27" t="inlineStr">
        <is>
          <t>P12-identity-security.md</t>
        </is>
      </c>
    </row>
    <row r="28">
      <c r="A28" t="inlineStr">
        <is>
          <t>P13</t>
        </is>
      </c>
      <c r="B28" s="5" t="inlineStr">
        <is>
          <t>P13 · Infrastructure &amp; Operations — brief for the engineering team</t>
        </is>
      </c>
      <c r="C28" t="inlineStr">
        <is>
          <t>6+</t>
        </is>
      </c>
      <c r="D28" t="n">
        <v>0</v>
      </c>
      <c r="E28">
        <f>COUNTIFS(Rules!$B$2:$B$982,$A28,Rules!$H$2:$H$982,"Built +*")</f>
        <v/>
      </c>
      <c r="F28">
        <f>COUNTIFS(Rules!$B$2:$B$982,$A28,Rules!$H$2:$H$982,"Built,*")</f>
        <v/>
      </c>
      <c r="G28">
        <f>COUNTIFS(Rules!$B$2:$B$982,$A28,Rules!$H$2:$H$982,"Verify*")</f>
        <v/>
      </c>
      <c r="H28">
        <f>COUNTIFS(Rules!$B$2:$B$982,$A28,Rules!$H$2:$H$982,"Not started*")</f>
        <v/>
      </c>
      <c r="I28" s="6">
        <f>IF(D28=0,"",E28/D28)</f>
        <v/>
      </c>
      <c r="J28" s="5" t="inlineStr"/>
      <c r="K28" s="5" t="inlineStr">
        <is>
          <t>⏸ Parked for the engineering team (26 Sep 2026). The founder asked for this doc to be decided by the team, not in the product design sessions.</t>
        </is>
      </c>
      <c r="L28" t="inlineStr">
        <is>
          <t>P13-infrastructure-operations-TEAM-BRIEF.md</t>
        </is>
      </c>
    </row>
    <row r="29">
      <c r="A29" t="inlineStr">
        <is>
          <t>P14</t>
        </is>
      </c>
      <c r="B29" s="5" t="inlineStr">
        <is>
          <t>P14 · Billing, Tenant Lifecycle &amp; Platform Console</t>
        </is>
      </c>
      <c r="C29" t="inlineStr">
        <is>
          <t>3</t>
        </is>
      </c>
      <c r="D29" t="n">
        <v>38</v>
      </c>
      <c r="E29">
        <f>COUNTIFS(Rules!$B$2:$B$982,$A29,Rules!$H$2:$H$982,"Built +*")</f>
        <v/>
      </c>
      <c r="F29">
        <f>COUNTIFS(Rules!$B$2:$B$982,$A29,Rules!$H$2:$H$982,"Built,*")</f>
        <v/>
      </c>
      <c r="G29">
        <f>COUNTIFS(Rules!$B$2:$B$982,$A29,Rules!$H$2:$H$982,"Verify*")</f>
        <v/>
      </c>
      <c r="H29">
        <f>COUNTIFS(Rules!$B$2:$B$982,$A29,Rules!$H$2:$H$982,"Not started*")</f>
        <v/>
      </c>
      <c r="I29" s="6">
        <f>IF(D29=0,"",E29/D29)</f>
        <v/>
      </c>
      <c r="J29" s="5" t="inlineStr">
        <is>
          <t>billing core and tenant lifecycle before the wave-3 paid pilot. Self-serve sign-up and trial before public launch.</t>
        </is>
      </c>
      <c r="K29" s="5" t="inlineStr">
        <is>
          <t>✅ Decided (8/8), 26 Sep 2026. Extended 26 Sep 2026 (gap register, user decision): customer-success tooling (GAP C8: health score, in-app messages to tenant admins, churn-risk alerts; §3, YX-CONSOLE-05/06, flow 6) and new partner add-ons in the catalogue (earned wage access B10, compensation benchmar</t>
        </is>
      </c>
      <c r="L29" t="inlineStr">
        <is>
          <t>P14-billing-tenant-lifecycle.md</t>
        </is>
      </c>
    </row>
    <row r="30">
      <c r="A30" t="inlineStr">
        <is>
          <t>P15</t>
        </is>
      </c>
      <c r="B30" s="5" t="inlineStr">
        <is>
          <t>P15 · Migration, Implementation &amp; Sandbox</t>
        </is>
      </c>
      <c r="C30" t="inlineStr">
        <is>
          <t>6+</t>
        </is>
      </c>
      <c r="D30" t="n">
        <v>15</v>
      </c>
      <c r="E30">
        <f>COUNTIFS(Rules!$B$2:$B$982,$A30,Rules!$H$2:$H$982,"Built +*")</f>
        <v/>
      </c>
      <c r="F30">
        <f>COUNTIFS(Rules!$B$2:$B$982,$A30,Rules!$H$2:$H$982,"Built,*")</f>
        <v/>
      </c>
      <c r="G30">
        <f>COUNTIFS(Rules!$B$2:$B$982,$A30,Rules!$H$2:$H$982,"Verify*")</f>
        <v/>
      </c>
      <c r="H30">
        <f>COUNTIFS(Rules!$B$2:$B$982,$A30,Rules!$H$2:$H$982,"Not started*")</f>
        <v/>
      </c>
      <c r="I30" s="6">
        <f>IF(D30=0,"",E30/D30)</f>
        <v/>
      </c>
      <c r="J30" s="5" t="inlineStr"/>
      <c r="K30" s="5" t="inlineStr">
        <is>
          <t xml:space="preserve">✅ Decided (6/6), 26 Sep 2026. Market analysis addition (G11, 26 Sep 2026): mappers for Freshteam, OrangeHRM, Horilla and a generic ATS CSV, plus a "Freshteam switch kit" page (YX-MIG-14; §11 G11). Validation pass 3 Must J3, 28 Sep 2026: month-wise as-paid pay lines per component for the current tax </t>
        </is>
      </c>
      <c r="L30" t="inlineStr">
        <is>
          <t>P15-migration-implementation-sandbox.md</t>
        </is>
      </c>
    </row>
    <row r="31">
      <c r="A31" t="inlineStr">
        <is>
          <t>P16</t>
        </is>
      </c>
      <c r="B31" s="5" t="inlineStr">
        <is>
          <t>P16 · Partner &amp; Accountant Console</t>
        </is>
      </c>
      <c r="C31" t="inlineStr">
        <is>
          <t>6+</t>
        </is>
      </c>
      <c r="D31" t="n">
        <v>14</v>
      </c>
      <c r="E31">
        <f>COUNTIFS(Rules!$B$2:$B$982,$A31,Rules!$H$2:$H$982,"Built +*")</f>
        <v/>
      </c>
      <c r="F31">
        <f>COUNTIFS(Rules!$B$2:$B$982,$A31,Rules!$H$2:$H$982,"Built,*")</f>
        <v/>
      </c>
      <c r="G31">
        <f>COUNTIFS(Rules!$B$2:$B$982,$A31,Rules!$H$2:$H$982,"Verify*")</f>
        <v/>
      </c>
      <c r="H31">
        <f>COUNTIFS(Rules!$B$2:$B$982,$A31,Rules!$H$2:$H$982,"Not started*")</f>
        <v/>
      </c>
      <c r="I31" s="6">
        <f>IF(D31=0,"",E31/D31)</f>
        <v/>
      </c>
      <c r="J31" s="5" t="inlineStr"/>
      <c r="K31" s="5" t="inlineStr">
        <is>
          <t>✅ Decided (6/6), 26 Sep 2026. Q5 and Q6 are decided by principle (D15 / D17).</t>
        </is>
      </c>
      <c r="L31" t="inlineStr">
        <is>
          <t>P16-partner-accountant-console.md</t>
        </is>
      </c>
    </row>
    <row r="32">
      <c r="A32" t="inlineStr">
        <is>
          <t>P17</t>
        </is>
      </c>
      <c r="B32" s="5" t="inlineStr">
        <is>
          <t>P17 · Global Search &amp; Command Palette</t>
        </is>
      </c>
      <c r="C32" t="inlineStr">
        <is>
          <t>6+</t>
        </is>
      </c>
      <c r="D32" t="n">
        <v>12</v>
      </c>
      <c r="E32">
        <f>COUNTIFS(Rules!$B$2:$B$982,$A32,Rules!$H$2:$H$982,"Built +*")</f>
        <v/>
      </c>
      <c r="F32">
        <f>COUNTIFS(Rules!$B$2:$B$982,$A32,Rules!$H$2:$H$982,"Built,*")</f>
        <v/>
      </c>
      <c r="G32">
        <f>COUNTIFS(Rules!$B$2:$B$982,$A32,Rules!$H$2:$H$982,"Verify*")</f>
        <v/>
      </c>
      <c r="H32">
        <f>COUNTIFS(Rules!$B$2:$B$982,$A32,Rules!$H$2:$H$982,"Not started*")</f>
        <v/>
      </c>
      <c r="I32" s="6">
        <f>IF(D32=0,"",E32/D32)</f>
        <v/>
      </c>
      <c r="J32" s="5" t="inlineStr">
        <is>
          <t>wave 2 (records and actions for the modules live by then); every later module registers its sources in its own wave.</t>
        </is>
      </c>
      <c r="K32" s="5" t="inlineStr">
        <is>
          <t>✅ Decided (by principle), 26 Sep 2026. The 3 questions (§10) were decided by spec principles D17 / D18 and the user decision of 26 Sep 2026 (all B items included, recommended options adopted); see §11.</t>
        </is>
      </c>
      <c r="L32" t="inlineStr">
        <is>
          <t>P17-global-search.md</t>
        </is>
      </c>
    </row>
    <row r="33">
      <c r="A33" t="inlineStr">
        <is>
          <t>P18</t>
        </is>
      </c>
      <c r="B33" s="5" t="inlineStr">
        <is>
          <t>P18 · Custom Objects, Form &amp; Page-Layout Builder</t>
        </is>
      </c>
      <c r="C33" t="inlineStr">
        <is>
          <t>6+</t>
        </is>
      </c>
      <c r="D33" t="n">
        <v>11</v>
      </c>
      <c r="E33">
        <f>COUNTIFS(Rules!$B$2:$B$982,$A33,Rules!$H$2:$H$982,"Built +*")</f>
        <v/>
      </c>
      <c r="F33">
        <f>COUNTIFS(Rules!$B$2:$B$982,$A33,Rules!$H$2:$H$982,"Built,*")</f>
        <v/>
      </c>
      <c r="G33">
        <f>COUNTIFS(Rules!$B$2:$B$982,$A33,Rules!$H$2:$H$982,"Verify*")</f>
        <v/>
      </c>
      <c r="H33">
        <f>COUNTIFS(Rules!$B$2:$B$982,$A33,Rules!$H$2:$H$982,"Not started*")</f>
        <v/>
      </c>
      <c r="I33" s="6">
        <f>IF(D33=0,"",E33/D33)</f>
        <v/>
      </c>
      <c r="J33" s="5" t="inlineStr">
        <is>
          <t>wave 6. Custom *fields* on core entities (P01) remain wave 1; P18 adds objects, layouts and builders on top.</t>
        </is>
      </c>
      <c r="K33" s="5" t="inlineStr">
        <is>
          <t>✅ Decided (by principle), 26 Sep 2026. The 4 questions (§10) were decided by spec principles D17 / D18 and the user decision of 26 Sep 2026 (B20 designed now, built in wave 6; recommended options adopted); see §11.</t>
        </is>
      </c>
      <c r="L33" t="inlineStr">
        <is>
          <t>P18-custom-objects-form-builder.md</t>
        </is>
      </c>
    </row>
    <row r="34">
      <c r="A34" t="inlineStr">
        <is>
          <t>P19</t>
        </is>
      </c>
      <c r="B34" s="5" t="inlineStr">
        <is>
          <t>P19 · Policy Rule Builder</t>
        </is>
      </c>
      <c r="C34" t="inlineStr">
        <is>
          <t>6+</t>
        </is>
      </c>
      <c r="D34" t="n">
        <v>14</v>
      </c>
      <c r="E34">
        <f>COUNTIFS(Rules!$B$2:$B$982,$A34,Rules!$H$2:$H$982,"Built +*")</f>
        <v/>
      </c>
      <c r="F34">
        <f>COUNTIFS(Rules!$B$2:$B$982,$A34,Rules!$H$2:$H$982,"Built,*")</f>
        <v/>
      </c>
      <c r="G34">
        <f>COUNTIFS(Rules!$B$2:$B$982,$A34,Rules!$H$2:$H$982,"Verify*")</f>
        <v/>
      </c>
      <c r="H34">
        <f>COUNTIFS(Rules!$B$2:$B$982,$A34,Rules!$H$2:$H$982,"Not started*")</f>
        <v/>
      </c>
      <c r="I34" s="6">
        <f>IF(D34=0,"",E34/D34)</f>
        <v/>
      </c>
      <c r="J34" s="5" t="inlineStr"/>
      <c r="K34" s="5" t="inlineStr">
        <is>
          <t>✅ Decided (6/6), 26 Sep 2026. Q4–Q6 are decided by principle (D17 / D18 / P06).</t>
        </is>
      </c>
      <c r="L34" t="inlineStr">
        <is>
          <t>P19-policy-rule-builder.md</t>
        </is>
      </c>
    </row>
    <row r="35">
      <c r="A35" t="inlineStr">
        <is>
          <t>P20</t>
        </is>
      </c>
      <c r="B35" s="5" t="inlineStr">
        <is>
          <t>P20 · Growth, Trial &amp; Customer Operations</t>
        </is>
      </c>
      <c r="C35" t="inlineStr">
        <is>
          <t>3</t>
        </is>
      </c>
      <c r="D35" t="n">
        <v>17</v>
      </c>
      <c r="E35">
        <f>COUNTIFS(Rules!$B$2:$B$982,$A35,Rules!$H$2:$H$982,"Built +*")</f>
        <v/>
      </c>
      <c r="F35">
        <f>COUNTIFS(Rules!$B$2:$B$982,$A35,Rules!$H$2:$H$982,"Built,*")</f>
        <v/>
      </c>
      <c r="G35">
        <f>COUNTIFS(Rules!$B$2:$B$982,$A35,Rules!$H$2:$H$982,"Verify*")</f>
        <v/>
      </c>
      <c r="H35">
        <f>COUNTIFS(Rules!$B$2:$B$982,$A35,Rules!$H$2:$H$982,"Not started*")</f>
        <v/>
      </c>
      <c r="I35" s="6">
        <f>IF(D35=0,"",E35/D35)</f>
        <v/>
      </c>
      <c r="J35" s="5" t="inlineStr"/>
      <c r="K35" s="5" t="inlineStr">
        <is>
          <t>✅ Decided (5/5), 28 Sep 2026 (founder decisions on validation pass 3 Musts S1, S2, S3, S10, S11). Validation pass 3 Shoulds added 28 Sep 2026 (§8b).</t>
        </is>
      </c>
      <c r="L35" t="inlineStr">
        <is>
          <t>P20-growth-trial-customer-operations.md</t>
        </is>
      </c>
    </row>
    <row r="36">
      <c r="A36" t="inlineStr">
        <is>
          <t>P21</t>
        </is>
      </c>
      <c r="B36" s="5" t="inlineStr">
        <is>
          <t>P21 · Global Readiness</t>
        </is>
      </c>
      <c r="C36" t="inlineStr">
        <is>
          <t>6+</t>
        </is>
      </c>
      <c r="D36" t="n">
        <v>16</v>
      </c>
      <c r="E36">
        <f>COUNTIFS(Rules!$B$2:$B$982,$A36,Rules!$H$2:$H$982,"Built +*")</f>
        <v/>
      </c>
      <c r="F36">
        <f>COUNTIFS(Rules!$B$2:$B$982,$A36,Rules!$H$2:$H$982,"Built,*")</f>
        <v/>
      </c>
      <c r="G36">
        <f>COUNTIFS(Rules!$B$2:$B$982,$A36,Rules!$H$2:$H$982,"Verify*")</f>
        <v/>
      </c>
      <c r="H36">
        <f>COUNTIFS(Rules!$B$2:$B$982,$A36,Rules!$H$2:$H$982,"Not started*")</f>
        <v/>
      </c>
      <c r="I36" s="6">
        <f>IF(D36=0,"",E36/D36)</f>
        <v/>
      </c>
      <c r="J36" s="5" t="inlineStr"/>
      <c r="K36" s="5" t="inlineStr">
        <is>
          <t>✅ Decided by founder 28 Sep 2026: design now, build before the first customer in each region (validation pass 3 Shoulds, "Global prerequisites", option A).</t>
        </is>
      </c>
      <c r="L36" t="inlineStr">
        <is>
          <t>P21-global-readiness.md</t>
        </is>
      </c>
    </row>
    <row r="37">
      <c r="A37" t="inlineStr">
        <is>
          <t>P22</t>
        </is>
      </c>
      <c r="B37" s="5" t="inlineStr">
        <is>
          <t>P22 · Workflow Studio &amp; AI Assistant</t>
        </is>
      </c>
      <c r="C37" t="inlineStr">
        <is>
          <t>6+</t>
        </is>
      </c>
      <c r="D37" t="n">
        <v>20</v>
      </c>
      <c r="E37">
        <f>COUNTIFS(Rules!$B$2:$B$982,$A37,Rules!$H$2:$H$982,"Built +*")</f>
        <v/>
      </c>
      <c r="F37">
        <f>COUNTIFS(Rules!$B$2:$B$982,$A37,Rules!$H$2:$H$982,"Built,*")</f>
        <v/>
      </c>
      <c r="G37">
        <f>COUNTIFS(Rules!$B$2:$B$982,$A37,Rules!$H$2:$H$982,"Verify*")</f>
        <v/>
      </c>
      <c r="H37">
        <f>COUNTIFS(Rules!$B$2:$B$982,$A37,Rules!$H$2:$H$982,"Not started*")</f>
        <v/>
      </c>
      <c r="I37" s="6">
        <f>IF(D37=0,"",E37/D37)</f>
        <v/>
      </c>
      <c r="J37" s="5" t="inlineStr"/>
      <c r="K37" s="5" t="inlineStr">
        <is>
          <t>✅ Decided (founder decisions 1–3), 28 Sep 2026.</t>
        </is>
      </c>
      <c r="L37" t="inlineStr">
        <is>
          <t>P22-workflow-studio-ai-assistant.md</t>
        </is>
      </c>
    </row>
    <row r="38">
      <c r="A38" t="inlineStr">
        <is>
          <t>P23</t>
        </is>
      </c>
      <c r="B38" s="5" t="inlineStr">
        <is>
          <t>P23 · Employee &amp; Manager Assistants and Marketplaces</t>
        </is>
      </c>
      <c r="C38" t="inlineStr">
        <is>
          <t>6+</t>
        </is>
      </c>
      <c r="D38" t="n">
        <v>19</v>
      </c>
      <c r="E38">
        <f>COUNTIFS(Rules!$B$2:$B$982,$A38,Rules!$H$2:$H$982,"Built +*")</f>
        <v/>
      </c>
      <c r="F38">
        <f>COUNTIFS(Rules!$B$2:$B$982,$A38,Rules!$H$2:$H$982,"Built,*")</f>
        <v/>
      </c>
      <c r="G38">
        <f>COUNTIFS(Rules!$B$2:$B$982,$A38,Rules!$H$2:$H$982,"Verify*")</f>
        <v/>
      </c>
      <c r="H38">
        <f>COUNTIFS(Rules!$B$2:$B$982,$A38,Rules!$H$2:$H$982,"Not started*")</f>
        <v/>
      </c>
      <c r="I38" s="6">
        <f>IF(D38=0,"",E38/D38)</f>
        <v/>
      </c>
      <c r="J38" s="5" t="inlineStr"/>
      <c r="K38" s="5" t="inlineStr">
        <is>
          <t>✅ Decided (founder selected these 9 features), 28 Sep 2026.</t>
        </is>
      </c>
      <c r="L38" t="inlineStr">
        <is>
          <t>P23-employee-manager-assistants-marketplaces.md</t>
        </is>
      </c>
    </row>
    <row r="39">
      <c r="A39" t="inlineStr">
        <is>
          <t>T01</t>
        </is>
      </c>
      <c r="B39" s="5" t="inlineStr">
        <is>
          <t>T01 · Question Bank &amp; Content</t>
        </is>
      </c>
      <c r="C39" t="inlineStr">
        <is>
          <t>6+</t>
        </is>
      </c>
      <c r="D39" t="n">
        <v>17</v>
      </c>
      <c r="E39">
        <f>COUNTIFS(Rules!$B$2:$B$982,$A39,Rules!$H$2:$H$982,"Built +*")</f>
        <v/>
      </c>
      <c r="F39">
        <f>COUNTIFS(Rules!$B$2:$B$982,$A39,Rules!$H$2:$H$982,"Built,*")</f>
        <v/>
      </c>
      <c r="G39">
        <f>COUNTIFS(Rules!$B$2:$B$982,$A39,Rules!$H$2:$H$982,"Verify*")</f>
        <v/>
      </c>
      <c r="H39">
        <f>COUNTIFS(Rules!$B$2:$B$982,$A39,Rules!$H$2:$H$982,"Not started*")</f>
        <v/>
      </c>
      <c r="I39" s="6">
        <f>IF(D39=0,"",E39/D39)</f>
        <v/>
      </c>
      <c r="J39" s="5" t="inlineStr"/>
      <c r="K39" s="5" t="inlineStr">
        <is>
          <t>✅ Decided (8/8), 25 Sep 2026. Extended 26 Sep 2026 with GAP-REGISTER B4 (job-role profiles for starter tests / JD assembly) and B14 (language proficiency and typing item types) — see §3 "Gap-register extensions" and §11.</t>
        </is>
      </c>
      <c r="L39" t="inlineStr">
        <is>
          <t>T01-question-bank.md</t>
        </is>
      </c>
    </row>
    <row r="40">
      <c r="A40" t="inlineStr">
        <is>
          <t>T02</t>
        </is>
      </c>
      <c r="B40" s="5" t="inlineStr">
        <is>
          <t>T02 · Test Builder, Adaptive Testing &amp; Psychometrics</t>
        </is>
      </c>
      <c r="C40" t="inlineStr">
        <is>
          <t>6+</t>
        </is>
      </c>
      <c r="D40" t="n">
        <v>19</v>
      </c>
      <c r="E40">
        <f>COUNTIFS(Rules!$B$2:$B$982,$A40,Rules!$H$2:$H$982,"Built +*")</f>
        <v/>
      </c>
      <c r="F40">
        <f>COUNTIFS(Rules!$B$2:$B$982,$A40,Rules!$H$2:$H$982,"Built,*")</f>
        <v/>
      </c>
      <c r="G40">
        <f>COUNTIFS(Rules!$B$2:$B$982,$A40,Rules!$H$2:$H$982,"Verify*")</f>
        <v/>
      </c>
      <c r="H40">
        <f>COUNTIFS(Rules!$B$2:$B$982,$A40,Rules!$H$2:$H$982,"Not started*")</f>
        <v/>
      </c>
      <c r="I40" s="6">
        <f>IF(D40=0,"",E40/D40)</f>
        <v/>
      </c>
      <c r="J40" s="5" t="inlineStr"/>
      <c r="K40" s="5" t="inlineStr">
        <is>
          <t xml:space="preserve">✅ Decided (8/8), 25 Sep 2026. Extended 26 Sep 2026 with GAP-REGISTER B4 (starter tests, JD-based assembly, sectional cut-offs) and B15 (equating across parallel forms, cut-score studies) — see §3 "Gap-register extensions" and §11. Personality / behavioural psychometrics are T06; fairness / validity </t>
        </is>
      </c>
      <c r="L40" t="inlineStr">
        <is>
          <t>T02-test-builder-adaptive.md</t>
        </is>
      </c>
    </row>
    <row r="41">
      <c r="A41" t="inlineStr">
        <is>
          <t>T03</t>
        </is>
      </c>
      <c r="B41" s="5" t="inlineStr">
        <is>
          <t>T03 · Test Delivery: Scheduling, Drives, Continuity &amp; Accessibility</t>
        </is>
      </c>
      <c r="C41" t="inlineStr">
        <is>
          <t>6+</t>
        </is>
      </c>
      <c r="D41" t="n">
        <v>23</v>
      </c>
      <c r="E41">
        <f>COUNTIFS(Rules!$B$2:$B$982,$A41,Rules!$H$2:$H$982,"Built +*")</f>
        <v/>
      </c>
      <c r="F41">
        <f>COUNTIFS(Rules!$B$2:$B$982,$A41,Rules!$H$2:$H$982,"Built,*")</f>
        <v/>
      </c>
      <c r="G41">
        <f>COUNTIFS(Rules!$B$2:$B$982,$A41,Rules!$H$2:$H$982,"Verify*")</f>
        <v/>
      </c>
      <c r="H41">
        <f>COUNTIFS(Rules!$B$2:$B$982,$A41,Rules!$H$2:$H$982,"Not started*")</f>
        <v/>
      </c>
      <c r="I41" s="6">
        <f>IF(D41=0,"",E41/D41)</f>
        <v/>
      </c>
      <c r="J41" s="5" t="inlineStr"/>
      <c r="K41" s="5" t="inlineStr">
        <is>
          <t>✅ Decided (8/8), 25 Sep 2026. Extended 26 Sep 2026 with GAP-REGISTER B7 (campus drive kit, native candidate app) and C5 (test-centre / offline hybrid mode, invigilator app, post-test candidate survey) — see §3 "Gap-register extensions" and §11. These amend Q3 (offline centre mode now in scope) and Q</t>
        </is>
      </c>
      <c r="L41" t="inlineStr">
        <is>
          <t>T03-delivery.md</t>
        </is>
      </c>
    </row>
    <row r="42">
      <c r="A42" t="inlineStr">
        <is>
          <t>T04</t>
        </is>
      </c>
      <c r="B42" s="5" t="inlineStr">
        <is>
          <t>T04 · Proctoring Controls, AI-Assistance Detection &amp; Monitoring</t>
        </is>
      </c>
      <c r="C42" t="inlineStr">
        <is>
          <t>6+</t>
        </is>
      </c>
      <c r="D42" t="n">
        <v>20</v>
      </c>
      <c r="E42">
        <f>COUNTIFS(Rules!$B$2:$B$982,$A42,Rules!$H$2:$H$982,"Built +*")</f>
        <v/>
      </c>
      <c r="F42">
        <f>COUNTIFS(Rules!$B$2:$B$982,$A42,Rules!$H$2:$H$982,"Built,*")</f>
        <v/>
      </c>
      <c r="G42">
        <f>COUNTIFS(Rules!$B$2:$B$982,$A42,Rules!$H$2:$H$982,"Verify*")</f>
        <v/>
      </c>
      <c r="H42">
        <f>COUNTIFS(Rules!$B$2:$B$982,$A42,Rules!$H$2:$H$982,"Not started*")</f>
        <v/>
      </c>
      <c r="I42" s="6">
        <f>IF(D42=0,"",E42/D42)</f>
        <v/>
      </c>
      <c r="J42" s="5" t="inlineStr"/>
      <c r="K42" s="5" t="inlineStr">
        <is>
          <t>✅ Decided (8/8), 25 Sep 2026. Extended 26 Sep 2026 with GAP-REGISTER B5 (object detection, gaze, numeric integrity score) and C5 (keystroke-dynamics signal, AI-allowed test mode) — see §3 "Gap-register extensions" and §11. The session report PDF is in T05; the secure desktop client is T08 (not desig</t>
        </is>
      </c>
      <c r="L42" t="inlineStr">
        <is>
          <t>T04-proctoring-monitoring.md</t>
        </is>
      </c>
    </row>
    <row r="43">
      <c r="A43" t="inlineStr">
        <is>
          <t>T05</t>
        </is>
      </c>
      <c r="B43" s="5" t="inlineStr">
        <is>
          <t>T05 · Integrity, Evaluation &amp; Outcomes</t>
        </is>
      </c>
      <c r="C43" t="inlineStr">
        <is>
          <t>6+</t>
        </is>
      </c>
      <c r="D43" t="n">
        <v>32</v>
      </c>
      <c r="E43">
        <f>COUNTIFS(Rules!$B$2:$B$982,$A43,Rules!$H$2:$H$982,"Built +*")</f>
        <v/>
      </c>
      <c r="F43">
        <f>COUNTIFS(Rules!$B$2:$B$982,$A43,Rules!$H$2:$H$982,"Built,*")</f>
        <v/>
      </c>
      <c r="G43">
        <f>COUNTIFS(Rules!$B$2:$B$982,$A43,Rules!$H$2:$H$982,"Verify*")</f>
        <v/>
      </c>
      <c r="H43">
        <f>COUNTIFS(Rules!$B$2:$B$982,$A43,Rules!$H$2:$H$982,"Not started*")</f>
        <v/>
      </c>
      <c r="I43" s="6">
        <f>IF(D43=0,"",E43/D43)</f>
        <v/>
      </c>
      <c r="J43" s="5" t="inlineStr"/>
      <c r="K43" s="5" t="inlineStr">
        <is>
          <t>✅ Decided (8/8), 25 Sep 2026. Extended 26 Sep 2026 with GAP-REGISTER B5 (session report PDF), B6 (ATS connectors, assessment webhooks), B14 (CEFR and typing scoring), A13 (fairness &amp; validity analytics), B15 (digital badges, LTI 1.3 tool) and C5 (AI-allowed mode scoring) — see §3 "Gap-register exten</t>
        </is>
      </c>
      <c r="L43" t="inlineStr">
        <is>
          <t>T05-integrity-evaluation-outcomes.md</t>
        </is>
      </c>
    </row>
    <row r="44">
      <c r="A44" t="inlineStr">
        <is>
          <t>T06</t>
        </is>
      </c>
      <c r="B44" s="5" t="inlineStr">
        <is>
          <t>T06 · Psychometric &amp; Behavioural Assessments</t>
        </is>
      </c>
      <c r="C44" t="inlineStr">
        <is>
          <t>6+</t>
        </is>
      </c>
      <c r="D44" t="n">
        <v>11</v>
      </c>
      <c r="E44">
        <f>COUNTIFS(Rules!$B$2:$B$982,$A44,Rules!$H$2:$H$982,"Built +*")</f>
        <v/>
      </c>
      <c r="F44">
        <f>COUNTIFS(Rules!$B$2:$B$982,$A44,Rules!$H$2:$H$982,"Built,*")</f>
        <v/>
      </c>
      <c r="G44">
        <f>COUNTIFS(Rules!$B$2:$B$982,$A44,Rules!$H$2:$H$982,"Verify*")</f>
        <v/>
      </c>
      <c r="H44">
        <f>COUNTIFS(Rules!$B$2:$B$982,$A44,Rules!$H$2:$H$982,"Not started*")</f>
        <v/>
      </c>
      <c r="I44" s="6">
        <f>IF(D44=0,"",E44/D44)</f>
        <v/>
      </c>
      <c r="J44" s="5" t="inlineStr"/>
      <c r="K44" s="5" t="inlineStr">
        <is>
          <t>✅ Decided (6/6), 26 Sep 2026.</t>
        </is>
      </c>
      <c r="L44" t="inlineStr">
        <is>
          <t>T06-psychometric-assessments.md</t>
        </is>
      </c>
    </row>
    <row r="45">
      <c r="A45" t="inlineStr">
        <is>
          <t>T07</t>
        </is>
      </c>
      <c r="B45" s="5" t="inlineStr">
        <is>
          <t>T07 · Project-Based Coding &amp; Live Technical Interview</t>
        </is>
      </c>
      <c r="C45" t="inlineStr">
        <is>
          <t>6+</t>
        </is>
      </c>
      <c r="D45" t="n">
        <v>9</v>
      </c>
      <c r="E45">
        <f>COUNTIFS(Rules!$B$2:$B$982,$A45,Rules!$H$2:$H$982,"Built +*")</f>
        <v/>
      </c>
      <c r="F45">
        <f>COUNTIFS(Rules!$B$2:$B$982,$A45,Rules!$H$2:$H$982,"Built,*")</f>
        <v/>
      </c>
      <c r="G45">
        <f>COUNTIFS(Rules!$B$2:$B$982,$A45,Rules!$H$2:$H$982,"Verify*")</f>
        <v/>
      </c>
      <c r="H45">
        <f>COUNTIFS(Rules!$B$2:$B$982,$A45,Rules!$H$2:$H$982,"Not started*")</f>
        <v/>
      </c>
      <c r="I45" s="6">
        <f>IF(D45=0,"",E45/D45)</f>
        <v/>
      </c>
      <c r="J45" s="5" t="inlineStr"/>
      <c r="K45" s="5" t="inlineStr">
        <is>
          <t>✅ Decided (6/6), 26 Sep 2026 — Q3, Q4, Q6 are company choices under D17.</t>
        </is>
      </c>
      <c r="L45" t="inlineStr">
        <is>
          <t>T07-project-coding-live-interview.md</t>
        </is>
      </c>
    </row>
    <row r="46">
      <c r="A46" t="inlineStr">
        <is>
          <t>T08</t>
        </is>
      </c>
      <c r="B46" s="5" t="inlineStr">
        <is>
          <t>T08 · YukthiX Secure Client</t>
        </is>
      </c>
      <c r="C46" t="inlineStr">
        <is>
          <t>6+</t>
        </is>
      </c>
      <c r="D46" t="n">
        <v>9</v>
      </c>
      <c r="E46">
        <f>COUNTIFS(Rules!$B$2:$B$982,$A46,Rules!$H$2:$H$982,"Built +*")</f>
        <v/>
      </c>
      <c r="F46">
        <f>COUNTIFS(Rules!$B$2:$B$982,$A46,Rules!$H$2:$H$982,"Built,*")</f>
        <v/>
      </c>
      <c r="G46">
        <f>COUNTIFS(Rules!$B$2:$B$982,$A46,Rules!$H$2:$H$982,"Verify*")</f>
        <v/>
      </c>
      <c r="H46">
        <f>COUNTIFS(Rules!$B$2:$B$982,$A46,Rules!$H$2:$H$982,"Not started*")</f>
        <v/>
      </c>
      <c r="I46" s="6">
        <f>IF(D46=0,"",E46/D46)</f>
        <v/>
      </c>
      <c r="J46" s="5" t="inlineStr"/>
      <c r="K46" s="5" t="inlineStr">
        <is>
          <t>✅ Decided (5/5), 26 Sep 2026. Q2 and Q4 are company choices under D17.</t>
        </is>
      </c>
      <c r="L46" t="inlineStr">
        <is>
          <t>T08-secure-client.md</t>
        </is>
      </c>
    </row>
    <row r="47">
      <c r="A47" t="inlineStr">
        <is>
          <t>APX-A</t>
        </is>
      </c>
      <c r="B47" s="5" t="inlineStr">
        <is>
          <t>Appendix A · Notification catalogue</t>
        </is>
      </c>
      <c r="C47" t="inlineStr">
        <is>
          <t>6+</t>
        </is>
      </c>
      <c r="D47" t="n">
        <v>0</v>
      </c>
      <c r="E47">
        <f>COUNTIFS(Rules!$B$2:$B$982,$A47,Rules!$H$2:$H$982,"Built +*")</f>
        <v/>
      </c>
      <c r="F47">
        <f>COUNTIFS(Rules!$B$2:$B$982,$A47,Rules!$H$2:$H$982,"Built,*")</f>
        <v/>
      </c>
      <c r="G47">
        <f>COUNTIFS(Rules!$B$2:$B$982,$A47,Rules!$H$2:$H$982,"Verify*")</f>
        <v/>
      </c>
      <c r="H47">
        <f>COUNTIFS(Rules!$B$2:$B$982,$A47,Rules!$H$2:$H$982,"Not started*")</f>
        <v/>
      </c>
      <c r="I47" s="6">
        <f>IF(D47=0,"",E47/D47)</f>
        <v/>
      </c>
      <c r="J47" s="5" t="inlineStr"/>
      <c r="K47" s="5" t="inlineStr">
        <is>
          <t>📋 Draft catalogue, 26 Sep 2026. Closes GAP-REGISTER F1 (notification types), F3 (scheduled events) and the channel-consent part of H6 (WhatsApp / SMS opt-in record). Extended 26 Sep 2026 with the notification types and scheduler rules (SCH-73…79) of the gap-register features, the new category WRK an</t>
        </is>
      </c>
      <c r="L47" t="inlineStr">
        <is>
          <t>APX-A-notifications.md</t>
        </is>
      </c>
    </row>
    <row r="48">
      <c r="A48" t="inlineStr">
        <is>
          <t>APX-B</t>
        </is>
      </c>
      <c r="B48" s="5" t="inlineStr">
        <is>
          <t>Appendix B · Domain event catalogue</t>
        </is>
      </c>
      <c r="C48" t="inlineStr">
        <is>
          <t>6+</t>
        </is>
      </c>
      <c r="D48" t="n">
        <v>0</v>
      </c>
      <c r="E48">
        <f>COUNTIFS(Rules!$B$2:$B$982,$A48,Rules!$H$2:$H$982,"Built +*")</f>
        <v/>
      </c>
      <c r="F48">
        <f>COUNTIFS(Rules!$B$2:$B$982,$A48,Rules!$H$2:$H$982,"Built,*")</f>
        <v/>
      </c>
      <c r="G48">
        <f>COUNTIFS(Rules!$B$2:$B$982,$A48,Rules!$H$2:$H$982,"Verify*")</f>
        <v/>
      </c>
      <c r="H48">
        <f>COUNTIFS(Rules!$B$2:$B$982,$A48,Rules!$H$2:$H$982,"Not started*")</f>
        <v/>
      </c>
      <c r="I48" s="6">
        <f>IF(D48=0,"",E48/D48)</f>
        <v/>
      </c>
      <c r="J48" s="5" t="inlineStr"/>
      <c r="K48" s="5" t="inlineStr">
        <is>
          <t>📋 Draft catalogue, 26 Sep 2026. Closes GAP-REGISTER F2 (event catalogue). Extended 26 Sep 2026 with the events of the gap-register features (M01–M07, M10, M12, M13, P14, P17, P18, T03, T05–T08; §2, §3 #13). P16 follow-up 26 Sep 2026: partner events (§2.27). P19 follow-up 26 Sep 2026: policy rule and</t>
        </is>
      </c>
      <c r="L48" t="inlineStr">
        <is>
          <t>APX-B-events.md</t>
        </is>
      </c>
    </row>
    <row r="49">
      <c r="A49" t="inlineStr">
        <is>
          <t>APX-C</t>
        </is>
      </c>
      <c r="B49" s="5" t="inlineStr">
        <is>
          <t>Appendix C · Report library &amp; metric dictionary extension</t>
        </is>
      </c>
      <c r="C49" t="inlineStr">
        <is>
          <t>6+</t>
        </is>
      </c>
      <c r="D49" t="n">
        <v>0</v>
      </c>
      <c r="E49">
        <f>COUNTIFS(Rules!$B$2:$B$982,$A49,Rules!$H$2:$H$982,"Built +*")</f>
        <v/>
      </c>
      <c r="F49">
        <f>COUNTIFS(Rules!$B$2:$B$982,$A49,Rules!$H$2:$H$982,"Built,*")</f>
        <v/>
      </c>
      <c r="G49">
        <f>COUNTIFS(Rules!$B$2:$B$982,$A49,Rules!$H$2:$H$982,"Verify*")</f>
        <v/>
      </c>
      <c r="H49">
        <f>COUNTIFS(Rules!$B$2:$B$982,$A49,Rules!$H$2:$H$982,"Not started*")</f>
        <v/>
      </c>
      <c r="I49" s="6">
        <f>IF(D49=0,"",E49/D49)</f>
        <v/>
      </c>
      <c r="J49" s="5" t="inlineStr"/>
      <c r="K49" s="5" t="inlineStr">
        <is>
          <t>✅ Catalogue, 26 Sep 2026 (consistency fix; no new decisions). Closes GAP-REGISTER F4 and H2–H5; H1 is closed by the recruiting_costs table (M10 §4) and the test cost setting (T02 §4). P19 follow-up 26 Sep 2026: reports RPT-SYS-13…15 (policy rules and automations). Corrected 28 Sep 2026 (validation p</t>
        </is>
      </c>
      <c r="L49" t="inlineStr">
        <is>
          <t>APX-C-reports-metrics.md</t>
        </is>
      </c>
    </row>
    <row r="50">
      <c r="A50" t="inlineStr">
        <is>
          <t>APX-D</t>
        </is>
      </c>
      <c r="B50" s="5" t="inlineStr">
        <is>
          <t>Appendix D · Screen inventory, navigation, Settings map &amp; U-issue closure</t>
        </is>
      </c>
      <c r="C50" t="inlineStr">
        <is>
          <t>6+</t>
        </is>
      </c>
      <c r="D50" t="n">
        <v>0</v>
      </c>
      <c r="E50">
        <f>COUNTIFS(Rules!$B$2:$B$982,$A50,Rules!$H$2:$H$982,"Built +*")</f>
        <v/>
      </c>
      <c r="F50">
        <f>COUNTIFS(Rules!$B$2:$B$982,$A50,Rules!$H$2:$H$982,"Built,*")</f>
        <v/>
      </c>
      <c r="G50">
        <f>COUNTIFS(Rules!$B$2:$B$982,$A50,Rules!$H$2:$H$982,"Verify*")</f>
        <v/>
      </c>
      <c r="H50">
        <f>COUNTIFS(Rules!$B$2:$B$982,$A50,Rules!$H$2:$H$982,"Not started*")</f>
        <v/>
      </c>
      <c r="I50" s="6">
        <f>IF(D50=0,"",E50/D50)</f>
        <v/>
      </c>
      <c r="J50" s="5" t="inlineStr"/>
      <c r="K50" s="5" t="inlineStr">
        <is>
          <t xml:space="preserve">Catalogue, 26 Sep 2026. Closes GAP-REGISTER F5 (screen inventory &amp; navigation), F6 (U-issue closure) and H7 (help &amp; onboarding UX); gives D17 its home ("every policy needs an editor"). Extended 26 Sep 2026 (gap register, user decision): screens for M12, M13, P17, P18 and the new B / C features (§1, </t>
        </is>
      </c>
      <c r="L50" t="inlineStr">
        <is>
          <t>APX-D-screens-navigation.md</t>
        </is>
      </c>
    </row>
    <row r="51">
      <c r="A51" t="inlineStr">
        <is>
          <t>APX-E</t>
        </is>
      </c>
      <c r="B51" s="5" t="inlineStr">
        <is>
          <t>Appendix E · Setup hub, go-live readiness &amp; admin editors</t>
        </is>
      </c>
      <c r="C51" t="inlineStr">
        <is>
          <t>6+</t>
        </is>
      </c>
      <c r="D51" t="n">
        <v>3</v>
      </c>
      <c r="E51">
        <f>COUNTIFS(Rules!$B$2:$B$982,$A51,Rules!$H$2:$H$982,"Built +*")</f>
        <v/>
      </c>
      <c r="F51">
        <f>COUNTIFS(Rules!$B$2:$B$982,$A51,Rules!$H$2:$H$982,"Built,*")</f>
        <v/>
      </c>
      <c r="G51">
        <f>COUNTIFS(Rules!$B$2:$B$982,$A51,Rules!$H$2:$H$982,"Verify*")</f>
        <v/>
      </c>
      <c r="H51">
        <f>COUNTIFS(Rules!$B$2:$B$982,$A51,Rules!$H$2:$H$982,"Not started*")</f>
        <v/>
      </c>
      <c r="I51" s="6">
        <f>IF(D51=0,"",E51/D51)</f>
        <v/>
      </c>
      <c r="J51" s="5" t="inlineStr"/>
      <c r="K51" s="5" t="inlineStr">
        <is>
          <t>📋 Catalogue defined, 26 Sep 2026. Closes GAP-REGISTER G1–G6; summarises G7 (detail in T05 YX-EVAL-15). P19 follow-up 26 Sep 2026: readiness check "starter rules reviewed" and editors #177–181 (§3.9). Validation pass 3 Must (S3), founder decision 28 Sep 2026: a quick start lane per product (§1.6) bes</t>
        </is>
      </c>
      <c r="L51" t="inlineStr">
        <is>
          <t>APX-E-setup-admin.md</t>
        </is>
      </c>
    </row>
    <row r="52">
      <c r="A52" t="inlineStr">
        <is>
          <t>APX-F</t>
        </is>
      </c>
      <c r="B52" s="5" t="inlineStr">
        <is>
          <t>Appendix F · Letter, document &amp; message template library</t>
        </is>
      </c>
      <c r="C52" t="inlineStr">
        <is>
          <t>6+</t>
        </is>
      </c>
      <c r="D52" t="n">
        <v>3</v>
      </c>
      <c r="E52">
        <f>COUNTIFS(Rules!$B$2:$B$982,$A52,Rules!$H$2:$H$982,"Built +*")</f>
        <v/>
      </c>
      <c r="F52">
        <f>COUNTIFS(Rules!$B$2:$B$982,$A52,Rules!$H$2:$H$982,"Built,*")</f>
        <v/>
      </c>
      <c r="G52">
        <f>COUNTIFS(Rules!$B$2:$B$982,$A52,Rules!$H$2:$H$982,"Verify*")</f>
        <v/>
      </c>
      <c r="H52">
        <f>COUNTIFS(Rules!$B$2:$B$982,$A52,Rules!$H$2:$H$982,"Not started*")</f>
        <v/>
      </c>
      <c r="I52" s="6">
        <f>IF(D52=0,"",E52/D52)</f>
        <v/>
      </c>
      <c r="J52" s="5" t="inlineStr"/>
      <c r="K52" s="5" t="inlineStr">
        <is>
          <t>📋 Catalogue defined, 26 Sep 2026. Closes GAP-REGISTER F7; also covers the payslip layout (F6 / U33), the ID card (C1), the admit card (B7, placeholder), Form 131 (was Form 16A) and the consultant payment advice (A8), and register formats and the inspection pack (A9). Extended 26 Sep 2026 (gap regist</t>
        </is>
      </c>
      <c r="L52" t="inlineStr">
        <is>
          <t>APX-F-templates.md</t>
        </is>
      </c>
    </row>
    <row r="53">
      <c r="A53" t="inlineStr">
        <is>
          <t>APX-G</t>
        </is>
      </c>
      <c r="B53" s="5" t="inlineStr">
        <is>
          <t>Appendix G · Legal &amp; trust artefacts</t>
        </is>
      </c>
      <c r="C53" t="inlineStr">
        <is>
          <t>6+</t>
        </is>
      </c>
      <c r="D53" t="n">
        <v>0</v>
      </c>
      <c r="E53">
        <f>COUNTIFS(Rules!$B$2:$B$982,$A53,Rules!$H$2:$H$982,"Built +*")</f>
        <v/>
      </c>
      <c r="F53">
        <f>COUNTIFS(Rules!$B$2:$B$982,$A53,Rules!$H$2:$H$982,"Built,*")</f>
        <v/>
      </c>
      <c r="G53">
        <f>COUNTIFS(Rules!$B$2:$B$982,$A53,Rules!$H$2:$H$982,"Verify*")</f>
        <v/>
      </c>
      <c r="H53">
        <f>COUNTIFS(Rules!$B$2:$B$982,$A53,Rules!$H$2:$H$982,"Not started*")</f>
        <v/>
      </c>
      <c r="I53" s="6">
        <f>IF(D53=0,"",E53/D53)</f>
        <v/>
      </c>
      <c r="J53" s="5" t="inlineStr"/>
      <c r="K53" s="5" t="inlineStr">
        <is>
          <t>📋 Catalogue defined, 26 Sep 2026. Closes GAP-REGISTER H6. Feeds A2 (security programme, future P12) and B12 (DPDP / GDPR programme extras). Extended 26 Sep 2026 (gap register, user decision): eight artefacts for the new B / C features (G-24–G-31: EWA partner terms, field-force location consent, desk</t>
        </is>
      </c>
      <c r="L53" t="inlineStr">
        <is>
          <t>APX-G-legal-artefacts.md</t>
        </is>
      </c>
    </row>
  </sheetData>
  <autoFilter ref="A1:M5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90" customWidth="1" min="2" max="2"/>
    <col width="22" customWidth="1" min="3" max="3"/>
    <col width="22" customWidth="1" min="4" max="4"/>
    <col width="10" customWidth="1" min="5" max="5"/>
    <col width="10" customWidth="1" min="6" max="6"/>
    <col width="30" customWidth="1" min="7" max="7"/>
  </cols>
  <sheetData>
    <row r="1">
      <c r="A1" s="4" t="inlineStr">
        <is>
          <t>Step</t>
        </is>
      </c>
      <c r="B1" s="4" t="inlineStr">
        <is>
          <t>What</t>
        </is>
      </c>
      <c r="C1" s="4" t="inlineStr">
        <is>
          <t>Design docs</t>
        </is>
      </c>
      <c r="D1" s="4" t="inlineStr">
        <is>
          <t>Status</t>
        </is>
      </c>
      <c r="E1" s="4" t="inlineStr">
        <is>
          <t>Rules in its docs</t>
        </is>
      </c>
      <c r="F1" s="4" t="inlineStr">
        <is>
          <t>Built + tested</t>
        </is>
      </c>
      <c r="G1" s="4" t="inlineStr">
        <is>
          <t>Notes (you)</t>
        </is>
      </c>
    </row>
    <row r="2">
      <c r="A2" t="inlineStr">
        <is>
          <t>0</t>
        </is>
      </c>
      <c r="B2" s="5" t="inlineStr">
        <is>
          <t>PostgreSQL 17 with forced row-level security on every tenant table</t>
        </is>
      </c>
      <c r="C2" t="inlineStr">
        <is>
          <t>spec D10, P01</t>
        </is>
      </c>
      <c r="D2" s="5" t="inlineStr">
        <is>
          <t>Done</t>
        </is>
      </c>
      <c r="E2">
        <f>COUNTIF(Rules!$B$2:$B$982,"P01")</f>
        <v/>
      </c>
      <c r="F2">
        <f>COUNTIFS(Rules!$B$2:$B$982,"P01",Rules!$H$2:$H$982,"Built +*")</f>
        <v/>
      </c>
      <c r="G2" s="5" t="n"/>
    </row>
    <row r="3">
      <c r="A3" t="inlineStr">
        <is>
          <t>1</t>
        </is>
      </c>
      <c r="B3" s="5" t="inlineStr">
        <is>
          <t>Login: sessions, lockout (company-configurable within the YukthiX floor), password floor, MFA (passkeys, TOTP, recovery codes, step-up), OTP sign-in, Google / Microsoft / SAML SSO, login and security screens</t>
        </is>
      </c>
      <c r="C3" t="inlineStr">
        <is>
          <t>P12</t>
        </is>
      </c>
      <c r="D3" s="5" t="inlineStr">
        <is>
          <t>Done</t>
        </is>
      </c>
      <c r="E3">
        <f>COUNTIF(Rules!$B$2:$B$982,"P12")+COUNTIF(Rules!$B$2:$B$982,"P04")</f>
        <v/>
      </c>
      <c r="F3">
        <f>COUNTIFS(Rules!$B$2:$B$982,"P12",Rules!$H$2:$H$982,"Built +*")+COUNTIFS(Rules!$B$2:$B$982,"P04",Rules!$H$2:$H$982,"Built +*")</f>
        <v/>
      </c>
      <c r="G3" s="5" t="n"/>
    </row>
    <row r="4">
      <c r="A4" t="inlineStr">
        <is>
          <t>1+</t>
        </is>
      </c>
      <c r="B4" s="5" t="inlineStr">
        <is>
          <t>Generic SMS channel (any gateway by configuration; shared YukthiX account, e.g. Zoho CPaaS, plus company-owned accounts)</t>
        </is>
      </c>
      <c r="C4" t="inlineStr">
        <is>
          <t>P04 §4.4–4.5a</t>
        </is>
      </c>
      <c r="D4" s="5" t="inlineStr">
        <is>
          <t>In PR #129</t>
        </is>
      </c>
      <c r="G4" s="5" t="n"/>
    </row>
    <row r="5">
      <c r="A5" t="inlineStr">
        <is>
          <t>—</t>
        </is>
      </c>
      <c r="B5" s="5" t="inlineStr">
        <is>
          <t>Design docs and full UI prototype in the repo</t>
        </is>
      </c>
      <c r="C5" t="inlineStr">
        <is>
          <t>—</t>
        </is>
      </c>
      <c r="D5" s="5" t="inlineStr">
        <is>
          <t>PR #130</t>
        </is>
      </c>
      <c r="G5" s="5" t="n"/>
    </row>
    <row r="6">
      <c r="A6" t="inlineStr">
        <is>
          <t>2</t>
        </is>
      </c>
      <c r="B6" s="5" t="inlineStr">
        <is>
          <t>Organisation and employee core: legal entities, locations, departments, positions, the employee record with effective-dated history, reporting lines, roles and field-level visibility</t>
        </is>
      </c>
      <c r="C6" t="inlineStr">
        <is>
          <t>P01, P02, P06, M01</t>
        </is>
      </c>
      <c r="D6" s="5" t="inlineStr">
        <is>
          <t>Done</t>
        </is>
      </c>
      <c r="E6">
        <f>COUNTIF(Rules!$B$2:$B$982,"P01")+COUNTIF(Rules!$B$2:$B$982,"P02")+COUNTIF(Rules!$B$2:$B$982,"P06")+COUNTIF(Rules!$B$2:$B$982,"M01")</f>
        <v/>
      </c>
      <c r="F6">
        <f>COUNTIFS(Rules!$B$2:$B$982,"P01",Rules!$H$2:$H$982,"Built +*")+COUNTIFS(Rules!$B$2:$B$982,"P02",Rules!$H$2:$H$982,"Built +*")+COUNTIFS(Rules!$B$2:$B$982,"P06",Rules!$H$2:$H$982,"Built +*")+COUNTIFS(Rules!$B$2:$B$982,"M01",Rules!$H$2:$H$982,"Built +*")</f>
        <v/>
      </c>
      <c r="G6" s="5" t="n"/>
    </row>
    <row r="7">
      <c r="A7" t="inlineStr">
        <is>
          <t>3</t>
        </is>
      </c>
      <c r="B7" s="5" t="inlineStr">
        <is>
          <t>Platform console (YukthiX staff only, same codebase, separate locked-down area): companies and lifecycle, plans and prices, shared channel accounts (move the shared SMS account here), support sessions, audit; later billing, incidents, customer success</t>
        </is>
      </c>
      <c r="C7" t="inlineStr">
        <is>
          <t>P14, P02 support sessions, P12 Q7</t>
        </is>
      </c>
      <c r="D7" s="5" t="inlineStr">
        <is>
          <t>After step 2</t>
        </is>
      </c>
      <c r="E7">
        <f>COUNTIF(Rules!$B$2:$B$982,"P14")+COUNTIF(Rules!$B$2:$B$982,"P20")</f>
        <v/>
      </c>
      <c r="F7">
        <f>COUNTIFS(Rules!$B$2:$B$982,"P14",Rules!$H$2:$H$982,"Built +*")+COUNTIFS(Rules!$B$2:$B$982,"P20",Rules!$H$2:$H$982,"Built +*")</f>
        <v/>
      </c>
      <c r="G7" s="5" t="n"/>
    </row>
    <row r="8">
      <c r="A8" t="inlineStr">
        <is>
          <t>3b</t>
        </is>
      </c>
      <c r="B8" s="5" t="inlineStr">
        <is>
          <t>YukthiX Service Desk: full ITSM + ESM (incident, request catalogue, problem, change / CAB, release, assets + CMDB, knowledge, SLA / OLA, portal, email / chat / WhatsApp / Teams, automation + AI, monitoring events, on-call, status page, vendors). One engine for company helpdesks (HR / IT / Admin), YukthiX's own customer support, and a standalone product</t>
        </is>
      </c>
      <c r="C8" t="inlineStr">
        <is>
          <t>M14, M08</t>
        </is>
      </c>
      <c r="D8" s="5" t="inlineStr">
        <is>
          <t>After step 3</t>
        </is>
      </c>
      <c r="E8">
        <f>COUNTIF(Rules!$B$2:$B$982,"M14")+COUNTIF(Rules!$B$2:$B$982,"M08")</f>
        <v/>
      </c>
      <c r="F8">
        <f>COUNTIFS(Rules!$B$2:$B$982,"M14",Rules!$H$2:$H$982,"Built +*")+COUNTIFS(Rules!$B$2:$B$982,"M08",Rules!$H$2:$H$982,"Built +*")</f>
        <v/>
      </c>
      <c r="G8" s="5" t="n"/>
    </row>
    <row r="9">
      <c r="A9" t="inlineStr">
        <is>
          <t>4</t>
        </is>
      </c>
      <c r="B9" s="5" t="inlineStr">
        <is>
          <t>Time and leave: attendance, regularisation, shifts and rosters, leave and balances, overtime</t>
        </is>
      </c>
      <c r="C9" t="inlineStr">
        <is>
          <t>M02, P03, P07</t>
        </is>
      </c>
      <c r="D9" s="5" t="inlineStr">
        <is>
          <t>Not started</t>
        </is>
      </c>
      <c r="E9">
        <f>COUNTIF(Rules!$B$2:$B$982,"M02")+COUNTIF(Rules!$B$2:$B$982,"P03")+COUNTIF(Rules!$B$2:$B$982,"P07")</f>
        <v/>
      </c>
      <c r="F9">
        <f>COUNTIFS(Rules!$B$2:$B$982,"M02",Rules!$H$2:$H$982,"Built +*")+COUNTIFS(Rules!$B$2:$B$982,"P03",Rules!$H$2:$H$982,"Built +*")+COUNTIFS(Rules!$B$2:$B$982,"P07",Rules!$H$2:$H$982,"Built +*")</f>
        <v/>
      </c>
      <c r="G9" s="5" t="n"/>
    </row>
    <row r="10">
      <c r="A10" t="inlineStr">
        <is>
          <t>5</t>
        </is>
      </c>
      <c r="B10" s="5" t="inlineStr">
        <is>
          <t>Payroll and statutory: inputs, calculation (PF, ESI, PT, TDS), approve and lock, bank file, payslips</t>
        </is>
      </c>
      <c r="C10" t="inlineStr">
        <is>
          <t>M03, P07, P08</t>
        </is>
      </c>
      <c r="D10" s="5" t="inlineStr">
        <is>
          <t>Not started</t>
        </is>
      </c>
      <c r="E10">
        <f>COUNTIF(Rules!$B$2:$B$982,"M03")+COUNTIF(Rules!$B$2:$B$982,"P07")+COUNTIF(Rules!$B$2:$B$982,"P08")</f>
        <v/>
      </c>
      <c r="F10">
        <f>COUNTIFS(Rules!$B$2:$B$982,"M03",Rules!$H$2:$H$982,"Built +*")+COUNTIFS(Rules!$B$2:$B$982,"P07",Rules!$H$2:$H$982,"Built +*")+COUNTIFS(Rules!$B$2:$B$982,"P08",Rules!$H$2:$H$982,"Built +*")</f>
        <v/>
      </c>
      <c r="G10" s="5" t="n"/>
    </row>
    <row r="11">
      <c r="A11" t="inlineStr">
        <is>
          <t>6+</t>
        </is>
      </c>
      <c r="B11" s="5" t="inlineStr">
        <is>
          <t>Lifecycle (onboarding, exit, F&amp;F), expenses, performance, learning, engage, benefits, projects and timesheets, contract labour, ATS, mobile</t>
        </is>
      </c>
      <c r="C11" t="inlineStr">
        <is>
          <t>M04–M13, P-series</t>
        </is>
      </c>
      <c r="D11" s="5" t="inlineStr">
        <is>
          <t>Not started</t>
        </is>
      </c>
      <c r="G11" s="5" t="n"/>
    </row>
  </sheetData>
  <autoFilter ref="A1:G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90" customWidth="1" min="3" max="3"/>
    <col width="14" customWidth="1" min="4" max="4"/>
    <col width="16" customWidth="1" min="5" max="5"/>
    <col width="40" customWidth="1" min="6" max="6"/>
    <col width="14" customWidth="1" min="7" max="7"/>
    <col width="30" customWidth="1" min="8" max="8"/>
  </cols>
  <sheetData>
    <row r="1">
      <c r="A1" s="4" t="inlineStr">
        <is>
          <t>ID</t>
        </is>
      </c>
      <c r="B1" s="4" t="inlineStr">
        <is>
          <t>Area</t>
        </is>
      </c>
      <c r="C1" s="4" t="inlineStr">
        <is>
          <t>What</t>
        </is>
      </c>
      <c r="D1" s="4" t="inlineStr">
        <is>
          <t>Status (start)</t>
        </is>
      </c>
      <c r="E1" s="4" t="inlineStr">
        <is>
          <t>Status (you)</t>
        </is>
      </c>
      <c r="F1" s="4" t="inlineStr">
        <is>
          <t>Next action</t>
        </is>
      </c>
      <c r="G1" s="4" t="inlineStr">
        <is>
          <t>Owner (you)</t>
        </is>
      </c>
      <c r="H1" s="4" t="inlineStr">
        <is>
          <t>Notes (you)</t>
        </is>
      </c>
    </row>
    <row r="2">
      <c r="A2" t="inlineStr">
        <is>
          <t>W-001</t>
        </is>
      </c>
      <c r="B2" t="inlineStr">
        <is>
          <t>Step 2 · Org &amp; employee core</t>
        </is>
      </c>
      <c r="C2" s="5" t="inlineStr">
        <is>
          <t>Parts 2c employee record, 2d access &amp; field visibility, 2e People/Settings screens wired; then independent security review, fix every finding, push feat/yukthix-org</t>
        </is>
      </c>
      <c r="D2" t="inlineStr">
        <is>
          <t>Done</t>
        </is>
      </c>
      <c r="F2" s="5" t="inlineStr">
        <is>
          <t>PR #131 opened 7 Oct 2026 (stacked on #130); 15 review findings fixed; all suites green</t>
        </is>
      </c>
      <c r="H2" s="5" t="n"/>
    </row>
    <row r="3">
      <c r="A3" t="inlineStr">
        <is>
          <t>W-002</t>
        </is>
      </c>
      <c r="B3" t="inlineStr">
        <is>
          <t>CI · dependencies</t>
        </is>
      </c>
      <c r="C3" s="5" t="inlineStr">
        <is>
          <t>Upgrade jest 29 → 30 and tailwind 3 → 4 so the strict audit gate (high/critical) passes on the full tree; push #129 with the security fix 377eca4c</t>
        </is>
      </c>
      <c r="D3" t="inlineStr">
        <is>
          <t>Done</t>
        </is>
      </c>
      <c r="F3" s="5" t="inlineStr">
        <is>
          <t>Jest 30 + Tailwind 4 + security patches pushed to #129 (CI passing) and merged into #130; being ported to #128</t>
        </is>
      </c>
      <c r="H3" s="5" t="n"/>
    </row>
    <row r="4">
      <c r="A4" t="inlineStr">
        <is>
          <t>W-003</t>
        </is>
      </c>
      <c r="B4" t="inlineStr">
        <is>
          <t>Branches</t>
        </is>
      </c>
      <c r="C4" s="5" t="inlineStr">
        <is>
          <t>Merge feat/yukthix-login into feat/yukthix-workspace (#130); resolve GO-LIVE-CHECKLIST.md (login branch created its own copy)</t>
        </is>
      </c>
      <c r="D4" t="inlineStr">
        <is>
          <t>Done</t>
        </is>
      </c>
      <c r="F4" s="5" t="inlineStr">
        <is>
          <t>Merged 7 Oct 2026 (e27b49c9); checklist kept both versions (item 11 + sign-in section)</t>
        </is>
      </c>
      <c r="H4" s="5" t="n"/>
    </row>
    <row r="5">
      <c r="A5" t="inlineStr">
        <is>
          <t>W-004</t>
        </is>
      </c>
      <c r="B5" t="inlineStr">
        <is>
          <t>Branches</t>
        </is>
      </c>
      <c r="C5" s="5" t="inlineStr">
        <is>
          <t>Merge order to main: #128 PostgreSQL → #129 login → #130 workspace → #131 step 2</t>
        </is>
      </c>
      <c r="D5" t="inlineStr">
        <is>
          <t>Open</t>
        </is>
      </c>
      <c r="F5" s="5" t="inlineStr">
        <is>
          <t>Founder approval per PR</t>
        </is>
      </c>
      <c r="H5" s="5" t="n"/>
    </row>
    <row r="6">
      <c r="A6" t="inlineStr">
        <is>
          <t>W-005</t>
        </is>
      </c>
      <c r="B6" t="inlineStr">
        <is>
          <t>Security review</t>
        </is>
      </c>
      <c r="C6" s="5" t="inlineStr">
        <is>
          <t>Email-first sign-in: platform staff (super admin) accounts appear as a 'YukthiX' choice in the company picker when email and password match. Staff should sign in only through the locked-down console path with hardware keys (P12)</t>
        </is>
      </c>
      <c r="D6" t="inlineStr">
        <is>
          <t>Open</t>
        </is>
      </c>
      <c r="F6" s="5" t="inlineStr">
        <is>
          <t>Decide and fix before merge of #129</t>
        </is>
      </c>
      <c r="H6" s="5" t="n"/>
    </row>
    <row r="7">
      <c r="A7" t="inlineStr">
        <is>
          <t>W-006</t>
        </is>
      </c>
      <c r="B7" t="inlineStr">
        <is>
          <t>Security review</t>
        </is>
      </c>
      <c r="C7" s="5" t="inlineStr">
        <is>
          <t>Verified email domains are never re-checked; a lapsed domain keeps routing to SSO until removed. Add a periodic DNS re-check</t>
        </is>
      </c>
      <c r="D7" t="inlineStr">
        <is>
          <t>Open</t>
        </is>
      </c>
      <c r="F7" s="5" t="inlineStr">
        <is>
          <t>Fix in login branch</t>
        </is>
      </c>
      <c r="H7" s="5" t="n"/>
    </row>
    <row r="8">
      <c r="A8" t="inlineStr">
        <is>
          <t>W-007</t>
        </is>
      </c>
      <c r="B8" t="inlineStr">
        <is>
          <t>UI</t>
        </is>
      </c>
      <c r="C8" s="5" t="inlineStr">
        <is>
          <t>1,039 prototype buttons outside pay/auth have no action yet; each is wired when its backend step lands (scan-dead-buttons.mjs per wired screen must be 0)</t>
        </is>
      </c>
      <c r="D8" t="inlineStr">
        <is>
          <t>Open</t>
        </is>
      </c>
      <c r="F8" s="5" t="inlineStr">
        <is>
          <t>Per step</t>
        </is>
      </c>
      <c r="H8" s="5" t="n"/>
    </row>
    <row r="9">
      <c r="A9" t="inlineStr">
        <is>
          <t>W-008</t>
        </is>
      </c>
      <c r="B9" t="inlineStr">
        <is>
          <t>UI · Payroll</t>
        </is>
      </c>
      <c r="C9" s="5" t="inlineStr">
        <is>
          <t>Payroll screen fixes parked by founder until the payroll backend (step 5)</t>
        </is>
      </c>
      <c r="D9" t="inlineStr">
        <is>
          <t>Parked</t>
        </is>
      </c>
      <c r="F9" s="5" t="inlineStr">
        <is>
          <t>Step 5</t>
        </is>
      </c>
      <c r="H9" s="5" t="n"/>
    </row>
    <row r="10">
      <c r="A10" t="inlineStr">
        <is>
          <t>W-009</t>
        </is>
      </c>
      <c r="B10" t="inlineStr">
        <is>
          <t>Step 3 · Platform console</t>
        </is>
      </c>
      <c r="C10" s="5" t="inlineStr">
        <is>
          <t>Companies &amp; lifecycle, plans &amp; prices, shared channel accounts (move the shared Zoho SMS account here), support sessions, audit</t>
        </is>
      </c>
      <c r="D10" t="inlineStr">
        <is>
          <t>Not started</t>
        </is>
      </c>
      <c r="F10" s="5" t="inlineStr">
        <is>
          <t>After step 2</t>
        </is>
      </c>
      <c r="H10" s="5" t="n"/>
    </row>
    <row r="11">
      <c r="A11" t="inlineStr">
        <is>
          <t>W-010</t>
        </is>
      </c>
      <c r="B11" t="inlineStr">
        <is>
          <t>Step 3b · Service Desk (M14)</t>
        </is>
      </c>
      <c r="C11" s="5" t="inlineStr">
        <is>
          <t>Full ITSM + ESM in four phases (core → ESM → ITIL → operations); one open decision: live chat transport</t>
        </is>
      </c>
      <c r="D11" t="inlineStr">
        <is>
          <t>Not started</t>
        </is>
      </c>
      <c r="F11" s="5" t="inlineStr">
        <is>
          <t>Write the detailed M14 design before the build</t>
        </is>
      </c>
      <c r="H11" s="5" t="n"/>
    </row>
    <row r="12">
      <c r="A12" t="inlineStr">
        <is>
          <t>W-011</t>
        </is>
      </c>
      <c r="B12" t="inlineStr">
        <is>
          <t>Steps 4–6+</t>
        </is>
      </c>
      <c r="C12" s="5" t="inlineStr">
        <is>
          <t>Time &amp; leave (4), payroll &amp; statutory (5), then lifecycle, expenses, performance, learning, engage, benefits, projects, contract labour, ATS, mobile</t>
        </is>
      </c>
      <c r="D12" t="inlineStr">
        <is>
          <t>Not started</t>
        </is>
      </c>
      <c r="F12" s="5" t="inlineStr">
        <is>
          <t>See Roadmap sheet</t>
        </is>
      </c>
      <c r="H12" s="5" t="n"/>
    </row>
    <row r="13">
      <c r="A13" t="inlineStr">
        <is>
          <t>W-012</t>
        </is>
      </c>
      <c r="B13" t="inlineStr">
        <is>
          <t>Infrastructure (P13)</t>
        </is>
      </c>
      <c r="C13" s="5" t="inlineStr">
        <is>
          <t>Gap register A3: infrastructure &amp; operations parked for the engineering team (P13 team brief)</t>
        </is>
      </c>
      <c r="D13" t="inlineStr">
        <is>
          <t>Parked</t>
        </is>
      </c>
      <c r="F13" s="5" t="inlineStr">
        <is>
          <t>Engineering team</t>
        </is>
      </c>
      <c r="H13" s="5" t="n"/>
    </row>
    <row r="14">
      <c r="A14" t="inlineStr">
        <is>
          <t>W-013</t>
        </is>
      </c>
      <c r="B14" t="inlineStr">
        <is>
          <t>Deferred items</t>
        </is>
      </c>
      <c r="C14" s="5" t="inlineStr">
        <is>
          <t>105 items deferred by earlier build jobs (sheet 'Deferred'): each must be closed, moved to a step, or accepted with a reason</t>
        </is>
      </c>
      <c r="D14" t="inlineStr">
        <is>
          <t>Open</t>
        </is>
      </c>
      <c r="F14" s="5" t="inlineStr">
        <is>
          <t>Triage in the Deferred sheet</t>
        </is>
      </c>
      <c r="H14" s="5" t="n"/>
    </row>
    <row r="15">
      <c r="A15" t="inlineStr">
        <is>
          <t>W-014</t>
        </is>
      </c>
      <c r="B15" t="inlineStr">
        <is>
          <t>Rules not linked</t>
        </is>
      </c>
      <c r="C15" s="5" t="inlineStr">
        <is>
          <t>Rules whose step is done but that no code or test cites (Rules sheet status 'Verify'): confirm each is built and add the rule ID to its test, or build it</t>
        </is>
      </c>
      <c r="D15" t="inlineStr">
        <is>
          <t>Open</t>
        </is>
      </c>
      <c r="F15" s="5" t="inlineStr">
        <is>
          <t>Triage in the Rules sheet</t>
        </is>
      </c>
      <c r="H15" s="5" t="n"/>
    </row>
    <row r="16">
      <c r="A16" t="inlineStr">
        <is>
          <t>W-015</t>
        </is>
      </c>
      <c r="B16" t="inlineStr">
        <is>
          <t>CI · dependencies</t>
        </is>
      </c>
      <c r="C16" s="5" t="inlineStr">
        <is>
          <t>Port the same dependency fixes (security patches, Jest 30, Tailwind 4) to #128 PostgreSQL so its CI passes</t>
        </is>
      </c>
      <c r="D16" t="inlineStr">
        <is>
          <t>Done</t>
        </is>
      </c>
      <c r="F16" s="5" t="inlineStr">
        <is>
          <t>Ported to #128; CI passing</t>
        </is>
      </c>
      <c r="H16" s="5" t="n"/>
    </row>
  </sheetData>
  <autoFilter ref="A1:H16"/>
  <dataValidations count="1">
    <dataValidation sqref="E2:E16" showDropDown="0" showInputMessage="0" showErrorMessage="0" allowBlank="1" type="list">
      <formula1>"Open,In progress,Done,Parked,Not started,Accepted (won't do),Moved to a step"</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22" customWidth="1" min="3" max="3"/>
    <col width="11" customWidth="1" min="4" max="4"/>
    <col width="100" customWidth="1" min="5" max="5"/>
    <col width="13" customWidth="1" min="6" max="6"/>
    <col width="16" customWidth="1" min="7" max="7"/>
    <col width="14" customWidth="1" min="8" max="8"/>
    <col width="30" customWidth="1" min="9" max="9"/>
  </cols>
  <sheetData>
    <row r="1">
      <c r="A1" s="4" t="inlineStr">
        <is>
          <t>ID</t>
        </is>
      </c>
      <c r="B1" s="4" t="inlineStr">
        <is>
          <t>Step</t>
        </is>
      </c>
      <c r="C1" s="4" t="inlineStr">
        <is>
          <t>Build job</t>
        </is>
      </c>
      <c r="D1" s="4" t="inlineStr">
        <is>
          <t>Date</t>
        </is>
      </c>
      <c r="E1" s="4" t="inlineStr">
        <is>
          <t>Left out / not finished (as reported by the build job)</t>
        </is>
      </c>
      <c r="F1" s="4" t="inlineStr">
        <is>
          <t>Status (start)</t>
        </is>
      </c>
      <c r="G1" s="4" t="inlineStr">
        <is>
          <t>Status (you)</t>
        </is>
      </c>
      <c r="H1" s="4" t="inlineStr">
        <is>
          <t>Owner (you)</t>
        </is>
      </c>
      <c r="I1" s="4" t="inlineStr">
        <is>
          <t>Notes (you)</t>
        </is>
      </c>
    </row>
    <row r="2">
      <c r="A2" t="inlineStr">
        <is>
          <t>D-001</t>
        </is>
      </c>
      <c r="B2" t="inlineStr">
        <is>
          <t>UI</t>
        </is>
      </c>
      <c r="C2" t="inlineStr">
        <is>
          <t>yx-ui-merge</t>
        </is>
      </c>
      <c r="D2" t="inlineStr">
        <is>
          <t>2026-10-06</t>
        </is>
      </c>
      <c r="E2" s="5" t="inlineStr">
        <is>
          <t>Dead-button scan finds 1039 buttons with no action outside pay and auth (same count as the source); getting to 0 means wiring real actions across 10 modules, which I did not attempt</t>
        </is>
      </c>
      <c r="F2" t="inlineStr">
        <is>
          <t>Open (verify)</t>
        </is>
      </c>
      <c r="I2" s="5" t="n"/>
    </row>
    <row r="3">
      <c r="A3" t="inlineStr">
        <is>
          <t>D-002</t>
        </is>
      </c>
      <c r="B3" t="inlineStr">
        <is>
          <t>UI</t>
        </is>
      </c>
      <c r="C3" t="inlineStr">
        <is>
          <t>yx-ui-merge</t>
        </is>
      </c>
      <c r="D3" t="inlineStr">
        <is>
          <t>2026-10-06</t>
        </is>
      </c>
      <c r="E3" s="5" t="inlineStr">
        <is>
          <t>Screenshot and axe tests (test:visual, test:a11y) were added but not run; the baselines exist for Windows only, so Linux CI would need its own</t>
        </is>
      </c>
      <c r="F3" t="inlineStr">
        <is>
          <t>Open (verify)</t>
        </is>
      </c>
      <c r="I3" s="5" t="n"/>
    </row>
    <row r="4">
      <c r="A4" t="inlineStr">
        <is>
          <t>D-003</t>
        </is>
      </c>
      <c r="B4" t="inlineStr">
        <is>
          <t>UI</t>
        </is>
      </c>
      <c r="C4" t="inlineStr">
        <is>
          <t>yx-ui-merge</t>
        </is>
      </c>
      <c r="D4" t="inlineStr">
        <is>
          <t>2026-10-06</t>
        </is>
      </c>
      <c r="E4" s="5" t="inlineStr">
        <is>
          <t>Untracked docs/yukthix/GO-LIVE-CHECKLIST.md in the worktree is not from this task and was left alone</t>
        </is>
      </c>
      <c r="F4" t="inlineStr">
        <is>
          <t>Open (verify)</t>
        </is>
      </c>
      <c r="I4" s="5" t="n"/>
    </row>
    <row r="5">
      <c r="A5" t="inlineStr">
        <is>
          <t>D-004</t>
        </is>
      </c>
      <c r="B5" t="inlineStr">
        <is>
          <t>UI</t>
        </is>
      </c>
      <c r="C5" t="inlineStr">
        <is>
          <t>yx-ui-merge</t>
        </is>
      </c>
      <c r="D5" t="inlineStr">
        <is>
          <t>2026-10-06</t>
        </is>
      </c>
      <c r="E5" s="5" t="inlineStr">
        <is>
          <t>Not pushed</t>
        </is>
      </c>
      <c r="F5" t="inlineStr">
        <is>
          <t>Open (verify)</t>
        </is>
      </c>
      <c r="I5" s="5" t="n"/>
    </row>
    <row r="6">
      <c r="A6" t="inlineStr">
        <is>
          <t>D-005</t>
        </is>
      </c>
      <c r="B6" t="inlineStr">
        <is>
          <t>0</t>
        </is>
      </c>
      <c r="C6" t="inlineStr">
        <is>
          <t>step0-e2e</t>
        </is>
      </c>
      <c r="D6" t="inlineStr">
        <is>
          <t>2026-10-05</t>
        </is>
      </c>
      <c r="E6" s="5" t="inlineStr">
        <is>
          <t>Recruiter live leaderboard can stay stale (left as is, product decision needed): the push after each answer reads the deliberate 15 s shared cache (ADO #6828). If the last answers of an exam land within 15 s of the previous computation, the recruiter's board stays stale until they rejoin, because the 15 s roster tick does not re-send the leaderboard. A cheap fix is to also emit leaderboard:update from tickRoster. I did not change it because the cache is a deliberate performance trade-off.</t>
        </is>
      </c>
      <c r="F6" t="inlineStr">
        <is>
          <t>Open (verify)</t>
        </is>
      </c>
      <c r="I6" s="5" t="n"/>
    </row>
    <row r="7">
      <c r="A7" t="inlineStr">
        <is>
          <t>D-006</t>
        </is>
      </c>
      <c r="B7" t="inlineStr">
        <is>
          <t>0</t>
        </is>
      </c>
      <c r="C7" t="inlineStr">
        <is>
          <t>step0-e2e</t>
        </is>
      </c>
      <c r="D7" t="inlineStr">
        <is>
          <t>2026-10-05</t>
        </is>
      </c>
      <c r="E7" s="5" t="inlineStr">
        <is>
          <t>e2e now runs in a single Jest worker (maxWorkers 1). Every booted app runs real BullMQ workers on one shared Redis, so parallel workers stole each other's jobs. Running suites in parallel would need per-worker queue prefixes.</t>
        </is>
      </c>
      <c r="F7" t="inlineStr">
        <is>
          <t>Open (verify)</t>
        </is>
      </c>
      <c r="I7" s="5" t="n"/>
    </row>
    <row r="8">
      <c r="A8" t="inlineStr">
        <is>
          <t>D-007</t>
        </is>
      </c>
      <c r="B8" t="inlineStr">
        <is>
          <t>0</t>
        </is>
      </c>
      <c r="C8" t="inlineStr">
        <is>
          <t>step0-e2e</t>
        </is>
      </c>
      <c r="D8" t="inlineStr">
        <is>
          <t>2026-10-05</t>
        </is>
      </c>
      <c r="E8" s="5" t="inlineStr">
        <is>
          <t>exam-runtime e2e still prints Jest's 'did not exit one second after the test run' warning, though the run exits by itself in about 28 s. I did not trace which timer causes it.</t>
        </is>
      </c>
      <c r="F8" t="inlineStr">
        <is>
          <t>Open (verify)</t>
        </is>
      </c>
      <c r="I8" s="5" t="n"/>
    </row>
    <row r="9">
      <c r="A9" t="inlineStr">
        <is>
          <t>D-008</t>
        </is>
      </c>
      <c r="B9" t="inlineStr">
        <is>
          <t>0</t>
        </is>
      </c>
      <c r="C9" t="inlineStr">
        <is>
          <t>step0-e2e</t>
        </is>
      </c>
      <c r="D9" t="inlineStr">
        <is>
          <t>2026-10-05</t>
        </is>
      </c>
      <c r="E9" s="5" t="inlineStr">
        <is>
          <t>Fire-and-forget analyses (for example insight generation) can still log an error after a suite's cleanup deletes the exam. It is log noise only and does not fail tests.</t>
        </is>
      </c>
      <c r="F9" t="inlineStr">
        <is>
          <t>Open (verify)</t>
        </is>
      </c>
      <c r="I9" s="5" t="n"/>
    </row>
    <row r="10">
      <c r="A10" t="inlineStr">
        <is>
          <t>D-009</t>
        </is>
      </c>
      <c r="B10" t="inlineStr">
        <is>
          <t>0</t>
        </is>
      </c>
      <c r="C10" t="inlineStr">
        <is>
          <t>step0-e2e</t>
        </is>
      </c>
      <c r="D10" t="inlineStr">
        <is>
          <t>2026-10-05</t>
        </is>
      </c>
      <c r="E10" s="5" t="inlineStr">
        <is>
          <t>Delete the dead /uploads static file server (see security issues).</t>
        </is>
      </c>
      <c r="F10" t="inlineStr">
        <is>
          <t>Open (verify)</t>
        </is>
      </c>
      <c r="I10" s="5" t="n"/>
    </row>
    <row r="11">
      <c r="A11" t="inlineStr">
        <is>
          <t>D-010</t>
        </is>
      </c>
      <c r="B11" t="inlineStr">
        <is>
          <t>0</t>
        </is>
      </c>
      <c r="C11" t="inlineStr">
        <is>
          <t>step0-postgres</t>
        </is>
      </c>
      <c r="D11" t="inlineStr">
        <is>
          <t>2026-10-05</t>
        </is>
      </c>
      <c r="E11" s="5" t="inlineStr">
        <is>
          <t>21 api e2e suites (42 tests) and 1 exam-runtime e2e suite (2 tests) still fail. I left them because the code shows deliberate app changes the tests were never updated for, and rewriting the assertions would bake in product decisions without your input. Not individually traced: the AI evaluation insight cases, the webhook result left at pending, proctoring analysis stuck at processing (timeouts), the audit-log response-shape case, and the branding public-by-slug assertion. The evidence I found for the rest is:</t>
        </is>
      </c>
      <c r="F11" t="inlineStr">
        <is>
          <t>Open (verify)</t>
        </is>
      </c>
      <c r="I11" s="5" t="n"/>
    </row>
    <row r="12">
      <c r="A12" t="inlineStr">
        <is>
          <t>D-011</t>
        </is>
      </c>
      <c r="B12" t="inlineStr">
        <is>
          <t>0</t>
        </is>
      </c>
      <c r="C12" t="inlineStr">
        <is>
          <t>step0-postgres</t>
        </is>
      </c>
      <c r="D12" t="inlineStr">
        <is>
          <t>2026-10-05</t>
        </is>
      </c>
      <c r="E12" s="5" t="inlineStr">
        <is>
          <t>Roles now have permissions the tests expect to be denied (expected 403, got 200/201 in question-bank, exam-builder, candidates, ai-jobs, exam-reporting, session-enforcement and ai-insight).</t>
        </is>
      </c>
      <c r="F12" t="inlineStr">
        <is>
          <t>Open (verify)</t>
        </is>
      </c>
      <c r="I12" s="5" t="n"/>
    </row>
    <row r="13">
      <c r="A13" t="inlineStr">
        <is>
          <t>D-012</t>
        </is>
      </c>
      <c r="B13" t="inlineStr">
        <is>
          <t>0</t>
        </is>
      </c>
      <c r="C13" t="inlineStr">
        <is>
          <t>step0-postgres</t>
        </is>
      </c>
      <c r="D13" t="inlineStr">
        <is>
          <t>2026-10-05</t>
        </is>
      </c>
      <c r="E13" s="5" t="inlineStr">
        <is>
          <t>API responses changed shape: dashboard now requires ?window=, audit logs return {data}, and branding, compare and preview return extra fields.</t>
        </is>
      </c>
      <c r="F13" t="inlineStr">
        <is>
          <t>Open (verify)</t>
        </is>
      </c>
      <c r="I13" s="5" t="n"/>
    </row>
    <row r="14">
      <c r="A14" t="inlineStr">
        <is>
          <t>D-013</t>
        </is>
      </c>
      <c r="B14" t="inlineStr">
        <is>
          <t>0</t>
        </is>
      </c>
      <c r="C14" t="inlineStr">
        <is>
          <t>step0-postgres</t>
        </is>
      </c>
      <c r="D14" t="inlineStr">
        <is>
          <t>2026-10-05</t>
        </is>
      </c>
      <c r="E14" s="5" t="inlineStr">
        <is>
          <t>Behaviour changed on purpose: recruiter unblock resets the webcam strike count (test expects 3), published exams can no longer be edited (409 in exam-scheduling), and the leaderboard is cached for 15 seconds.</t>
        </is>
      </c>
      <c r="F14" t="inlineStr">
        <is>
          <t>Open (verify)</t>
        </is>
      </c>
      <c r="I14" s="5" t="n"/>
    </row>
    <row r="15">
      <c r="A15" t="inlineStr">
        <is>
          <t>D-014</t>
        </is>
      </c>
      <c r="B15" t="inlineStr">
        <is>
          <t>0</t>
        </is>
      </c>
      <c r="C15" t="inlineStr">
        <is>
          <t>step0-postgres</t>
        </is>
      </c>
      <c r="D15" t="inlineStr">
        <is>
          <t>2026-10-05</t>
        </is>
      </c>
      <c r="E15" s="5" t="inlineStr">
        <is>
          <t>The code-question request field codeLanguage no longer exists, so code-question creation returns 400 (exam-code-grading, ai-code-review, integrity).</t>
        </is>
      </c>
      <c r="F15" t="inlineStr">
        <is>
          <t>Open (verify)</t>
        </is>
      </c>
      <c r="I15" s="5" t="n"/>
    </row>
    <row r="16">
      <c r="A16" t="inlineStr">
        <is>
          <t>D-015</t>
        </is>
      </c>
      <c r="B16" t="inlineStr">
        <is>
          <t>0</t>
        </is>
      </c>
      <c r="C16" t="inlineStr">
        <is>
          <t>step0-postgres</t>
        </is>
      </c>
      <c r="D16" t="inlineStr">
        <is>
          <t>2026-10-05</t>
        </is>
      </c>
      <c r="E16" s="5" t="inlineStr">
        <is>
          <t>Missing local config: Azure Blob Storage (logo and image uploads return 500), no AI provider configured (AI question generation returns 400), an invalid Anthropic key, and no SMTP server.</t>
        </is>
      </c>
      <c r="F16" t="inlineStr">
        <is>
          <t>Open (verify)</t>
        </is>
      </c>
      <c r="I16" s="5" t="n"/>
    </row>
    <row r="17">
      <c r="A17" t="inlineStr">
        <is>
          <t>D-016</t>
        </is>
      </c>
      <c r="B17" t="inlineStr">
        <is>
          <t>0</t>
        </is>
      </c>
      <c r="C17" t="inlineStr">
        <is>
          <t>step0-postgres</t>
        </is>
      </c>
      <c r="D17" t="inlineStr">
        <is>
          <t>2026-10-05</t>
        </is>
      </c>
      <c r="E17" s="5" t="inlineStr">
        <is>
          <t>The exam-taking 403 is the proctoring-minutes quota: the test plan's limit is 1 minute and that org had already used 120. It is the same rule as before.</t>
        </is>
      </c>
      <c r="F17" t="inlineStr">
        <is>
          <t>Open (verify)</t>
        </is>
      </c>
      <c r="I17" s="5" t="n"/>
    </row>
    <row r="18">
      <c r="A18" t="inlineStr">
        <is>
          <t>D-017</t>
        </is>
      </c>
      <c r="B18" t="inlineStr">
        <is>
          <t>0</t>
        </is>
      </c>
      <c r="C18" t="inlineStr">
        <is>
          <t>step0-postgres</t>
        </is>
      </c>
      <c r="D18" t="inlineStr">
        <is>
          <t>2026-10-05</t>
        </is>
      </c>
      <c r="E18" s="5" t="inlineStr">
        <is>
          <t>No before/after comparison against SQL Server: pulling the mssql image needs your OK. If you want true 'before' counts, approve the pull and I'll run the same suites on origin/main.</t>
        </is>
      </c>
      <c r="F18" t="inlineStr">
        <is>
          <t>Open (verify)</t>
        </is>
      </c>
      <c r="I18" s="5" t="n"/>
    </row>
    <row r="19">
      <c r="A19" t="inlineStr">
        <is>
          <t>D-018</t>
        </is>
      </c>
      <c r="B19" t="inlineStr">
        <is>
          <t>0</t>
        </is>
      </c>
      <c r="C19" t="inlineStr">
        <is>
          <t>step0-postgres</t>
        </is>
      </c>
      <c r="D19" t="inlineStr">
        <is>
          <t>2026-10-05</t>
        </is>
      </c>
      <c r="E19" s="5" t="inlineStr">
        <is>
          <t>Small case-sensitivity gaps remain: tag names, permission keys and similar unique columns used to be case-insensitive on SQL Server and now are not. Only emails and org slugs were made case-insensitive.</t>
        </is>
      </c>
      <c r="F19" t="inlineStr">
        <is>
          <t>Open (verify)</t>
        </is>
      </c>
      <c r="I19" s="5" t="n"/>
    </row>
    <row r="20">
      <c r="A20" t="inlineStr">
        <is>
          <t>D-019</t>
        </is>
      </c>
      <c r="B20" t="inlineStr">
        <is>
          <t>0</t>
        </is>
      </c>
      <c r="C20" t="inlineStr">
        <is>
          <t>step0-postgres</t>
        </is>
      </c>
      <c r="D20" t="inlineStr">
        <is>
          <t>2026-10-05</t>
        </is>
      </c>
      <c r="E20" s="5" t="inlineStr">
        <is>
          <t>Moving existing production data from SQL Server to PostgreSQL (export, load, cutover) is not covered. The README deploy notes cover a fresh PostgreSQL database only.</t>
        </is>
      </c>
      <c r="F20" t="inlineStr">
        <is>
          <t>Open (verify)</t>
        </is>
      </c>
      <c r="I20" s="5" t="n"/>
    </row>
    <row r="21">
      <c r="A21" t="inlineStr">
        <is>
          <t>D-020</t>
        </is>
      </c>
      <c r="B21" t="inlineStr">
        <is>
          <t>0</t>
        </is>
      </c>
      <c r="C21" t="inlineStr">
        <is>
          <t>step0-postgres</t>
        </is>
      </c>
      <c r="D21" t="inlineStr">
        <is>
          <t>2026-10-05</t>
        </is>
      </c>
      <c r="E21" s="5" t="inlineStr">
        <is>
          <t>Production needs the three database roles (owner, app login, and the app_runtime group) created by a DBA before the first prisma migrate deploy; the README describes this.</t>
        </is>
      </c>
      <c r="F21" t="inlineStr">
        <is>
          <t>Open (verify)</t>
        </is>
      </c>
      <c r="I21" s="5" t="n"/>
    </row>
    <row r="22">
      <c r="A22" t="inlineStr">
        <is>
          <t>D-021</t>
        </is>
      </c>
      <c r="B22" t="inlineStr">
        <is>
          <t>2</t>
        </is>
      </c>
      <c r="C22" t="inlineStr">
        <is>
          <t>org:2a-structure</t>
        </is>
      </c>
      <c r="D22" t="inlineStr">
        <is>
          <t>2026-10-06</t>
        </is>
      </c>
      <c r="E22" s="5" t="inlineStr">
        <is>
          <t>head_employee_id on departments not added: there is no employees table until part 2b.</t>
        </is>
      </c>
      <c r="F22" t="inlineStr">
        <is>
          <t>Open (verify)</t>
        </is>
      </c>
      <c r="I22" s="5" t="n"/>
    </row>
    <row r="23">
      <c r="A23" t="inlineStr">
        <is>
          <t>D-022</t>
        </is>
      </c>
      <c r="B23" t="inlineStr">
        <is>
          <t>2</t>
        </is>
      </c>
      <c r="C23" t="inlineStr">
        <is>
          <t>org:2a-structure</t>
        </is>
      </c>
      <c r="D23" t="inlineStr">
        <is>
          <t>2026-10-06</t>
        </is>
      </c>
      <c r="E23" s="5" t="inlineStr">
        <is>
          <t>Location holiday_calendar_id and weekly_off_rule_id not added: they belong to M02 (wave 4), which has no tables yet.</t>
        </is>
      </c>
      <c r="F23" t="inlineStr">
        <is>
          <t>Open (verify)</t>
        </is>
      </c>
      <c r="I23" s="5" t="n"/>
    </row>
    <row r="24">
      <c r="A24" t="inlineStr">
        <is>
          <t>D-023</t>
        </is>
      </c>
      <c r="B24" t="inlineStr">
        <is>
          <t>2</t>
        </is>
      </c>
      <c r="C24" t="inlineStr">
        <is>
          <t>org:2a-structure</t>
        </is>
      </c>
      <c r="D24" t="inlineStr">
        <is>
          <t>2026-10-06</t>
        </is>
      </c>
      <c r="E24" s="5" t="inlineStr">
        <is>
          <t>Statutory default matrix per employment-type category (YX-ORG-20) not built: it needs the P07 statutory rules-as-data packs. Only the category is stored.</t>
        </is>
      </c>
      <c r="F24" t="inlineStr">
        <is>
          <t>Open (verify)</t>
        </is>
      </c>
      <c r="I24" s="5" t="n"/>
    </row>
    <row r="25">
      <c r="A25" t="inlineStr">
        <is>
          <t>D-024</t>
        </is>
      </c>
      <c r="B25" t="inlineStr">
        <is>
          <t>2</t>
        </is>
      </c>
      <c r="C25" t="inlineStr">
        <is>
          <t>org:2a-structure</t>
        </is>
      </c>
      <c r="D25" t="inlineStr">
        <is>
          <t>2026-10-06</t>
        </is>
      </c>
      <c r="E25" s="5" t="inlineStr">
        <is>
          <t>Positions not built: M01 puts them in wave 5.</t>
        </is>
      </c>
      <c r="F25" t="inlineStr">
        <is>
          <t>Open (verify)</t>
        </is>
      </c>
      <c r="I25" s="5" t="n"/>
    </row>
    <row r="26">
      <c r="A26" t="inlineStr">
        <is>
          <t>D-025</t>
        </is>
      </c>
      <c r="B26" t="inlineStr">
        <is>
          <t>2</t>
        </is>
      </c>
      <c r="C26" t="inlineStr">
        <is>
          <t>org:2a-structure</t>
        </is>
      </c>
      <c r="D26" t="inlineStr">
        <is>
          <t>2026-10-06</t>
        </is>
      </c>
      <c r="E26" s="5" t="inlineStr">
        <is>
          <t>statutory_registrations (PF/ESIC/PT/LWF numbers) not built: P01 places them in M03/P07.</t>
        </is>
      </c>
      <c r="F26" t="inlineStr">
        <is>
          <t>Open (verify)</t>
        </is>
      </c>
      <c r="I26" s="5" t="n"/>
    </row>
    <row r="27">
      <c r="A27" t="inlineStr">
        <is>
          <t>D-026</t>
        </is>
      </c>
      <c r="B27" t="inlineStr">
        <is>
          <t>2</t>
        </is>
      </c>
      <c r="C27" t="inlineStr">
        <is>
          <t>org:2a-structure</t>
        </is>
      </c>
      <c r="D27" t="inlineStr">
        <is>
          <t>2026-10-06</t>
        </is>
      </c>
      <c r="E27" s="5" t="inlineStr">
        <is>
          <t>Pay-group and employee setting scopes are in the resolution order but cannot be set yet: their tables come with M03 and part 2b.</t>
        </is>
      </c>
      <c r="F27" t="inlineStr">
        <is>
          <t>Open (verify)</t>
        </is>
      </c>
      <c r="I27" s="5" t="n"/>
    </row>
    <row r="28">
      <c r="A28" t="inlineStr">
        <is>
          <t>D-027</t>
        </is>
      </c>
      <c r="B28" t="inlineStr">
        <is>
          <t>2</t>
        </is>
      </c>
      <c r="C28" t="inlineStr">
        <is>
          <t>org:2a-structure</t>
        </is>
      </c>
      <c r="D28" t="inlineStr">
        <is>
          <t>2026-10-06</t>
        </is>
      </c>
      <c r="E28" s="5" t="inlineStr">
        <is>
          <t>Switching employee_code.scope to company-wide is not checked for duplicate codes (YX-ORG-16): employments don't exist until part 2b, so there are no codes to compare.</t>
        </is>
      </c>
      <c r="F28" t="inlineStr">
        <is>
          <t>Open (verify)</t>
        </is>
      </c>
      <c r="I28" s="5" t="n"/>
    </row>
    <row r="29">
      <c r="A29" t="inlineStr">
        <is>
          <t>D-028</t>
        </is>
      </c>
      <c r="B29" t="inlineStr">
        <is>
          <t>2</t>
        </is>
      </c>
      <c r="C29" t="inlineStr">
        <is>
          <t>org:2a-structure</t>
        </is>
      </c>
      <c r="D29" t="inlineStr">
        <is>
          <t>2026-10-06</t>
        </is>
      </c>
      <c r="E29" s="5" t="inlineStr">
        <is>
          <t>Correcting a pay range already in force or in the past (superseded rows, YX-HIS-12 retro tiers) is refused instead. The full correction flow comes with the P06 change engine in part 2b.</t>
        </is>
      </c>
      <c r="F29" t="inlineStr">
        <is>
          <t>Open (verify)</t>
        </is>
      </c>
      <c r="I29" s="5" t="n"/>
    </row>
    <row r="30">
      <c r="A30" t="inlineStr">
        <is>
          <t>D-029</t>
        </is>
      </c>
      <c r="B30" t="inlineStr">
        <is>
          <t>2</t>
        </is>
      </c>
      <c r="C30" t="inlineStr">
        <is>
          <t>org:2a-structure</t>
        </is>
      </c>
      <c r="D30" t="inlineStr">
        <is>
          <t>2026-10-06</t>
        </is>
      </c>
      <c r="E30" s="5" t="inlineStr">
        <is>
          <t>The org.master.changed event (P01 §7) is not emitted: there is no event bus yet. Every change is audited instead.</t>
        </is>
      </c>
      <c r="F30" t="inlineStr">
        <is>
          <t>Open (verify)</t>
        </is>
      </c>
      <c r="I30" s="5" t="n"/>
    </row>
    <row r="31">
      <c r="A31" t="inlineStr">
        <is>
          <t>D-030</t>
        </is>
      </c>
      <c r="B31" t="inlineStr">
        <is>
          <t>2</t>
        </is>
      </c>
      <c r="C31" t="inlineStr">
        <is>
          <t>org:2a-structure</t>
        </is>
      </c>
      <c r="D31" t="inlineStr">
        <is>
          <t>2026-10-06</t>
        </is>
      </c>
      <c r="E31" s="5" t="inlineStr">
        <is>
          <t>Department and cost-centre parents are chosen from a dropdown list, not the tree view described in P01 §8.</t>
        </is>
      </c>
      <c r="F31" t="inlineStr">
        <is>
          <t>Open (verify)</t>
        </is>
      </c>
      <c r="I31" s="5" t="n"/>
    </row>
    <row r="32">
      <c r="A32" t="inlineStr">
        <is>
          <t>D-031</t>
        </is>
      </c>
      <c r="B32" t="inlineStr">
        <is>
          <t>2</t>
        </is>
      </c>
      <c r="C32" t="inlineStr">
        <is>
          <t>org:2a-structure</t>
        </is>
      </c>
      <c r="D32" t="inlineStr">
        <is>
          <t>2026-10-06</t>
        </is>
      </c>
      <c r="E32" s="5" t="inlineStr">
        <is>
          <t>Entity-specific values for scoped settings have no screen: only the two company-wide rules are shown on the Legal entities page. The API supports all scopes.</t>
        </is>
      </c>
      <c r="F32" t="inlineStr">
        <is>
          <t>Open (verify)</t>
        </is>
      </c>
      <c r="I32" s="5" t="n"/>
    </row>
    <row r="33">
      <c r="A33" t="inlineStr">
        <is>
          <t>D-032</t>
        </is>
      </c>
      <c r="B33" t="inlineStr">
        <is>
          <t>2</t>
        </is>
      </c>
      <c r="C33" t="inlineStr">
        <is>
          <t>org:2a-structure</t>
        </is>
      </c>
      <c r="D33" t="inlineStr">
        <is>
          <t>2026-10-06</t>
        </is>
      </c>
      <c r="E33" s="5" t="inlineStr">
        <is>
          <t>Not seen live in a browser: I did not sign in to /yx (no user-typed request to enter credentials), and Storybook screenshots timed out. The API was checked with curl and the screens' text in Storybook.</t>
        </is>
      </c>
      <c r="F33" t="inlineStr">
        <is>
          <t>Open (verify)</t>
        </is>
      </c>
      <c r="I33" s="5" t="n"/>
    </row>
    <row r="34">
      <c r="A34" t="inlineStr">
        <is>
          <t>D-033</t>
        </is>
      </c>
      <c r="B34" t="inlineStr">
        <is>
          <t>2</t>
        </is>
      </c>
      <c r="C34" t="inlineStr">
        <is>
          <t>org:2b-effective-dating</t>
        </is>
      </c>
      <c r="D34" t="inlineStr">
        <is>
          <t>2026-10-06</t>
        </is>
      </c>
      <c r="E34" s="5" t="inlineStr">
        <is>
          <t>P03 workflow engine: approval is one checker with employee.change.approve (different from the requester and the subject). There is no approval routing, approval_request_id link, manager-raised requests or approver notifications (cancellations are audited only); these land with P03 and P04.</t>
        </is>
      </c>
      <c r="F34" t="inlineStr">
        <is>
          <t>Open (verify)</t>
        </is>
      </c>
      <c r="I34" s="5" t="n"/>
    </row>
    <row r="35">
      <c r="A35" t="inlineStr">
        <is>
          <t>D-034</t>
        </is>
      </c>
      <c r="B35" t="inlineStr">
        <is>
          <t>2</t>
        </is>
      </c>
      <c r="C35" t="inlineStr">
        <is>
          <t>org:2b-effective-dating</t>
        </is>
      </c>
      <c r="D35" t="inlineStr">
        <is>
          <t>2026-10-06</t>
        </is>
      </c>
      <c r="E35" s="5" t="inlineStr">
        <is>
          <t>YX-HIS-12 tier 2 (correction into processed payroll with a Payroll Admin step), YX-HIS-08/09 (payslip snapshots) and YX-HIS-13 (mid-period policy) need payroll (step 5). The segments() API and the retro months on each change are ready for it.</t>
        </is>
      </c>
      <c r="F35" t="inlineStr">
        <is>
          <t>Open (verify)</t>
        </is>
      </c>
      <c r="I35" s="5" t="n"/>
    </row>
    <row r="36">
      <c r="A36" t="inlineStr">
        <is>
          <t>D-035</t>
        </is>
      </c>
      <c r="B36" t="inlineStr">
        <is>
          <t>2</t>
        </is>
      </c>
      <c r="C36" t="inlineStr">
        <is>
          <t>org:2b-effective-dating</t>
        </is>
      </c>
      <c r="D36" t="inlineStr">
        <is>
          <t>2026-10-06</t>
        </is>
      </c>
      <c r="E36" s="5" t="inlineStr">
        <is>
          <t>The employee.change.effective event is written as an audit entry only: there is no event bus or outbox yet. P02 implicit-grant recompute and syncing User.managerId from the assignment are not done.</t>
        </is>
      </c>
      <c r="F36" t="inlineStr">
        <is>
          <t>Open (verify)</t>
        </is>
      </c>
      <c r="I36" s="5" t="n"/>
    </row>
    <row r="37">
      <c r="A37" t="inlineStr">
        <is>
          <t>D-036</t>
        </is>
      </c>
      <c r="B37" t="inlineStr">
        <is>
          <t>2</t>
        </is>
      </c>
      <c r="C37" t="inlineStr">
        <is>
          <t>org:2b-effective-dating</t>
        </is>
      </c>
      <c r="D37" t="inlineStr">
        <is>
          <t>2026-10-06</t>
        </is>
      </c>
      <c r="E37" s="5" t="inlineStr">
        <is>
          <t>Dated facts not yet built: P06 §4.1 lists bank account, tax regime, statutory flags, shift, leave policy, legal name, absence, gender / marital status and contract end; they belong to later modules. The P06 §5 `rebased_from_change_id` column is not used: later changes are recalculated in place and the impact lists them.</t>
        </is>
      </c>
      <c r="F37" t="inlineStr">
        <is>
          <t>Open (verify)</t>
        </is>
      </c>
      <c r="I37" s="5" t="n"/>
    </row>
    <row r="38">
      <c r="A38" t="inlineStr">
        <is>
          <t>D-037</t>
        </is>
      </c>
      <c r="B38" t="inlineStr">
        <is>
          <t>2</t>
        </is>
      </c>
      <c r="C38" t="inlineStr">
        <is>
          <t>org:2b-effective-dating</t>
        </is>
      </c>
      <c r="D38" t="inlineStr">
        <is>
          <t>2026-10-06</t>
        </is>
      </c>
      <c r="E38" s="5" t="inlineStr">
        <is>
          <t>Inter-entity transfer (YX-ORG-11/17), exit, rehire and host postings are left out: they need the transfer policies and wave-4 offboarding. Cost-centre splits are supported by the API, but the change form offers a single cost centre at 100 %.</t>
        </is>
      </c>
      <c r="F38" t="inlineStr">
        <is>
          <t>Open (verify)</t>
        </is>
      </c>
      <c r="I38" s="5" t="n"/>
    </row>
    <row r="39">
      <c r="A39" t="inlineStr">
        <is>
          <t>D-038</t>
        </is>
      </c>
      <c r="B39" t="inlineStr">
        <is>
          <t>2</t>
        </is>
      </c>
      <c r="C39" t="inlineStr">
        <is>
          <t>org:2b-effective-dating</t>
        </is>
      </c>
      <c r="D39" t="inlineStr">
        <is>
          <t>2026-10-06</t>
        </is>
      </c>
      <c r="E39" s="5" t="inlineStr">
        <is>
          <t>The employee record is minimal (given, family and preferred name, work email, login link). Persons and person roles (J15), identifiers, the directory and the full record (M01 §3.1, step 2c) are not built. There are no SQL `*_current` views or `*_as_of` functions; the typed service is the reader.</t>
        </is>
      </c>
      <c r="F39" t="inlineStr">
        <is>
          <t>Open (verify)</t>
        </is>
      </c>
      <c r="I39" s="5" t="n"/>
    </row>
    <row r="40">
      <c r="A40" t="inlineStr">
        <is>
          <t>D-039</t>
        </is>
      </c>
      <c r="B40" t="inlineStr">
        <is>
          <t>2</t>
        </is>
      </c>
      <c r="C40" t="inlineStr">
        <is>
          <t>org:2b-effective-dating</t>
        </is>
      </c>
      <c r="D40" t="inlineStr">
        <is>
          <t>2026-10-06</t>
        </is>
      </c>
      <c r="E40" s="5" t="inlineStr">
        <is>
          <t>The UI computes the retro-limit hint from April (India default), not from the company setting or the entity's financial-year month; the API enforces the real limit. Screens were not rendered in a browser or Storybook for screenshots; they are checked by vitest and web jest tests only. The impact preview covers location (state and time zone), department, designation, grade, employment type, manager, cost centres, status and pay; holiday calendar, leave policy and shift effects wait for those modules.</t>
        </is>
      </c>
      <c r="F40" t="inlineStr">
        <is>
          <t>Open (verify)</t>
        </is>
      </c>
      <c r="I40" s="5" t="n"/>
    </row>
    <row r="41">
      <c r="A41" t="inlineStr">
        <is>
          <t>D-040</t>
        </is>
      </c>
      <c r="B41" t="inlineStr">
        <is>
          <t>1</t>
        </is>
      </c>
      <c r="C41" t="inlineStr">
        <is>
          <t>lockout-policy</t>
        </is>
      </c>
      <c r="D41" t="inlineStr">
        <is>
          <t>2026-10-06</t>
        </is>
      </c>
      <c r="E41" s="5" t="inlineStr">
        <is>
          <t>The 'unsuccessful' login-activity filter still counts one-time-code sends (code_sent), so the 'failed in the last 24 hours' figure includes them. This was already the case and is not changed here.</t>
        </is>
      </c>
      <c r="F41" t="inlineStr">
        <is>
          <t>Open (verify)</t>
        </is>
      </c>
      <c r="I41" s="5" t="n"/>
    </row>
    <row r="42">
      <c r="A42" t="inlineStr">
        <is>
          <t>D-041</t>
        </is>
      </c>
      <c r="B42" t="inlineStr">
        <is>
          <t>1</t>
        </is>
      </c>
      <c r="C42" t="inlineStr">
        <is>
          <t>lockout-policy</t>
        </is>
      </c>
      <c r="D42" t="inlineStr">
        <is>
          <t>2026-10-06</t>
        </is>
      </c>
      <c r="E42" s="5" t="inlineStr">
        <is>
          <t>Older fields on the Security page still say 'Minimum allowed'; only the new lockout fields say 'YukthiX minimum'.</t>
        </is>
      </c>
      <c r="F42" t="inlineStr">
        <is>
          <t>Open (verify)</t>
        </is>
      </c>
      <c r="I42" s="5" t="n"/>
    </row>
    <row r="43">
      <c r="A43" t="inlineStr">
        <is>
          <t>D-042</t>
        </is>
      </c>
      <c r="B43" t="inlineStr">
        <is>
          <t>1</t>
        </is>
      </c>
      <c r="C43" t="inlineStr">
        <is>
          <t>lockout-policy</t>
        </is>
      </c>
      <c r="D43" t="inlineStr">
        <is>
          <t>2026-10-06</t>
        </is>
      </c>
      <c r="E43" s="5" t="inlineStr">
        <is>
          <t>The full API e2e run was not repeated after the last two small fixes; only the 7 sign-in suites were re-run.</t>
        </is>
      </c>
      <c r="F43" t="inlineStr">
        <is>
          <t>Open (verify)</t>
        </is>
      </c>
      <c r="I43" s="5" t="n"/>
    </row>
    <row r="44">
      <c r="A44" t="inlineStr">
        <is>
          <t>D-043</t>
        </is>
      </c>
      <c r="B44" t="inlineStr">
        <is>
          <t>1</t>
        </is>
      </c>
      <c r="C44" t="inlineStr">
        <is>
          <t>lockout-policy</t>
        </is>
      </c>
      <c r="D44" t="inlineStr">
        <is>
          <t>2026-10-06</t>
        </is>
      </c>
      <c r="E44" s="5" t="inlineStr">
        <is>
          <t>Jest e2e reports open handles at exit, so the suite was run with --forceExit (this was already the case).</t>
        </is>
      </c>
      <c r="F44" t="inlineStr">
        <is>
          <t>Open (verify)</t>
        </is>
      </c>
      <c r="I44" s="5" t="n"/>
    </row>
    <row r="45">
      <c r="A45" t="inlineStr">
        <is>
          <t>D-044</t>
        </is>
      </c>
      <c r="B45" t="inlineStr">
        <is>
          <t>1</t>
        </is>
      </c>
      <c r="C45" t="inlineStr">
        <is>
          <t>login-no-code</t>
        </is>
      </c>
      <c r="D45" t="inlineStr">
        <is>
          <t>2026-10-06</t>
        </is>
      </c>
      <c r="E45" s="5" t="inlineStr">
        <is>
          <t>"Signed" selection token: it is a random 256-bit token with its state kept server-side in Redis, deleted on first use, tied to the device and expiring after 2 minutes — the same pattern as the existing MFA pending token. It is not a signature-carrying token like a JWT; I judged it at least as strong because it can't be forged, replayed or reused after deletion. Say if a literal signed token is required.</t>
        </is>
      </c>
      <c r="F45" t="inlineStr">
        <is>
          <t>Open (verify)</t>
        </is>
      </c>
      <c r="I45" s="5" t="n"/>
    </row>
    <row r="46">
      <c r="A46" t="inlineStr">
        <is>
          <t>D-045</t>
        </is>
      </c>
      <c r="B46" t="inlineStr">
        <is>
          <t>1</t>
        </is>
      </c>
      <c r="C46" t="inlineStr">
        <is>
          <t>login-no-code</t>
        </is>
      </c>
      <c r="D46" t="inlineStr">
        <is>
          <t>2026-10-06</t>
        </is>
      </c>
      <c r="E46" s="5" t="inlineStr">
        <is>
          <t>Equal work across 1 vs many matching accounts: the password checks run in parallel (at most 10), so response time barely changes, but it is not padded to a fixed number of checks. This is marked with a ponytail comment in the code. 0 vs 1 account costs the same, because of the dummy check.</t>
        </is>
      </c>
      <c r="F46" t="inlineStr">
        <is>
          <t>Open (verify)</t>
        </is>
      </c>
      <c r="I46" s="5" t="n"/>
    </row>
    <row r="47">
      <c r="A47" t="inlineStr">
        <is>
          <t>D-046</t>
        </is>
      </c>
      <c r="B47" t="inlineStr">
        <is>
          <t>1</t>
        </is>
      </c>
      <c r="C47" t="inlineStr">
        <is>
          <t>login-no-code</t>
        </is>
      </c>
      <c r="D47" t="inlineStr">
        <is>
          <t>2026-10-06</t>
        </is>
      </c>
      <c r="E47" s="5" t="inlineStr">
        <is>
          <t>A domain is never re-checked after it is verified; a lapsed domain keeps routing until it is taken off the company's providers.</t>
        </is>
      </c>
      <c r="F47" t="inlineStr">
        <is>
          <t>Open (verify)</t>
        </is>
      </c>
      <c r="I47" s="5" t="n"/>
    </row>
    <row r="48">
      <c r="A48" t="inlineStr">
        <is>
          <t>D-047</t>
        </is>
      </c>
      <c r="B48" t="inlineStr">
        <is>
          <t>1</t>
        </is>
      </c>
      <c r="C48" t="inlineStr">
        <is>
          <t>login-no-code</t>
        </is>
      </c>
      <c r="D48" t="inlineStr">
        <is>
          <t>2026-10-06</t>
        </is>
      </c>
      <c r="E48" s="5" t="inlineStr">
        <is>
          <t>The full identity-provider editor is still the v2 page (/v2/settings/sso). Only the domain status and the "Check record" button were added to the YukthiX Settings › Security screen.</t>
        </is>
      </c>
      <c r="F48" t="inlineStr">
        <is>
          <t>Open (verify)</t>
        </is>
      </c>
      <c r="I48" s="5" t="n"/>
    </row>
    <row r="49">
      <c r="A49" t="inlineStr">
        <is>
          <t>D-048</t>
        </is>
      </c>
      <c r="B49" t="inlineStr">
        <is>
          <t>1</t>
        </is>
      </c>
      <c r="C49" t="inlineStr">
        <is>
          <t>login-no-code</t>
        </is>
      </c>
      <c r="D49" t="inlineStr">
        <is>
          <t>2026-10-06</t>
        </is>
      </c>
      <c r="E49" s="5" t="inlineStr">
        <is>
          <t>When the company is known from the web address, an email whose domain one of that company's providers maps still goes straight to SSO without domain verification. This is the existing in-company behaviour of sso/start.</t>
        </is>
      </c>
      <c r="F49" t="inlineStr">
        <is>
          <t>Open (verify)</t>
        </is>
      </c>
      <c r="I49" s="5" t="n"/>
    </row>
    <row r="50">
      <c r="A50" t="inlineStr">
        <is>
          <t>D-049</t>
        </is>
      </c>
      <c r="B50" t="inlineStr">
        <is>
          <t>1</t>
        </is>
      </c>
      <c r="C50" t="inlineStr">
        <is>
          <t>login-no-code</t>
        </is>
      </c>
      <c r="D50" t="inlineStr">
        <is>
          <t>2026-10-06</t>
        </is>
      </c>
      <c r="E50" s="5" t="inlineStr">
        <is>
          <t>In email-first OTP with several matching accounts, the one code is sent through the first company's email sender or SMS account.</t>
        </is>
      </c>
      <c r="F50" t="inlineStr">
        <is>
          <t>Open (verify)</t>
        </is>
      </c>
      <c r="I50" s="5" t="n"/>
    </row>
    <row r="51">
      <c r="A51" t="inlineStr">
        <is>
          <t>D-050</t>
        </is>
      </c>
      <c r="B51" t="inlineStr">
        <is>
          <t>1</t>
        </is>
      </c>
      <c r="C51" t="inlineStr">
        <is>
          <t>login-no-code</t>
        </is>
      </c>
      <c r="D51" t="inlineStr">
        <is>
          <t>2026-10-06</t>
        </is>
      </c>
      <c r="E51" s="5" t="inlineStr">
        <is>
          <t>Platform staff (super admin) accounts are now one of the email-first candidates. If a staff account shares an email and password with a company account, the picker shows a "YukthiX" choice.</t>
        </is>
      </c>
      <c r="F51" t="inlineStr">
        <is>
          <t>Open (verify)</t>
        </is>
      </c>
      <c r="I51" s="5" t="n"/>
    </row>
    <row r="52">
      <c r="A52" t="inlineStr">
        <is>
          <t>D-051</t>
        </is>
      </c>
      <c r="B52" t="inlineStr">
        <is>
          <t>1</t>
        </is>
      </c>
      <c r="C52" t="inlineStr">
        <is>
          <t>sms-channel</t>
        </is>
      </c>
      <c r="D52" t="inlineStr">
        <is>
          <t>2026-10-06</t>
        </is>
      </c>
      <c r="E52" s="5" t="inlineStr">
        <is>
          <t>The example gateway configs, especially the delivery-report formats, are best-effort shapes from memory of each provider's API. Check each against the gateway's current API reference before going live; the README says so.</t>
        </is>
      </c>
      <c r="F52" t="inlineStr">
        <is>
          <t>Open (verify)</t>
        </is>
      </c>
      <c r="I52" s="5" t="n"/>
    </row>
    <row r="53">
      <c r="A53" t="inlineStr">
        <is>
          <t>D-052</t>
        </is>
      </c>
      <c r="B53" t="inlineStr">
        <is>
          <t>1</t>
        </is>
      </c>
      <c r="C53" t="inlineStr">
        <is>
          <t>sms-channel</t>
        </is>
      </c>
      <c r="D53" t="inlineStr">
        <is>
          <t>2026-10-06</t>
        </is>
      </c>
      <c r="E53" s="5" t="inlineStr">
        <is>
          <t>Twilio delivery reports are verified with the token in the callback URL, not with Twilio's own X-Twilio-Signature. Add native signature checking if wanted.</t>
        </is>
      </c>
      <c r="F53" t="inlineStr">
        <is>
          <t>Open (verify)</t>
        </is>
      </c>
      <c r="I53" s="5" t="n"/>
    </row>
    <row r="54">
      <c r="A54" t="inlineStr">
        <is>
          <t>D-053</t>
        </is>
      </c>
      <c r="B54" t="inlineStr">
        <is>
          <t>1</t>
        </is>
      </c>
      <c r="C54" t="inlineStr">
        <is>
          <t>sms-channel</t>
        </is>
      </c>
      <c r="D54" t="inlineStr">
        <is>
          <t>2026-10-06</t>
        </is>
      </c>
      <c r="E54" s="5" t="inlineStr">
        <is>
          <t>OTP sends run in-process, not on the engine's queue. The idempotency key is a random id per code issued; the full engine should pass (event, recipient, channel) through the same sendOtp.</t>
        </is>
      </c>
      <c r="F54" t="inlineStr">
        <is>
          <t>Open (verify)</t>
        </is>
      </c>
      <c r="I54" s="5" t="n"/>
    </row>
    <row r="55">
      <c r="A55" t="inlineStr">
        <is>
          <t>D-054</t>
        </is>
      </c>
      <c r="B55" t="inlineStr">
        <is>
          <t>1</t>
        </is>
      </c>
      <c r="C55" t="inlineStr">
        <is>
          <t>sms-channel</t>
        </is>
      </c>
      <c r="D55" t="inlineStr">
        <is>
          <t>2026-10-06</t>
        </is>
      </c>
      <c r="E55" s="5" t="inlineStr">
        <is>
          <t>There is no UI link to the example configs: I had no customer-facing docs URL to point to. Pass examplesHref once docs are hosted.</t>
        </is>
      </c>
      <c r="F55" t="inlineStr">
        <is>
          <t>Open (verify)</t>
        </is>
      </c>
      <c r="I55" s="5" t="n"/>
    </row>
    <row r="56">
      <c r="A56" t="inlineStr">
        <is>
          <t>D-055</t>
        </is>
      </c>
      <c r="B56" t="inlineStr">
        <is>
          <t>1</t>
        </is>
      </c>
      <c r="C56" t="inlineStr">
        <is>
          <t>sms-channel</t>
        </is>
      </c>
      <c r="D56" t="inlineStr">
        <is>
          <t>2026-10-06</t>
        </is>
      </c>
      <c r="E56" s="5" t="inlineStr">
        <is>
          <t>Only one template type ('otp') is stored per account (in a JSON column). The engine will add more types the same way.</t>
        </is>
      </c>
      <c r="F56" t="inlineStr">
        <is>
          <t>Open (verify)</t>
        </is>
      </c>
      <c r="I56" s="5" t="n"/>
    </row>
    <row r="57">
      <c r="A57" t="inlineStr">
        <is>
          <t>D-056</t>
        </is>
      </c>
      <c r="B57" t="inlineStr">
        <is>
          <t>1</t>
        </is>
      </c>
      <c r="C57" t="inlineStr">
        <is>
          <t>sms-channel</t>
        </is>
      </c>
      <c r="D57" t="inlineStr">
        <is>
          <t>2026-10-06</t>
        </is>
      </c>
      <c r="E57" s="5" t="inlineStr">
        <is>
          <t>The monthly cap counts messages, not billable parts (cost_units records parts). The month boundary is IST, not each company's time zone.</t>
        </is>
      </c>
      <c r="F57" t="inlineStr">
        <is>
          <t>Open (verify)</t>
        </is>
      </c>
      <c r="I57" s="5" t="n"/>
    </row>
    <row r="58">
      <c r="A58" t="inlineStr">
        <is>
          <t>D-057</t>
        </is>
      </c>
      <c r="B58" t="inlineStr">
        <is>
          <t>1</t>
        </is>
      </c>
      <c r="C58" t="inlineStr">
        <is>
          <t>sms-channel</t>
        </is>
      </c>
      <c r="D58" t="inlineStr">
        <is>
          <t>2026-10-06</t>
        </is>
      </c>
      <c r="E58" s="5" t="inlineStr">
        <is>
          <t>The SMS page sits in the existing Security shell's side nav as 'Text messages (SMS)'. A real Notifications section waits for the wider settings navigation.</t>
        </is>
      </c>
      <c r="F58" t="inlineStr">
        <is>
          <t>Open (verify)</t>
        </is>
      </c>
      <c r="I58" s="5" t="n"/>
    </row>
    <row r="59">
      <c r="A59" t="inlineStr">
        <is>
          <t>D-058</t>
        </is>
      </c>
      <c r="B59" t="inlineStr">
        <is>
          <t>1</t>
        </is>
      </c>
      <c r="C59" t="inlineStr">
        <is>
          <t>sms-channel</t>
        </is>
      </c>
      <c r="D59" t="inlineStr">
        <is>
          <t>2026-10-06</t>
        </is>
      </c>
      <c r="E59" s="5" t="inlineStr">
        <is>
          <t>On phone cards the delivery log shows a stray '·' separator next to the masked number. It comes from the shared DataTable card layout.</t>
        </is>
      </c>
      <c r="F59" t="inlineStr">
        <is>
          <t>Open (verify)</t>
        </is>
      </c>
      <c r="I59" s="5" t="n"/>
    </row>
    <row r="60">
      <c r="A60" t="inlineStr">
        <is>
          <t>D-059</t>
        </is>
      </c>
      <c r="B60" t="inlineStr">
        <is>
          <t>1</t>
        </is>
      </c>
      <c r="C60" t="inlineStr">
        <is>
          <t>login:1a-sessions</t>
        </is>
      </c>
      <c r="D60" t="inlineStr">
        <is>
          <t>2026-10-06</t>
        </is>
      </c>
      <c r="E60" s="5" t="inlineStr">
        <is>
          <t>Bot challenge on public login/OTP pages under attack (YX-IAM-07): needs a CAPTCHA/Turnstile provider decision and a frontend change; not in Part 1a's list.</t>
        </is>
      </c>
      <c r="F60" t="inlineStr">
        <is>
          <t>Open (verify)</t>
        </is>
      </c>
      <c r="I60" s="5" t="n"/>
    </row>
    <row r="61">
      <c r="A61" t="inlineStr">
        <is>
          <t>D-060</t>
        </is>
      </c>
      <c r="B61" t="inlineStr">
        <is>
          <t>1</t>
        </is>
      </c>
      <c r="C61" t="inlineStr">
        <is>
          <t>login:1a-sessions</t>
        </is>
      </c>
      <c r="D61" t="inlineStr">
        <is>
          <t>2026-10-06</t>
        </is>
      </c>
      <c r="E61" s="5" t="inlineStr">
        <is>
          <t>New-country login alerts and the sessions.geo column (YX-IAM-07): there is no geo-IP lookup in the codebase yet, so geo stays null as instructed. Only new-device alerts are sent.</t>
        </is>
      </c>
      <c r="F61" t="inlineStr">
        <is>
          <t>Open (verify)</t>
        </is>
      </c>
      <c r="I61" s="5" t="n"/>
    </row>
    <row r="62">
      <c r="A62" t="inlineStr">
        <is>
          <t>D-061</t>
        </is>
      </c>
      <c r="B62" t="inlineStr">
        <is>
          <t>1</t>
        </is>
      </c>
      <c r="C62" t="inlineStr">
        <is>
          <t>login:1a-sessions</t>
        </is>
      </c>
      <c r="D62" t="inlineStr">
        <is>
          <t>2026-10-06</t>
        </is>
      </c>
      <c r="E62" s="5" t="inlineStr">
        <is>
          <t>Per-tenant stricter session limits: limits are process-wide (env, clamped to the floor) until tenant_security_policies exists. Each session stores its own idle_timeout_seconds so a tenant policy can plug in later.</t>
        </is>
      </c>
      <c r="F62" t="inlineStr">
        <is>
          <t>Open (verify)</t>
        </is>
      </c>
      <c r="I62" s="5" t="n"/>
    </row>
    <row r="63">
      <c r="A63" t="inlineStr">
        <is>
          <t>D-062</t>
        </is>
      </c>
      <c r="B63" t="inlineStr">
        <is>
          <t>1</t>
        </is>
      </c>
      <c r="C63" t="inlineStr">
        <is>
          <t>login:1a-sessions</t>
        </is>
      </c>
      <c r="D63" t="inlineStr">
        <is>
          <t>2026-10-06</t>
        </is>
      </c>
      <c r="E63" s="5" t="inlineStr">
        <is>
          <t>Mobile 30-day sessions (M04 Q8): all staff sessions use the desk floor for now. A device-type distinction comes with the mobile/device-registration work.</t>
        </is>
      </c>
      <c r="F63" t="inlineStr">
        <is>
          <t>Open (verify)</t>
        </is>
      </c>
      <c r="I63" s="5" t="n"/>
    </row>
    <row r="64">
      <c r="A64" t="inlineStr">
        <is>
          <t>D-063</t>
        </is>
      </c>
      <c r="B64" t="inlineStr">
        <is>
          <t>1</t>
        </is>
      </c>
      <c r="C64" t="inlineStr">
        <is>
          <t>login:1a-sessions</t>
        </is>
      </c>
      <c r="D64" t="inlineStr">
        <is>
          <t>2026-10-06</t>
        </is>
      </c>
      <c r="E64" s="5" t="inlineStr">
        <is>
          <t>Retention job: expired and revoked sessions rows and login_events accumulate. Login events must be kept at least 1 year (YX-SECOPS-07); a purge job and its DB role are not built.</t>
        </is>
      </c>
      <c r="F64" t="inlineStr">
        <is>
          <t>Open (verify)</t>
        </is>
      </c>
      <c r="I64" s="5" t="n"/>
    </row>
    <row r="65">
      <c r="A65" t="inlineStr">
        <is>
          <t>D-064</t>
        </is>
      </c>
      <c r="B65" t="inlineStr">
        <is>
          <t>1</t>
        </is>
      </c>
      <c r="C65" t="inlineStr">
        <is>
          <t>login:1a-sessions</t>
        </is>
      </c>
      <c r="D65" t="inlineStr">
        <is>
          <t>2026-10-06</t>
        </is>
      </c>
      <c r="E65" s="5" t="inlineStr">
        <is>
          <t>Web app (apps/web) is untouched: no Me &gt; Security or Admin &gt; Login activity screens yet. The client also handles the new 401 'Session expired' only through its existing logout-on-refresh-failure path, and any background polling it does will keep a session from idling out. Not verified in the browser.</t>
        </is>
      </c>
      <c r="F65" t="inlineStr">
        <is>
          <t>Open (verify)</t>
        </is>
      </c>
      <c r="I65" s="5" t="n"/>
    </row>
    <row r="66">
      <c r="A66" t="inlineStr">
        <is>
          <t>D-065</t>
        </is>
      </c>
      <c r="B66" t="inlineStr">
        <is>
          <t>1</t>
        </is>
      </c>
      <c r="C66" t="inlineStr">
        <is>
          <t>login:1a-sessions</t>
        </is>
      </c>
      <c r="D66" t="inlineStr">
        <is>
          <t>2026-10-06</t>
        </is>
      </c>
      <c r="E66" s="5" t="inlineStr">
        <is>
          <t>Retry-After header: the 429 lockout response carries retryAfterSeconds in the body but does not set the HTTP Retry-After header.</t>
        </is>
      </c>
      <c r="F66" t="inlineStr">
        <is>
          <t>Open (verify)</t>
        </is>
      </c>
      <c r="I66" s="5" t="n"/>
    </row>
    <row r="67">
      <c r="A67" t="inlineStr">
        <is>
          <t>D-066</t>
        </is>
      </c>
      <c r="B67" t="inlineStr">
        <is>
          <t>1</t>
        </is>
      </c>
      <c r="C67" t="inlineStr">
        <is>
          <t>login:1a-sessions</t>
        </is>
      </c>
      <c r="D67" t="inlineStr">
        <is>
          <t>2026-10-06</t>
        </is>
      </c>
      <c r="E67" s="5" t="inlineStr">
        <is>
          <t>Login events and session revocations are recorded in their tables and the existing audit_logs; the P08 per-tenant audit hash chain does not exist yet, so they are not chained.</t>
        </is>
      </c>
      <c r="F67" t="inlineStr">
        <is>
          <t>Open (verify)</t>
        </is>
      </c>
      <c r="I67" s="5" t="n"/>
    </row>
    <row r="68">
      <c r="A68" t="inlineStr">
        <is>
          <t>D-067</t>
        </is>
      </c>
      <c r="B68" t="inlineStr">
        <is>
          <t>1</t>
        </is>
      </c>
      <c r="C68" t="inlineStr">
        <is>
          <t>login:1b-passwords-policy</t>
        </is>
      </c>
      <c r="D68" t="inlineStr">
        <is>
          <t>2026-10-06</t>
        </is>
      </c>
      <c r="E68" s="5" t="inlineStr">
        <is>
          <t>Enforcing MFA scope and allowed factors (YX-IAM-01/03), and requiring MFA on break-glass accounts. The settings are stored and validated now; enforcement needs the factors that Part 1c builds.</t>
        </is>
      </c>
      <c r="F68" t="inlineStr">
        <is>
          <t>Open (verify)</t>
        </is>
      </c>
      <c r="I68" s="5" t="n"/>
    </row>
    <row r="69">
      <c r="A69" t="inlineStr">
        <is>
          <t>D-068</t>
        </is>
      </c>
      <c r="B69" t="inlineStr">
        <is>
          <t>1</t>
        </is>
      </c>
      <c r="C69" t="inlineStr">
        <is>
          <t>login:1b-passwords-policy</t>
        </is>
      </c>
      <c r="D69" t="inlineStr">
        <is>
          <t>2026-10-06</t>
        </is>
      </c>
      <c r="E69" s="5" t="inlineStr">
        <is>
          <t>Step-up on security-policy changes (YX-IAM-02). The PATCH endpoint carries the @RequireStepUp() marker, but nothing enforces it until Part 1c's StepUpGuard exists.</t>
        </is>
      </c>
      <c r="F69" t="inlineStr">
        <is>
          <t>Open (verify)</t>
        </is>
      </c>
      <c r="I69" s="5" t="n"/>
    </row>
    <row r="70">
      <c r="A70" t="inlineStr">
        <is>
          <t>D-069</t>
        </is>
      </c>
      <c r="B70" t="inlineStr">
        <is>
          <t>1</t>
        </is>
      </c>
      <c r="C70" t="inlineStr">
        <is>
          <t>login:1b-passwords-policy</t>
        </is>
      </c>
      <c r="D70" t="inlineStr">
        <is>
          <t>2026-10-06</t>
        </is>
      </c>
      <c r="E70" s="5" t="inlineStr">
        <is>
          <t>An option for a company to include the mobile app or the candidate/external portals in its IP allow-lists. They are exempt for now: no mobile client exists yet to tell apart from the web, and the portals do not use staff tokens.</t>
        </is>
      </c>
      <c r="F70" t="inlineStr">
        <is>
          <t>Open (verify)</t>
        </is>
      </c>
      <c r="I70" s="5" t="n"/>
    </row>
    <row r="71">
      <c r="A71" t="inlineStr">
        <is>
          <t>D-070</t>
        </is>
      </c>
      <c r="B71" t="inlineStr">
        <is>
          <t>1</t>
        </is>
      </c>
      <c r="C71" t="inlineStr">
        <is>
          <t>login:1b-passwords-policy</t>
        </is>
      </c>
      <c r="D71" t="inlineStr">
        <is>
          <t>2026-10-06</t>
        </is>
      </c>
      <c r="E71" s="5" t="inlineStr">
        <is>
          <t>Several identity providers per company, mapped by email domain (YX-IAM-04, Q2). SSO-only currently relies on the existing single SAML setup (samlEnabled); multi-provider and Google / Entra OIDC are Part 1c/1d work.</t>
        </is>
      </c>
      <c r="F71" t="inlineStr">
        <is>
          <t>Open (verify)</t>
        </is>
      </c>
      <c r="I71" s="5" t="n"/>
    </row>
    <row r="72">
      <c r="A72" t="inlineStr">
        <is>
          <t>D-071</t>
        </is>
      </c>
      <c r="B72" t="inlineStr">
        <is>
          <t>1</t>
        </is>
      </c>
      <c r="C72" t="inlineStr">
        <is>
          <t>login:1b-passwords-policy</t>
        </is>
      </c>
      <c r="D72" t="inlineStr">
        <is>
          <t>2026-10-06</t>
        </is>
      </c>
      <c r="E72" s="5" t="inlineStr">
        <is>
          <t>The 'admin console' allow-list covers endpoints gated by an org:manage_* permission. Admin actions guarded only by a role check, such as impersonation, are covered by the desk list but not the admin list.</t>
        </is>
      </c>
      <c r="F72" t="inlineStr">
        <is>
          <t>Open (verify)</t>
        </is>
      </c>
      <c r="I72" s="5" t="n"/>
    </row>
    <row r="73">
      <c r="A73" t="inlineStr">
        <is>
          <t>D-072</t>
        </is>
      </c>
      <c r="B73" t="inlineStr">
        <is>
          <t>1</t>
        </is>
      </c>
      <c r="C73" t="inlineStr">
        <is>
          <t>login:1b-passwords-policy</t>
        </is>
      </c>
      <c r="D73" t="inlineStr">
        <is>
          <t>2026-10-06</t>
        </is>
      </c>
      <c r="E73" s="5" t="inlineStr">
        <is>
          <t>The policy cache is per process: other API instances apply a change within 30 seconds. A Redis-based invalidation would remove that delay if it ever matters.</t>
        </is>
      </c>
      <c r="F73" t="inlineStr">
        <is>
          <t>Open (verify)</t>
        </is>
      </c>
      <c r="I73" s="5" t="n"/>
    </row>
    <row r="74">
      <c r="A74" t="inlineStr">
        <is>
          <t>D-073</t>
        </is>
      </c>
      <c r="B74" t="inlineStr">
        <is>
          <t>1</t>
        </is>
      </c>
      <c r="C74" t="inlineStr">
        <is>
          <t>login:1c-mfa</t>
        </is>
      </c>
      <c r="D74" t="inlineStr">
        <is>
          <t>2026-10-06</t>
        </is>
      </c>
      <c r="E74" s="5" t="inlineStr">
        <is>
          <t>OTP by SMS / WhatsApp / email (the fallback factor in YX-IAM-03) is not built, because nothing exists to send it. The 'never the sole factor for System Admin / Payroll Admin' rule holds only because no OTP factor exists; it must be enforced when OTP is added.</t>
        </is>
      </c>
      <c r="F74" t="inlineStr">
        <is>
          <t>Open (verify)</t>
        </is>
      </c>
      <c r="I74" s="5" t="n"/>
    </row>
    <row r="75">
      <c r="A75" t="inlineStr">
        <is>
          <t>D-074</t>
        </is>
      </c>
      <c r="B75" t="inlineStr">
        <is>
          <t>1</t>
        </is>
      </c>
      <c r="C75" t="inlineStr">
        <is>
          <t>login:1c-mfa</t>
        </is>
      </c>
      <c r="D75" t="inlineStr">
        <is>
          <t>2026-10-06</t>
        </is>
      </c>
      <c r="E75" s="5" t="inlineStr">
        <is>
          <t>Hardware-key-only MFA for YukthiX staff (Q7) is not enforced: staff can use any passkey or TOTP app. Resetting a platform super admin's MFA is also not built, because resets are organisation-scoped.</t>
        </is>
      </c>
      <c r="F75" t="inlineStr">
        <is>
          <t>Open (verify)</t>
        </is>
      </c>
      <c r="I75" s="5" t="n"/>
    </row>
    <row r="76">
      <c r="A76" t="inlineStr">
        <is>
          <t>D-075</t>
        </is>
      </c>
      <c r="B76" t="inlineStr">
        <is>
          <t>1</t>
        </is>
      </c>
      <c r="C76" t="inlineStr">
        <is>
          <t>login:1c-mfa</t>
        </is>
      </c>
      <c r="D76" t="inlineStr">
        <is>
          <t>2026-10-06</t>
        </is>
      </c>
      <c r="E76" s="5" t="inlineStr">
        <is>
          <t>Passkey-only (usernameless) sign-in, where a passkey alone gives AAL2, is not built. Passkeys work as the second factor.</t>
        </is>
      </c>
      <c r="F76" t="inlineStr">
        <is>
          <t>Open (verify)</t>
        </is>
      </c>
      <c r="I76" s="5" t="n"/>
    </row>
    <row r="77">
      <c r="A77" t="inlineStr">
        <is>
          <t>D-076</t>
        </is>
      </c>
      <c r="B77" t="inlineStr">
        <is>
          <t>1</t>
        </is>
      </c>
      <c r="C77" t="inlineStr">
        <is>
          <t>login:1c-mfa</t>
        </is>
      </c>
      <c r="D77" t="inlineStr">
        <is>
          <t>2026-10-06</t>
        </is>
      </c>
      <c r="E77" s="5" t="inlineStr">
        <is>
          <t>SSO sessions do not count as AAL2 even when the identity provider enforces MFA; such users still need a YukthiX factor. Reading the provider's MFA claim belongs with the Google/Entra OIDC part.</t>
        </is>
      </c>
      <c r="F77" t="inlineStr">
        <is>
          <t>Open (verify)</t>
        </is>
      </c>
      <c r="I77" s="5" t="n"/>
    </row>
    <row r="78">
      <c r="A78" t="inlineStr">
        <is>
          <t>D-077</t>
        </is>
      </c>
      <c r="B78" t="inlineStr">
        <is>
          <t>1</t>
        </is>
      </c>
      <c r="C78" t="inlineStr">
        <is>
          <t>login:1c-mfa</t>
        </is>
      </c>
      <c r="D78" t="inlineStr">
        <is>
          <t>2026-10-06</t>
        </is>
      </c>
      <c r="E78" s="5" t="inlineStr">
        <is>
          <t>The 'identity re-verification' route of YX-IAM-11 is not built; the second-admin route is. The email password-reset link still works for a sensitive-role account that has no factor yet (inside its grace).</t>
        </is>
      </c>
      <c r="F78" t="inlineStr">
        <is>
          <t>Open (verify)</t>
        </is>
      </c>
      <c r="I78" s="5" t="n"/>
    </row>
    <row r="79">
      <c r="A79" t="inlineStr">
        <is>
          <t>D-078</t>
        </is>
      </c>
      <c r="B79" t="inlineStr">
        <is>
          <t>1</t>
        </is>
      </c>
      <c r="C79" t="inlineStr">
        <is>
          <t>login:1c-mfa</t>
        </is>
      </c>
      <c r="D79" t="inlineStr">
        <is>
          <t>2026-10-06</t>
        </is>
      </c>
      <c r="E79" s="5" t="inlineStr">
        <is>
          <t>Bank-account change, payroll approval, Confidential/Special data export and viewing a POSH case are not marked as step-up actions because those endpoints do not exist yet. The decorator is ready for them.</t>
        </is>
      </c>
      <c r="F79" t="inlineStr">
        <is>
          <t>Open (verify)</t>
        </is>
      </c>
      <c r="I79" s="5" t="n"/>
    </row>
    <row r="80">
      <c r="A80" t="inlineStr">
        <is>
          <t>D-079</t>
        </is>
      </c>
      <c r="B80" t="inlineStr">
        <is>
          <t>1</t>
        </is>
      </c>
      <c r="C80" t="inlineStr">
        <is>
          <t>login:1c-mfa</t>
        </is>
      </c>
      <c r="D80" t="inlineStr">
        <is>
          <t>2026-10-06</t>
        </is>
      </c>
      <c r="E80" s="5" t="inlineStr">
        <is>
          <t>Saving SSO-only does not yet check that the named break-glass accounts have MFA. Sign-in already refuses a break-glass account without it, and those admins can still sign in through SSO to enrol.</t>
        </is>
      </c>
      <c r="F80" t="inlineStr">
        <is>
          <t>Open (verify)</t>
        </is>
      </c>
      <c r="I80" s="5" t="n"/>
    </row>
    <row r="81">
      <c r="A81" t="inlineStr">
        <is>
          <t>D-080</t>
        </is>
      </c>
      <c r="B81" t="inlineStr">
        <is>
          <t>1</t>
        </is>
      </c>
      <c r="C81" t="inlineStr">
        <is>
          <t>login:1d-otp</t>
        </is>
      </c>
      <c r="D81" t="inlineStr">
        <is>
          <t>2026-10-06</t>
        </is>
      </c>
      <c r="E81" s="5" t="inlineStr">
        <is>
          <t>Real SMS / WhatsApp provider: only the interface, the in-memory dev/test sink and a 'none' provider exist. Production offers email codes only until a provider (DLT-registered SMS template, WhatsApp authentication template) is wired into otp-sender.ts with credentials from the environment. Reason: no provider has been chosen and no credentials may go in code.</t>
        </is>
      </c>
      <c r="F81" t="inlineStr">
        <is>
          <t>Open (verify)</t>
        </is>
      </c>
      <c r="I81" s="5" t="n"/>
    </row>
    <row r="82">
      <c r="A82" t="inlineStr">
        <is>
          <t>D-081</t>
        </is>
      </c>
      <c r="B82" t="inlineStr">
        <is>
          <t>1</t>
        </is>
      </c>
      <c r="C82" t="inlineStr">
        <is>
          <t>login:1d-otp</t>
        </is>
      </c>
      <c r="D82" t="inlineStr">
        <is>
          <t>2026-10-06</t>
        </is>
      </c>
      <c r="E82" s="5" t="inlineStr">
        <is>
          <t>P04 YX-NTF-12/13 SMS quota metering and YX-NTF-14 channel_consents: no notification engine or consent table exists yet. Texts are sent only when the person asks for one on that channel.</t>
        </is>
      </c>
      <c r="F82" t="inlineStr">
        <is>
          <t>Open (verify)</t>
        </is>
      </c>
      <c r="I82" s="5" t="n"/>
    </row>
    <row r="83">
      <c r="A83" t="inlineStr">
        <is>
          <t>D-082</t>
        </is>
      </c>
      <c r="B83" t="inlineStr">
        <is>
          <t>1</t>
        </is>
      </c>
      <c r="C83" t="inlineStr">
        <is>
          <t>login:1d-otp</t>
        </is>
      </c>
      <c r="D83" t="inlineStr">
        <is>
          <t>2026-10-06</t>
        </is>
      </c>
      <c r="E83" s="5" t="inlineStr">
        <is>
          <t>Admins cannot set a mobile number for field staff; only the person can verify their own, after signing in by email code or password. Reason: a number entered by someone else is not proven to belong to the person. Add an admin flow that sends the employee a verification code if it is wanted.</t>
        </is>
      </c>
      <c r="F83" t="inlineStr">
        <is>
          <t>Open (verify)</t>
        </is>
      </c>
      <c r="I83" s="5" t="n"/>
    </row>
    <row r="84">
      <c r="A84" t="inlineStr">
        <is>
          <t>D-083</t>
        </is>
      </c>
      <c r="B84" t="inlineStr">
        <is>
          <t>1</t>
        </is>
      </c>
      <c r="C84" t="inlineStr">
        <is>
          <t>login:1d-otp</t>
        </is>
      </c>
      <c r="D84" t="inlineStr">
        <is>
          <t>2026-10-06</t>
        </is>
      </c>
      <c r="E84" s="5" t="inlineStr">
        <is>
          <t>Known trade-off: someone who repeatedly asks for codes on another person's identifier can use up that person's 5 codes per hour, blocking their code sign-in for up to an hour (password sign-in still works). This comes from capping codes per identifier; a CAPTCHA under attack (the YX-IAM-07 bot challenge, still open from 1a) is the usual remedy.</t>
        </is>
      </c>
      <c r="F84" t="inlineStr">
        <is>
          <t>Open (verify)</t>
        </is>
      </c>
      <c r="I84" s="5" t="n"/>
    </row>
    <row r="85">
      <c r="A85" t="inlineStr">
        <is>
          <t>D-084</t>
        </is>
      </c>
      <c r="B85" t="inlineStr">
        <is>
          <t>1</t>
        </is>
      </c>
      <c r="C85" t="inlineStr">
        <is>
          <t>login:1d-otp</t>
        </is>
      </c>
      <c r="D85" t="inlineStr">
        <is>
          <t>2026-10-06</t>
        </is>
      </c>
      <c r="E85" s="5" t="inlineStr">
        <is>
          <t>M04 app PIN, biometric unlock and 30-day mobile sessions, and P12 SSO-only plus code sign-in in e2e (covered only by unit tests: e2e would need a full SAML setup).</t>
        </is>
      </c>
      <c r="F85" t="inlineStr">
        <is>
          <t>Open (verify)</t>
        </is>
      </c>
      <c r="I85" s="5" t="n"/>
    </row>
    <row r="86">
      <c r="A86" t="inlineStr">
        <is>
          <t>D-085</t>
        </is>
      </c>
      <c r="B86" t="inlineStr">
        <is>
          <t>1</t>
        </is>
      </c>
      <c r="C86" t="inlineStr">
        <is>
          <t>login:1e-sso</t>
        </is>
      </c>
      <c r="D86" t="inlineStr">
        <is>
          <t>2026-10-06</t>
        </is>
      </c>
      <c r="E86" s="5" t="inlineStr">
        <is>
          <t>SCIM 2.0 provisioning, and revoking sessions within 5 minutes when an IdP disables a user (YX-IAM-05 second half): P12 Q2 schedules these for wave 3, before the pilot, so they are out of scope here.</t>
        </is>
      </c>
      <c r="F86" t="inlineStr">
        <is>
          <t>Open (verify)</t>
        </is>
      </c>
      <c r="I86" s="5" t="n"/>
    </row>
    <row r="87">
      <c r="A87" t="inlineStr">
        <is>
          <t>D-086</t>
        </is>
      </c>
      <c r="B87" t="inlineStr">
        <is>
          <t>1</t>
        </is>
      </c>
      <c r="C87" t="inlineStr">
        <is>
          <t>login:1e-sso</t>
        </is>
      </c>
      <c r="D87" t="inlineStr">
        <is>
          <t>2026-10-06</t>
        </is>
      </c>
      <c r="E87" s="5" t="inlineStr">
        <is>
          <t>Disabling or removing an identity provider does not end sessions already opened through it, because sessions do not record which provider opened them. That belongs with the SCIM work above.</t>
        </is>
      </c>
      <c r="F87" t="inlineStr">
        <is>
          <t>Open (verify)</t>
        </is>
      </c>
      <c r="I87" s="5" t="n"/>
    </row>
    <row r="88">
      <c r="A88" t="inlineStr">
        <is>
          <t>D-087</t>
        </is>
      </c>
      <c r="B88" t="inlineStr">
        <is>
          <t>1</t>
        </is>
      </c>
      <c r="C88" t="inlineStr">
        <is>
          <t>login:1e-sso</t>
        </is>
      </c>
      <c r="D88" t="inlineStr">
        <is>
          <t>2026-10-06</t>
        </is>
      </c>
      <c r="E88" s="5" t="inlineStr">
        <is>
          <t>Step-up through an SSO re-sign-in is not available. Step-up still needs a passkey or authenticator app (Part 1c), so an SSO-only user with no factor cannot take step-up actions until they enrol one.</t>
        </is>
      </c>
      <c r="F88" t="inlineStr">
        <is>
          <t>Open (verify)</t>
        </is>
      </c>
      <c r="I88" s="5" t="n"/>
    </row>
    <row r="89">
      <c r="A89" t="inlineStr">
        <is>
          <t>D-088</t>
        </is>
      </c>
      <c r="B89" t="inlineStr">
        <is>
          <t>1</t>
        </is>
      </c>
      <c r="C89" t="inlineStr">
        <is>
          <t>login:1e-sso</t>
        </is>
      </c>
      <c r="D89" t="inlineStr">
        <is>
          <t>2026-10-06</t>
        </is>
      </c>
      <c r="E89" s="5" t="inlineStr">
        <is>
          <t>Existing accounts are matched by email, not by the IdP's stable user id (no linking table). This is the same as the previous SAML behaviour.</t>
        </is>
      </c>
      <c r="F89" t="inlineStr">
        <is>
          <t>Open (verify)</t>
        </is>
      </c>
      <c r="I89" s="5" t="n"/>
    </row>
    <row r="90">
      <c r="A90" t="inlineStr">
        <is>
          <t>D-089</t>
        </is>
      </c>
      <c r="B90" t="inlineStr">
        <is>
          <t>1</t>
        </is>
      </c>
      <c r="C90" t="inlineStr">
        <is>
          <t>login:1e-sso</t>
        </is>
      </c>
      <c r="D90" t="inlineStr">
        <is>
          <t>2026-10-06</t>
        </is>
      </c>
      <c r="E90" s="5" t="inlineStr">
        <is>
          <t>The generic-issuer address check happens when the provider is saved and does not resolve DNS, so DNS rebinding is not blocked. This is the existing helper's documented limit, and only company admins can set an issuer.</t>
        </is>
      </c>
      <c r="F90" t="inlineStr">
        <is>
          <t>Open (verify)</t>
        </is>
      </c>
      <c r="I90" s="5" t="n"/>
    </row>
    <row r="91">
      <c r="A91" t="inlineStr">
        <is>
          <t>D-090</t>
        </is>
      </c>
      <c r="B91" t="inlineStr">
        <is>
          <t>1</t>
        </is>
      </c>
      <c r="C91" t="inlineStr">
        <is>
          <t>login:1e-sso</t>
        </is>
      </c>
      <c r="D91" t="inlineStr">
        <is>
          <t>2026-10-06</t>
        </is>
      </c>
      <c r="E91" s="5" t="inlineStr">
        <is>
          <t>There is no "test sign-in" button in the SSO settings (P12 §6.3 step 3). Instead, a generic issuer must answer discovery before it can be switched on.</t>
        </is>
      </c>
      <c r="F91" t="inlineStr">
        <is>
          <t>Open (verify)</t>
        </is>
      </c>
      <c r="I91" s="5" t="n"/>
    </row>
    <row r="92">
      <c r="A92" t="inlineStr">
        <is>
          <t>D-091</t>
        </is>
      </c>
      <c r="B92" t="inlineStr">
        <is>
          <t>1</t>
        </is>
      </c>
      <c r="C92" t="inlineStr">
        <is>
          <t>login:1g-ui</t>
        </is>
      </c>
      <c r="D92" t="inlineStr">
        <is>
          <t>2026-10-06</t>
        </is>
      </c>
      <c r="E92" s="5" t="inlineStr">
        <is>
          <t>Full API e2e result not available: the run started before the last commit (the only change after it was a docs-only README) but had not finished when this report was written. Re-run `npm run test:e2e` in apps/api to confirm.</t>
        </is>
      </c>
      <c r="F92" t="inlineStr">
        <is>
          <t>Open (verify)</t>
        </is>
      </c>
      <c r="I92" s="5" t="n"/>
    </row>
    <row r="93">
      <c r="A93" t="inlineStr">
        <is>
          <t>D-092</t>
        </is>
      </c>
      <c r="B93" t="inlineStr">
        <is>
          <t>1</t>
        </is>
      </c>
      <c r="C93" t="inlineStr">
        <is>
          <t>login:1g-ui</t>
        </is>
      </c>
      <c r="D93" t="inlineStr">
        <is>
          <t>2026-10-06</t>
        </is>
      </c>
      <c r="E93" s="5" t="inlineStr">
        <is>
          <t>Phone check of tables in Storybook is inconclusive: the automatic overflow check ran with the browser pane hidden, so tables could not switch to phone cards and showed sideways scrolling inside the table. In the real app at 390 px, with the pane visible, they do switch to cards and the page itself never scrolls sideways.</t>
        </is>
      </c>
      <c r="F93" t="inlineStr">
        <is>
          <t>Open (verify)</t>
        </is>
      </c>
      <c r="I93" s="5" t="n"/>
    </row>
    <row r="94">
      <c r="A94" t="inlineStr">
        <is>
          <t>D-093</t>
        </is>
      </c>
      <c r="B94" t="inlineStr">
        <is>
          <t>1</t>
        </is>
      </c>
      <c r="C94" t="inlineStr">
        <is>
          <t>login:1g-ui</t>
        </is>
      </c>
      <c r="D94" t="inlineStr">
        <is>
          <t>2026-10-06</t>
        </is>
      </c>
      <c r="E94" s="5" t="inlineStr">
        <is>
          <t>The design system's visual and accessibility tests (Playwright) were not copied, as the task named only the token check and component tests; Storybook's a11y panel is still on.</t>
        </is>
      </c>
      <c r="F94" t="inlineStr">
        <is>
          <t>Open (verify)</t>
        </is>
      </c>
      <c r="I94" s="5" t="n"/>
    </row>
    <row r="95">
      <c r="A95" t="inlineStr">
        <is>
          <t>D-094</t>
        </is>
      </c>
      <c r="B95" t="inlineStr">
        <is>
          <t>1</t>
        </is>
      </c>
      <c r="C95" t="inlineStr">
        <is>
          <t>login:1g-ui</t>
        </is>
      </c>
      <c r="D95" t="inlineStr">
        <is>
          <t>2026-10-06</t>
        </is>
      </c>
      <c r="E95" s="5" t="inlineStr">
        <is>
          <t>Signed-in people who open /yx/sign-in are not sent on to their landing page.</t>
        </is>
      </c>
      <c r="F95" t="inlineStr">
        <is>
          <t>Open (verify)</t>
        </is>
      </c>
      <c r="I95" s="5" t="n"/>
    </row>
    <row r="96">
      <c r="A96" t="inlineStr">
        <is>
          <t>D-095</t>
        </is>
      </c>
      <c r="B96" t="inlineStr">
        <is>
          <t>1</t>
        </is>
      </c>
      <c r="C96" t="inlineStr">
        <is>
          <t>login:1g-ui</t>
        </is>
      </c>
      <c r="D96" t="inlineStr">
        <is>
          <t>2026-10-06</t>
        </is>
      </c>
      <c r="E96" s="5" t="inlineStr">
        <is>
          <t>The phone filters on Login activity are stacked full-width dropdowns; a collapsible filter panel would save space.</t>
        </is>
      </c>
      <c r="F96" t="inlineStr">
        <is>
          <t>Open (verify)</t>
        </is>
      </c>
      <c r="I96" s="5" t="n"/>
    </row>
    <row r="97">
      <c r="A97" t="inlineStr">
        <is>
          <t>D-096</t>
        </is>
      </c>
      <c r="B97" t="inlineStr">
        <is>
          <t>1</t>
        </is>
      </c>
      <c r="C97" t="inlineStr">
        <is>
          <t>login:1g-ui</t>
        </is>
      </c>
      <c r="D97" t="inlineStr">
        <is>
          <t>2026-10-06</t>
        </is>
      </c>
      <c r="E97" s="5" t="inlineStr">
        <is>
          <t>The classic login and profile pages are unchanged. The old 'New user' form, '/profile?mfa=setup' and the /v2 login still work as before; only the step-up prompt changed look everywhere.</t>
        </is>
      </c>
      <c r="F97" t="inlineStr">
        <is>
          <t>Open (verify)</t>
        </is>
      </c>
      <c r="I97" s="5" t="n"/>
    </row>
    <row r="98">
      <c r="A98" t="inlineStr">
        <is>
          <t>D-097</t>
        </is>
      </c>
      <c r="B98" t="inlineStr">
        <is>
          <t>1</t>
        </is>
      </c>
      <c r="C98" t="inlineStr">
        <is>
          <t>login:1g-ui</t>
        </is>
      </c>
      <c r="D98" t="inlineStr">
        <is>
          <t>2026-10-06</t>
        </is>
      </c>
      <c r="E98" s="5" t="inlineStr">
        <is>
          <t>Docker images still copy the whole node_modules into runtime images (existing pattern), so the new Storybook and Vite dev tools now ship in them too; the build should prune dev dependencies.</t>
        </is>
      </c>
      <c r="F98" t="inlineStr">
        <is>
          <t>Open (verify)</t>
        </is>
      </c>
      <c r="I98" s="5" t="n"/>
    </row>
    <row r="99">
      <c r="A99" t="inlineStr">
        <is>
          <t>D-098</t>
        </is>
      </c>
      <c r="B99" t="inlineStr">
        <is>
          <t>1</t>
        </is>
      </c>
      <c r="C99" t="inlineStr">
        <is>
          <t>login:1g-ui</t>
        </is>
      </c>
      <c r="D99" t="inlineStr">
        <is>
          <t>2026-10-06</t>
        </is>
      </c>
      <c r="E99" s="5" t="inlineStr">
        <is>
          <t>Not in this part: bot challenge and new-country alerts (from 1a), and automatic user provisioning from the identity provider (SCIM, wave 3).</t>
        </is>
      </c>
      <c r="F99" t="inlineStr">
        <is>
          <t>Open (verify)</t>
        </is>
      </c>
      <c r="I99" s="5" t="n"/>
    </row>
    <row r="100">
      <c r="A100" t="inlineStr">
        <is>
          <t>D-099</t>
        </is>
      </c>
      <c r="B100" t="inlineStr">
        <is>
          <t>1</t>
        </is>
      </c>
      <c r="C100" t="inlineStr">
        <is>
          <t>login:fix-review</t>
        </is>
      </c>
      <c r="D100" t="inlineStr">
        <is>
          <t>2026-10-06</t>
        </is>
      </c>
      <c r="E100" s="5" t="inlineStr">
        <is>
          <t>No Content-Security-Policy without 'unsafe-inline' for the web app. Next.js puts inline scripts on every page, so a strict policy needs a nonce issued per request, which makes every page server-rendered. The raw-HTML sink was removed instead, and /sso/callback only got a Referrer-Policy header.</t>
        </is>
      </c>
      <c r="F100" t="inlineStr">
        <is>
          <t>Open (verify)</t>
        </is>
      </c>
      <c r="I100" s="5" t="n"/>
    </row>
    <row r="101">
      <c r="A101" t="inlineStr">
        <is>
          <t>D-100</t>
        </is>
      </c>
      <c r="B101" t="inlineStr">
        <is>
          <t>1</t>
        </is>
      </c>
      <c r="C101" t="inlineStr">
        <is>
          <t>login:fix-review</t>
        </is>
      </c>
      <c r="D101" t="inlineStr">
        <is>
          <t>2026-10-06</t>
        </is>
      </c>
      <c r="E101" s="5" t="inlineStr">
        <is>
          <t>The CAPTCHA soft lock suggested in the review was not built. The device-trusted soft lock covers the denial-of-service case; the Turnstile check is optional, off until its keys are set, lets attempts through if Cloudflare is unreachable, and is not on forgot-password.</t>
        </is>
      </c>
      <c r="F101" t="inlineStr">
        <is>
          <t>Open (verify)</t>
        </is>
      </c>
      <c r="I101" s="5" t="n"/>
    </row>
    <row r="102">
      <c r="A102" t="inlineStr">
        <is>
          <t>D-101</t>
        </is>
      </c>
      <c r="B102" t="inlineStr">
        <is>
          <t>1</t>
        </is>
      </c>
      <c r="C102" t="inlineStr">
        <is>
          <t>login:fix-review</t>
        </is>
      </c>
      <c r="D102" t="inlineStr">
        <is>
          <t>2026-10-06</t>
        </is>
      </c>
      <c r="E102" s="5" t="inlineStr">
        <is>
          <t>Discovery-supplied endpoints are not required to share the issuer's registrable domain (that needs a public-suffix library, which is not a direct dependency). Every such URL is still DNS-checked and the connection pinned to the checked public address.</t>
        </is>
      </c>
      <c r="F102" t="inlineStr">
        <is>
          <t>Open (verify)</t>
        </is>
      </c>
      <c r="I102" s="5" t="n"/>
    </row>
    <row r="103">
      <c r="A103" t="inlineStr">
        <is>
          <t>D-102</t>
        </is>
      </c>
      <c r="B103" t="inlineStr">
        <is>
          <t>1</t>
        </is>
      </c>
      <c r="C103" t="inlineStr">
        <is>
          <t>login:fix-review</t>
        </is>
      </c>
      <c r="D103" t="inlineStr">
        <is>
          <t>2026-10-06</t>
        </is>
      </c>
      <c r="E103" s="5" t="inlineStr">
        <is>
          <t>Hardware-only for super admins is enforced as a device-bound (single-device, not backed-up) credential plus a roaming-key request. There is no attestation or vendor allow-list.</t>
        </is>
      </c>
      <c r="F103" t="inlineStr">
        <is>
          <t>Open (verify)</t>
        </is>
      </c>
      <c r="I103" s="5" t="n"/>
    </row>
    <row r="104">
      <c r="A104" t="inlineStr">
        <is>
          <t>D-103</t>
        </is>
      </c>
      <c r="B104" t="inlineStr">
        <is>
          <t>1</t>
        </is>
      </c>
      <c r="C104" t="inlineStr">
        <is>
          <t>login:fix-review</t>
        </is>
      </c>
      <c r="D104" t="inlineStr">
        <is>
          <t>2026-10-06</t>
        </is>
      </c>
      <c r="E104" s="5" t="inlineStr">
        <is>
          <t>There is no recovery flow for super admins: they have no recovery codes, and the existing MFA reset is per organisation. Staff should register two security keys.</t>
        </is>
      </c>
      <c r="F104" t="inlineStr">
        <is>
          <t>Open (verify)</t>
        </is>
      </c>
      <c r="I104" s="5" t="n"/>
    </row>
    <row r="105">
      <c r="A105" t="inlineStr">
        <is>
          <t>D-104</t>
        </is>
      </c>
      <c r="B105" t="inlineStr">
        <is>
          <t>1</t>
        </is>
      </c>
      <c r="C105" t="inlineStr">
        <is>
          <t>login:fix-review</t>
        </is>
      </c>
      <c r="D105" t="inlineStr">
        <is>
          <t>2026-10-06</t>
        </is>
      </c>
      <c r="E105" s="5" t="inlineStr">
        <is>
          <t>The migration gives existing domain-less providers the email domains of their organisation's accounts. A rogue domain-less provider created before this migration would also be mapped; admins should review provider domains after deploying.</t>
        </is>
      </c>
      <c r="F105" t="inlineStr">
        <is>
          <t>Open (verify)</t>
        </is>
      </c>
      <c r="I105" s="5" t="n"/>
    </row>
    <row r="106">
      <c r="A106" t="inlineStr">
        <is>
          <t>D-105</t>
        </is>
      </c>
      <c r="B106" t="inlineStr">
        <is>
          <t>1</t>
        </is>
      </c>
      <c r="C106" t="inlineStr">
        <is>
          <t>login:fix-review</t>
        </is>
      </c>
      <c r="D106" t="inlineStr">
        <is>
          <t>2026-10-06</t>
        </is>
      </c>
      <c r="E106" s="5" t="inlineStr">
        <is>
          <t>Some commits are grouped by area rather than one per finding, and intermediate commits may not compile on their own; the branch tip is green.</t>
        </is>
      </c>
      <c r="F106" t="inlineStr">
        <is>
          <t>Open (verify)</t>
        </is>
      </c>
      <c r="I106" s="5" t="n"/>
    </row>
  </sheetData>
  <autoFilter ref="A1:I106"/>
  <dataValidations count="1">
    <dataValidation sqref="G2:G106" showDropDown="0" showInputMessage="0" showErrorMessage="0" allowBlank="1" type="list">
      <formula1>"Open,In progress,Done,Parked,Not started,Accepted (won't do),Moved to a step"</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80" customWidth="1" min="3" max="3"/>
    <col width="50" customWidth="1" min="4" max="4"/>
    <col width="12" customWidth="1" min="5" max="5"/>
    <col width="14" customWidth="1" min="6" max="6"/>
    <col width="14" customWidth="1" min="7" max="7"/>
    <col width="14" customWidth="1" min="8" max="8"/>
  </cols>
  <sheetData>
    <row r="1">
      <c r="A1" s="4" t="inlineStr">
        <is>
          <t>#</t>
        </is>
      </c>
      <c r="B1" s="4" t="inlineStr">
        <is>
          <t>Item</t>
        </is>
      </c>
      <c r="C1" s="4" t="inlineStr">
        <is>
          <t>What to do</t>
        </is>
      </c>
      <c r="D1" s="4" t="inlineStr">
        <is>
          <t>Notes</t>
        </is>
      </c>
      <c r="E1" s="4" t="inlineStr">
        <is>
          <t>Status (start)</t>
        </is>
      </c>
      <c r="F1" s="4" t="inlineStr">
        <is>
          <t>Status (you)</t>
        </is>
      </c>
      <c r="G1" s="4" t="inlineStr">
        <is>
          <t>Owner (you)</t>
        </is>
      </c>
      <c r="H1" s="4" t="inlineStr">
        <is>
          <t>Target date (you)</t>
        </is>
      </c>
    </row>
    <row r="2">
      <c r="A2" t="inlineStr">
        <is>
          <t>1</t>
        </is>
      </c>
      <c r="B2" t="inlineStr">
        <is>
          <t>Domain</t>
        </is>
      </c>
      <c r="C2" s="5" t="inlineStr">
        <is>
          <t>Buy the app domain (e.g. app.yukthix.com) and point it at Cloudflare</t>
        </is>
      </c>
      <c r="D2" s="5" t="inlineStr">
        <is>
          <t>Needed by Turnstile, SSO redirect URLs, passkeys (WebAuthn RP ID), email sender, cookies</t>
        </is>
      </c>
      <c r="E2" t="inlineStr">
        <is>
          <t>Open</t>
        </is>
      </c>
    </row>
    <row r="3">
      <c r="A3" t="inlineStr">
        <is>
          <t>2</t>
        </is>
      </c>
      <c r="B3" t="inlineStr">
        <is>
          <t>Cloudflare Turnstile</t>
        </is>
      </c>
      <c r="C3" s="5" t="inlineStr">
        <is>
          <t>Dashboard › Turnstile › Add widget (name "YukthiX sign-in", hostname = the domain, mode Managed). Put the secret in the API host's secret settings as TURNSTILE_SECRET_KEY and the site key as NEXT_PUBLIC_TURNSTILE_SITE_KEY</t>
        </is>
      </c>
      <c r="D3" s="5" t="inlineStr">
        <is>
          <t>Never paste the secret into chat or commit it. Local dev uses Cloudflare's always-pass test keys</t>
        </is>
      </c>
      <c r="E3" t="inlineStr">
        <is>
          <t>Open</t>
        </is>
      </c>
    </row>
    <row r="4">
      <c r="A4" t="inlineStr">
        <is>
          <t>3</t>
        </is>
      </c>
      <c r="B4" t="inlineStr">
        <is>
          <t>New-country sign-in alerts</t>
        </is>
      </c>
      <c r="C4" s="5" t="inlineStr">
        <is>
          <t>Run the app behind Cloudflare's proxy, then set GEO_COUNTRY_HEADER=cf-ipcountry</t>
        </is>
      </c>
      <c r="D4" s="5" t="inlineStr">
        <is>
          <t>Only set it when traffic really goes through Cloudflare, or the header can be forged</t>
        </is>
      </c>
      <c r="E4" t="inlineStr">
        <is>
          <t>Open</t>
        </is>
      </c>
    </row>
    <row r="5">
      <c r="A5" t="inlineStr">
        <is>
          <t>4</t>
        </is>
      </c>
      <c r="B5" t="inlineStr">
        <is>
          <t>SMS provider + DLT</t>
        </is>
      </c>
      <c r="C5" s="5" t="inlineStr">
        <is>
          <t>Sign up with one SMS gateway (any; the generic HTTP adapter fits MSG91, Gupshup, Kaleyra, Exotel, Textlocal; Twilio for other countries). Register YukthiX on a DLT portal: entity (company PAN/GST), sender header (6 letters), OTP template text</t>
        </is>
      </c>
      <c r="D5" s="5" t="inlineStr">
        <is>
          <t>DLT approval takes 2–7 days. Until done, codes go by email only</t>
        </is>
      </c>
      <c r="E5" t="inlineStr">
        <is>
          <t>Open</t>
        </is>
      </c>
    </row>
    <row r="6">
      <c r="A6" t="inlineStr">
        <is>
          <t>4a</t>
        </is>
      </c>
      <c r="B6" t="inlineStr">
        <is>
          <t>Shared SMS account = Zoho CPaaS</t>
        </is>
      </c>
      <c r="C6" s="5" t="inlineStr">
        <is>
          <t>Zoho CPaaS account in the India DC; DLT registration through Zoho (sender + OTP template). A YukthiX platform admin adds it as the shared http account (example config in docs/sms-gateways/examples.json), types the API token as the token secret, sends a test, and points Zoho's delivery-report webhook at the account's callback URL</t>
        </is>
      </c>
      <c r="D6" s="5" t="inlineStr">
        <is>
          <t>Confirm Zoho's reply format (success value and message-id path) against their API reference once access is granted</t>
        </is>
      </c>
      <c r="E6" t="inlineStr">
        <is>
          <t>Open</t>
        </is>
      </c>
    </row>
    <row r="7">
      <c r="A7" t="inlineStr">
        <is>
          <t>5</t>
        </is>
      </c>
      <c r="B7" t="inlineStr">
        <is>
          <t>WhatsApp (optional)</t>
        </is>
      </c>
      <c r="C7" s="5" t="inlineStr">
        <is>
          <t>Each company connects its own WhatsApp Business number (P04 Q2)</t>
        </is>
      </c>
      <c r="D7" s="5" t="inlineStr">
        <is>
          <t>Meta bills the company directly</t>
        </is>
      </c>
      <c r="E7" t="inlineStr">
        <is>
          <t>Open</t>
        </is>
      </c>
    </row>
    <row r="8">
      <c r="A8" t="inlineStr">
        <is>
          <t>6</t>
        </is>
      </c>
      <c r="B8" t="inlineStr">
        <is>
          <t>Google / Microsoft SSO</t>
        </is>
      </c>
      <c r="C8" s="5" t="inlineStr">
        <is>
          <t>Create OAuth apps in Google Cloud and Microsoft Entra with the real redirect URL</t>
        </is>
      </c>
      <c r="D8" s="5" t="inlineStr">
        <is>
          <t>Per-company IdPs are configured by each company's admin in Settings › Security</t>
        </is>
      </c>
      <c r="E8" t="inlineStr">
        <is>
          <t>Open</t>
        </is>
      </c>
    </row>
    <row r="9">
      <c r="A9" t="inlineStr">
        <is>
          <t>7</t>
        </is>
      </c>
      <c r="B9" t="inlineStr">
        <is>
          <t>Database roles</t>
        </is>
      </c>
      <c r="C9" s="5" t="inlineStr">
        <is>
          <t>Create the owner, app login and app_runtime roles before the first prisma migrate deploy (see README › Database)</t>
        </is>
      </c>
      <c r="D9" s="5" t="inlineStr">
        <is>
          <t>The app role must not be superuser or BYPASSRLS</t>
        </is>
      </c>
      <c r="E9" t="inlineStr">
        <is>
          <t>Open</t>
        </is>
      </c>
    </row>
    <row r="10">
      <c r="A10" t="inlineStr">
        <is>
          <t>8</t>
        </is>
      </c>
      <c r="B10" t="inlineStr">
        <is>
          <t>Secrets</t>
        </is>
      </c>
      <c r="C10" s="5" t="inlineStr">
        <is>
          <t>JWT secrets, TOTP encryption key, OTP HMAC key, org-secrets key, DB/Redis passwords in a secrets manager</t>
        </is>
      </c>
      <c r="D10" s="5" t="inlineStr">
        <is>
          <t>Rotate per schedule (P12 YX-SECOPS-03)</t>
        </is>
      </c>
      <c r="E10" t="inlineStr">
        <is>
          <t>Open</t>
        </is>
      </c>
    </row>
    <row r="11">
      <c r="A11" t="inlineStr">
        <is>
          <t>9</t>
        </is>
      </c>
      <c r="B11" t="inlineStr">
        <is>
          <t>After first deploy</t>
        </is>
      </c>
      <c r="C11" s="5" t="inlineStr">
        <is>
          <t>Everyone signs in once more (old tokens had no session); admins review email domains on existing SSO providers</t>
        </is>
      </c>
      <c r="D11" s="5" t="inlineStr">
        <is>
          <t>From the login PR (#129)</t>
        </is>
      </c>
      <c r="E11" t="inlineStr">
        <is>
          <t>Open</t>
        </is>
      </c>
    </row>
    <row r="12">
      <c r="A12" t="inlineStr">
        <is>
          <t>10</t>
        </is>
      </c>
      <c r="B12" t="inlineStr">
        <is>
          <t>Security programme</t>
        </is>
      </c>
      <c r="C12" s="5" t="inlineStr">
        <is>
          <t>Pen test before the payroll pilot; incident plan and CERT-In 6-hour process; log retention ≥ 1 year</t>
        </is>
      </c>
      <c r="D12" s="5" t="inlineStr">
        <is>
          <t>P12 §8</t>
        </is>
      </c>
      <c r="E12" t="inlineStr">
        <is>
          <t>Open</t>
        </is>
      </c>
    </row>
    <row r="13">
      <c r="A13" t="inlineStr">
        <is>
          <t>11</t>
        </is>
      </c>
      <c r="B13" t="inlineStr">
        <is>
          <t>Company sign-in addresses</t>
        </is>
      </c>
      <c r="C13" s="5" t="inlineStr">
        <is>
          <t>Set YX_BASE_DOMAIN, wildcard DNS + wildcard TLS certificate, and have SSO companies verify their email domains (details below)</t>
        </is>
      </c>
      <c r="D13" s="5" t="inlineStr">
        <is>
          <t>Needed once the domain (item 1) exists; until then sign-in is email-first</t>
        </is>
      </c>
      <c r="E13" t="inlineStr">
        <is>
          <t>Open</t>
        </is>
      </c>
    </row>
  </sheetData>
  <autoFilter ref="A1:H13"/>
  <dataValidations count="1">
    <dataValidation sqref="F2:F13" showDropDown="0" showInputMessage="0" showErrorMessage="0" allowBlank="1" type="list">
      <formula1>"Open,In progress,Done,Parked,Not started,Accepted (won't do),Moved to a step"</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14" customWidth="1" min="2" max="2"/>
    <col width="11" customWidth="1" min="3" max="3"/>
    <col width="12" customWidth="1" min="4" max="4"/>
    <col width="50" customWidth="1" min="5" max="5"/>
    <col width="30" customWidth="1" min="6" max="6"/>
  </cols>
  <sheetData>
    <row r="1">
      <c r="A1" s="4" t="inlineStr">
        <is>
          <t>Screen file</t>
        </is>
      </c>
      <c r="B1" s="4" t="inlineStr">
        <is>
          <t>Group</t>
        </is>
      </c>
      <c r="C1" s="4" t="inlineStr">
        <is>
          <t>Components</t>
        </is>
      </c>
      <c r="D1" s="4" t="inlineStr">
        <is>
          <t>Wired to API</t>
        </is>
      </c>
      <c r="E1" s="4" t="inlineStr">
        <is>
          <t>Wired components</t>
        </is>
      </c>
      <c r="F1" s="4" t="inlineStr">
        <is>
          <t>Notes (you)</t>
        </is>
      </c>
    </row>
    <row r="2">
      <c r="A2" t="inlineStr">
        <is>
          <t>packages/yx-ui/src/screens/access/access-log.tsx</t>
        </is>
      </c>
      <c r="B2" t="inlineStr">
        <is>
          <t>access</t>
        </is>
      </c>
      <c r="C2" t="n">
        <v>1</v>
      </c>
      <c r="D2" t="inlineStr">
        <is>
          <t>Yes</t>
        </is>
      </c>
      <c r="E2" s="5" t="inlineStr">
        <is>
          <t>AccessLogScreen</t>
        </is>
      </c>
    </row>
    <row r="3">
      <c r="A3" t="inlineStr">
        <is>
          <t>packages/yx-ui/src/screens/access/profile-requests.tsx</t>
        </is>
      </c>
      <c r="B3" t="inlineStr">
        <is>
          <t>access</t>
        </is>
      </c>
      <c r="C3" t="n">
        <v>1</v>
      </c>
      <c r="D3" t="inlineStr">
        <is>
          <t>Yes</t>
        </is>
      </c>
      <c r="E3" s="5" t="inlineStr">
        <is>
          <t>ProfileRequestsScreen</t>
        </is>
      </c>
    </row>
    <row r="4">
      <c r="A4" t="inlineStr">
        <is>
          <t>packages/yx-ui/src/screens/access/profile.tsx</t>
        </is>
      </c>
      <c r="B4" t="inlineStr">
        <is>
          <t>access</t>
        </is>
      </c>
      <c r="C4" t="n">
        <v>1</v>
      </c>
      <c r="D4" t="inlineStr">
        <is>
          <t>Yes</t>
        </is>
      </c>
      <c r="E4" s="5" t="inlineStr">
        <is>
          <t>ProfileScreen</t>
        </is>
      </c>
    </row>
    <row r="5">
      <c r="A5" t="inlineStr">
        <is>
          <t>packages/yx-ui/src/screens/access/roles-access.tsx</t>
        </is>
      </c>
      <c r="B5" t="inlineStr">
        <is>
          <t>access</t>
        </is>
      </c>
      <c r="C5" t="n">
        <v>1</v>
      </c>
      <c r="D5" t="inlineStr">
        <is>
          <t>Yes</t>
        </is>
      </c>
      <c r="E5" s="5" t="inlineStr">
        <is>
          <t>RolesAccessScreen</t>
        </is>
      </c>
    </row>
    <row r="6">
      <c r="A6" t="inlineStr">
        <is>
          <t>packages/yx-ui/src/screens/auth/kit.tsx</t>
        </is>
      </c>
      <c r="B6" t="inlineStr">
        <is>
          <t>auth</t>
        </is>
      </c>
      <c r="C6" t="n">
        <v>4</v>
      </c>
      <c r="D6" t="inlineStr">
        <is>
          <t>No</t>
        </is>
      </c>
      <c r="E6" s="5" t="inlineStr"/>
    </row>
    <row r="7">
      <c r="A7" t="inlineStr">
        <is>
          <t>packages/yx-ui/src/screens/auth/login-activity.tsx</t>
        </is>
      </c>
      <c r="B7" t="inlineStr">
        <is>
          <t>auth</t>
        </is>
      </c>
      <c r="C7" t="n">
        <v>3</v>
      </c>
      <c r="D7" t="inlineStr">
        <is>
          <t>Yes</t>
        </is>
      </c>
      <c r="E7" s="5" t="inlineStr">
        <is>
          <t>LoginActivityScreen, NO_FILTERS</t>
        </is>
      </c>
    </row>
    <row r="8">
      <c r="A8" t="inlineStr">
        <is>
          <t>packages/yx-ui/src/screens/auth/me-security.tsx</t>
        </is>
      </c>
      <c r="B8" t="inlineStr">
        <is>
          <t>auth</t>
        </is>
      </c>
      <c r="C8" t="n">
        <v>1</v>
      </c>
      <c r="D8" t="inlineStr">
        <is>
          <t>Yes</t>
        </is>
      </c>
      <c r="E8" s="5" t="inlineStr">
        <is>
          <t>MeSecurityScreen</t>
        </is>
      </c>
    </row>
    <row r="9">
      <c r="A9" t="inlineStr">
        <is>
          <t>packages/yx-ui/src/screens/auth/mfa.tsx</t>
        </is>
      </c>
      <c r="B9" t="inlineStr">
        <is>
          <t>auth</t>
        </is>
      </c>
      <c r="C9" t="n">
        <v>4</v>
      </c>
      <c r="D9" t="inlineStr">
        <is>
          <t>Yes</t>
        </is>
      </c>
      <c r="E9" s="5" t="inlineStr">
        <is>
          <t>MfaChallengeScreen, MfaEnrolScreen</t>
        </is>
      </c>
    </row>
    <row r="10">
      <c r="A10" t="inlineStr">
        <is>
          <t>packages/yx-ui/src/screens/auth/security-settings.tsx</t>
        </is>
      </c>
      <c r="B10" t="inlineStr">
        <is>
          <t>auth</t>
        </is>
      </c>
      <c r="C10" t="n">
        <v>2</v>
      </c>
      <c r="D10" t="inlineStr">
        <is>
          <t>Yes</t>
        </is>
      </c>
      <c r="E10" s="5" t="inlineStr">
        <is>
          <t>SecuritySettingsScreen</t>
        </is>
      </c>
    </row>
    <row r="11">
      <c r="A11" t="inlineStr">
        <is>
          <t>packages/yx-ui/src/screens/auth/shell.tsx</t>
        </is>
      </c>
      <c r="B11" t="inlineStr">
        <is>
          <t>auth</t>
        </is>
      </c>
      <c r="C11" t="n">
        <v>1</v>
      </c>
      <c r="D11" t="inlineStr">
        <is>
          <t>Yes</t>
        </is>
      </c>
      <c r="E11" s="5" t="inlineStr">
        <is>
          <t>SecurityShell</t>
        </is>
      </c>
    </row>
    <row r="12">
      <c r="A12" t="inlineStr">
        <is>
          <t>packages/yx-ui/src/screens/auth/sign-in.tsx</t>
        </is>
      </c>
      <c r="B12" t="inlineStr">
        <is>
          <t>auth</t>
        </is>
      </c>
      <c r="C12" t="n">
        <v>2</v>
      </c>
      <c r="D12" t="inlineStr">
        <is>
          <t>Yes</t>
        </is>
      </c>
      <c r="E12" s="5" t="inlineStr">
        <is>
          <t>ForgotPasswordScreen, SignInScreen</t>
        </is>
      </c>
    </row>
    <row r="13">
      <c r="A13" t="inlineStr">
        <is>
          <t>packages/yx-ui/src/screens/auth/tables.tsx</t>
        </is>
      </c>
      <c r="B13" t="inlineStr">
        <is>
          <t>auth</t>
        </is>
      </c>
      <c r="C13" t="n">
        <v>2</v>
      </c>
      <c r="D13" t="inlineStr">
        <is>
          <t>No</t>
        </is>
      </c>
      <c r="E13" s="5" t="inlineStr"/>
    </row>
    <row r="14">
      <c r="A14" t="inlineStr">
        <is>
          <t>packages/yx-ui/src/screens/growth/engage-feed.tsx</t>
        </is>
      </c>
      <c r="B14" t="inlineStr">
        <is>
          <t>growth</t>
        </is>
      </c>
      <c r="C14" t="n">
        <v>4</v>
      </c>
      <c r="D14" t="inlineStr">
        <is>
          <t>No</t>
        </is>
      </c>
      <c r="E14" s="5" t="inlineStr"/>
    </row>
    <row r="15">
      <c r="A15" t="inlineStr">
        <is>
          <t>packages/yx-ui/src/screens/growth/engage-recognition.tsx</t>
        </is>
      </c>
      <c r="B15" t="inlineStr">
        <is>
          <t>growth</t>
        </is>
      </c>
      <c r="C15" t="n">
        <v>4</v>
      </c>
      <c r="D15" t="inlineStr">
        <is>
          <t>No</t>
        </is>
      </c>
      <c r="E15" s="5" t="inlineStr"/>
    </row>
    <row r="16">
      <c r="A16" t="inlineStr">
        <is>
          <t>packages/yx-ui/src/screens/growth/engage-surveys.tsx</t>
        </is>
      </c>
      <c r="B16" t="inlineStr">
        <is>
          <t>growth</t>
        </is>
      </c>
      <c r="C16" t="n">
        <v>5</v>
      </c>
      <c r="D16" t="inlineStr">
        <is>
          <t>No</t>
        </is>
      </c>
      <c r="E16" s="5" t="inlineStr"/>
    </row>
    <row r="17">
      <c r="A17" t="inlineStr">
        <is>
          <t>packages/yx-ui/src/screens/growth/learn-admin.tsx</t>
        </is>
      </c>
      <c r="B17" t="inlineStr">
        <is>
          <t>growth</t>
        </is>
      </c>
      <c r="C17" t="n">
        <v>9</v>
      </c>
      <c r="D17" t="inlineStr">
        <is>
          <t>No</t>
        </is>
      </c>
      <c r="E17" s="5" t="inlineStr"/>
    </row>
    <row r="18">
      <c r="A18" t="inlineStr">
        <is>
          <t>packages/yx-ui/src/screens/growth/learn-me.tsx</t>
        </is>
      </c>
      <c r="B18" t="inlineStr">
        <is>
          <t>growth</t>
        </is>
      </c>
      <c r="C18" t="n">
        <v>7</v>
      </c>
      <c r="D18" t="inlineStr">
        <is>
          <t>No</t>
        </is>
      </c>
      <c r="E18" s="5" t="inlineStr"/>
    </row>
    <row r="19">
      <c r="A19" t="inlineStr">
        <is>
          <t>packages/yx-ui/src/screens/growth/perf-goals.tsx</t>
        </is>
      </c>
      <c r="B19" t="inlineStr">
        <is>
          <t>growth</t>
        </is>
      </c>
      <c r="C19" t="n">
        <v>5</v>
      </c>
      <c r="D19" t="inlineStr">
        <is>
          <t>No</t>
        </is>
      </c>
      <c r="E19" s="5" t="inlineStr"/>
    </row>
    <row r="20">
      <c r="A20" t="inlineStr">
        <is>
          <t>packages/yx-ui/src/screens/growth/perf-people.tsx</t>
        </is>
      </c>
      <c r="B20" t="inlineStr">
        <is>
          <t>growth</t>
        </is>
      </c>
      <c r="C20" t="n">
        <v>5</v>
      </c>
      <c r="D20" t="inlineStr">
        <is>
          <t>No</t>
        </is>
      </c>
      <c r="E20" s="5" t="inlineStr"/>
    </row>
    <row r="21">
      <c r="A21" t="inlineStr">
        <is>
          <t>packages/yx-ui/src/screens/growth/perf-reviews.tsx</t>
        </is>
      </c>
      <c r="B21" t="inlineStr">
        <is>
          <t>growth</t>
        </is>
      </c>
      <c r="C21" t="n">
        <v>7</v>
      </c>
      <c r="D21" t="inlineStr">
        <is>
          <t>No</t>
        </is>
      </c>
      <c r="E21" s="5" t="inlineStr"/>
    </row>
    <row r="22">
      <c r="A22" t="inlineStr">
        <is>
          <t>packages/yx-ui/src/screens/growth/perf-talent.tsx</t>
        </is>
      </c>
      <c r="B22" t="inlineStr">
        <is>
          <t>growth</t>
        </is>
      </c>
      <c r="C22" t="n">
        <v>2</v>
      </c>
      <c r="D22" t="inlineStr">
        <is>
          <t>No</t>
        </is>
      </c>
      <c r="E22" s="5" t="inlineStr"/>
    </row>
    <row r="23">
      <c r="A23" t="inlineStr">
        <is>
          <t>packages/yx-ui/src/screens/hiring/hiring-offers.tsx</t>
        </is>
      </c>
      <c r="B23" t="inlineStr">
        <is>
          <t>hiring</t>
        </is>
      </c>
      <c r="C23" t="n">
        <v>7</v>
      </c>
      <c r="D23" t="inlineStr">
        <is>
          <t>No</t>
        </is>
      </c>
      <c r="E23" s="5" t="inlineStr"/>
    </row>
    <row r="24">
      <c r="A24" t="inlineStr">
        <is>
          <t>packages/yx-ui/src/screens/hiring/hiring-pipeline.tsx</t>
        </is>
      </c>
      <c r="B24" t="inlineStr">
        <is>
          <t>hiring</t>
        </is>
      </c>
      <c r="C24" t="n">
        <v>11</v>
      </c>
      <c r="D24" t="inlineStr">
        <is>
          <t>No</t>
        </is>
      </c>
      <c r="E24" s="5" t="inlineStr"/>
    </row>
    <row r="25">
      <c r="A25" t="inlineStr">
        <is>
          <t>packages/yx-ui/src/screens/hiring/hiring-plan.tsx</t>
        </is>
      </c>
      <c r="B25" t="inlineStr">
        <is>
          <t>hiring</t>
        </is>
      </c>
      <c r="C25" t="n">
        <v>12</v>
      </c>
      <c r="D25" t="inlineStr">
        <is>
          <t>No</t>
        </is>
      </c>
      <c r="E25" s="5" t="inlineStr"/>
    </row>
    <row r="26">
      <c r="A26" t="inlineStr">
        <is>
          <t>packages/yx-ui/src/screens/hiring/hiring-staffing.tsx</t>
        </is>
      </c>
      <c r="B26" t="inlineStr">
        <is>
          <t>hiring</t>
        </is>
      </c>
      <c r="C26" t="n">
        <v>12</v>
      </c>
      <c r="D26" t="inlineStr">
        <is>
          <t>No</t>
        </is>
      </c>
      <c r="E26" s="5" t="inlineStr"/>
    </row>
    <row r="27">
      <c r="A27" t="inlineStr">
        <is>
          <t>packages/yx-ui/src/screens/hiring/projects-billing.tsx</t>
        </is>
      </c>
      <c r="B27" t="inlineStr">
        <is>
          <t>hiring</t>
        </is>
      </c>
      <c r="C27" t="n">
        <v>4</v>
      </c>
      <c r="D27" t="inlineStr">
        <is>
          <t>No</t>
        </is>
      </c>
      <c r="E27" s="5" t="inlineStr"/>
    </row>
    <row r="28">
      <c r="A28" t="inlineStr">
        <is>
          <t>packages/yx-ui/src/screens/hiring/projects.tsx</t>
        </is>
      </c>
      <c r="B28" t="inlineStr">
        <is>
          <t>hiring</t>
        </is>
      </c>
      <c r="C28" t="n">
        <v>6</v>
      </c>
      <c r="D28" t="inlineStr">
        <is>
          <t>No</t>
        </is>
      </c>
      <c r="E28" s="5" t="inlineStr"/>
    </row>
    <row r="29">
      <c r="A29" t="inlineStr">
        <is>
          <t>packages/yx-ui/src/screens/history/hire.tsx</t>
        </is>
      </c>
      <c r="B29" t="inlineStr">
        <is>
          <t>history</t>
        </is>
      </c>
      <c r="C29" t="n">
        <v>2</v>
      </c>
      <c r="D29" t="inlineStr">
        <is>
          <t>No</t>
        </is>
      </c>
      <c r="E29" s="5" t="inlineStr"/>
    </row>
    <row r="30">
      <c r="A30" t="inlineStr">
        <is>
          <t>packages/yx-ui/src/screens/history/job-changes.tsx</t>
        </is>
      </c>
      <c r="B30" t="inlineStr">
        <is>
          <t>history</t>
        </is>
      </c>
      <c r="C30" t="n">
        <v>1</v>
      </c>
      <c r="D30" t="inlineStr">
        <is>
          <t>Yes</t>
        </is>
      </c>
      <c r="E30" s="5" t="inlineStr">
        <is>
          <t>JobChangesScreen</t>
        </is>
      </c>
    </row>
    <row r="31">
      <c r="A31" t="inlineStr">
        <is>
          <t>packages/yx-ui/src/screens/history/person-history.tsx</t>
        </is>
      </c>
      <c r="B31" t="inlineStr">
        <is>
          <t>history</t>
        </is>
      </c>
      <c r="C31" t="n">
        <v>1</v>
      </c>
      <c r="D31" t="inlineStr">
        <is>
          <t>Yes</t>
        </is>
      </c>
      <c r="E31" s="5" t="inlineStr">
        <is>
          <t>PersonHistoryScreen</t>
        </is>
      </c>
    </row>
    <row r="32">
      <c r="A32" t="inlineStr">
        <is>
          <t>packages/yx-ui/src/screens/notifications/sms-settings.tsx</t>
        </is>
      </c>
      <c r="B32" t="inlineStr">
        <is>
          <t>notifications</t>
        </is>
      </c>
      <c r="C32" t="n">
        <v>2</v>
      </c>
      <c r="D32" t="inlineStr">
        <is>
          <t>Yes</t>
        </is>
      </c>
      <c r="E32" s="5" t="inlineStr">
        <is>
          <t>SmsSettingsScreen</t>
        </is>
      </c>
    </row>
    <row r="33">
      <c r="A33" t="inlineStr">
        <is>
          <t>packages/yx-ui/src/screens/ops/cases-more.tsx</t>
        </is>
      </c>
      <c r="B33" t="inlineStr">
        <is>
          <t>ops</t>
        </is>
      </c>
      <c r="C33" t="n">
        <v>4</v>
      </c>
      <c r="D33" t="inlineStr">
        <is>
          <t>No</t>
        </is>
      </c>
      <c r="E33" s="5" t="inlineStr"/>
    </row>
    <row r="34">
      <c r="A34" t="inlineStr">
        <is>
          <t>packages/yx-ui/src/screens/ops/cases.tsx</t>
        </is>
      </c>
      <c r="B34" t="inlineStr">
        <is>
          <t>ops</t>
        </is>
      </c>
      <c r="C34" t="n">
        <v>12</v>
      </c>
      <c r="D34" t="inlineStr">
        <is>
          <t>No</t>
        </is>
      </c>
      <c r="E34" s="5" t="inlineStr"/>
    </row>
    <row r="35">
      <c r="A35" t="inlineStr">
        <is>
          <t>packages/yx-ui/src/screens/ops/compliance.tsx</t>
        </is>
      </c>
      <c r="B35" t="inlineStr">
        <is>
          <t>ops</t>
        </is>
      </c>
      <c r="C35" t="n">
        <v>10</v>
      </c>
      <c r="D35" t="inlineStr">
        <is>
          <t>No</t>
        </is>
      </c>
      <c r="E35" s="5" t="inlineStr"/>
    </row>
    <row r="36">
      <c r="A36" t="inlineStr">
        <is>
          <t>packages/yx-ui/src/screens/ops/contract.tsx</t>
        </is>
      </c>
      <c r="B36" t="inlineStr">
        <is>
          <t>ops</t>
        </is>
      </c>
      <c r="C36" t="n">
        <v>8</v>
      </c>
      <c r="D36" t="inlineStr">
        <is>
          <t>No</t>
        </is>
      </c>
      <c r="E36" s="5" t="inlineStr"/>
    </row>
    <row r="37">
      <c r="A37" t="inlineStr">
        <is>
          <t>packages/yx-ui/src/screens/ops/expenses-finance.tsx</t>
        </is>
      </c>
      <c r="B37" t="inlineStr">
        <is>
          <t>ops</t>
        </is>
      </c>
      <c r="C37" t="n">
        <v>4</v>
      </c>
      <c r="D37" t="inlineStr">
        <is>
          <t>No</t>
        </is>
      </c>
      <c r="E37" s="5" t="inlineStr"/>
    </row>
    <row r="38">
      <c r="A38" t="inlineStr">
        <is>
          <t>packages/yx-ui/src/screens/ops/expenses.tsx</t>
        </is>
      </c>
      <c r="B38" t="inlineStr">
        <is>
          <t>ops</t>
        </is>
      </c>
      <c r="C38" t="n">
        <v>8</v>
      </c>
      <c r="D38" t="inlineStr">
        <is>
          <t>No</t>
        </is>
      </c>
      <c r="E38" s="5" t="inlineStr"/>
    </row>
    <row r="39">
      <c r="A39" t="inlineStr">
        <is>
          <t>packages/yx-ui/src/screens/ops/helpdesk.tsx</t>
        </is>
      </c>
      <c r="B39" t="inlineStr">
        <is>
          <t>ops</t>
        </is>
      </c>
      <c r="C39" t="n">
        <v>11</v>
      </c>
      <c r="D39" t="inlineStr">
        <is>
          <t>No</t>
        </is>
      </c>
      <c r="E39" s="5" t="inlineStr"/>
    </row>
    <row r="40">
      <c r="A40" t="inlineStr">
        <is>
          <t>packages/yx-ui/src/screens/ops/posh.tsx</t>
        </is>
      </c>
      <c r="B40" t="inlineStr">
        <is>
          <t>ops</t>
        </is>
      </c>
      <c r="C40" t="n">
        <v>3</v>
      </c>
      <c r="D40" t="inlineStr">
        <is>
          <t>No</t>
        </is>
      </c>
      <c r="E40" s="5" t="inlineStr"/>
    </row>
    <row r="41">
      <c r="A41" t="inlineStr">
        <is>
          <t>packages/yx-ui/src/screens/ops/visitors.tsx</t>
        </is>
      </c>
      <c r="B41" t="inlineStr">
        <is>
          <t>ops</t>
        </is>
      </c>
      <c r="C41" t="n">
        <v>6</v>
      </c>
      <c r="D41" t="inlineStr">
        <is>
          <t>No</t>
        </is>
      </c>
      <c r="E41" s="5" t="inlineStr"/>
    </row>
    <row r="42">
      <c r="A42" t="inlineStr">
        <is>
          <t>packages/yx-ui/src/screens/org/entities.tsx</t>
        </is>
      </c>
      <c r="B42" t="inlineStr">
        <is>
          <t>org</t>
        </is>
      </c>
      <c r="C42" t="n">
        <v>1</v>
      </c>
      <c r="D42" t="inlineStr">
        <is>
          <t>Yes</t>
        </is>
      </c>
      <c r="E42" s="5" t="inlineStr">
        <is>
          <t>LegalEntitiesScreen</t>
        </is>
      </c>
    </row>
    <row r="43">
      <c r="A43" t="inlineStr">
        <is>
          <t>packages/yx-ui/src/screens/org/locations.tsx</t>
        </is>
      </c>
      <c r="B43" t="inlineStr">
        <is>
          <t>org</t>
        </is>
      </c>
      <c r="C43" t="n">
        <v>1</v>
      </c>
      <c r="D43" t="inlineStr">
        <is>
          <t>Yes</t>
        </is>
      </c>
      <c r="E43" s="5" t="inlineStr">
        <is>
          <t>LocationsScreen</t>
        </is>
      </c>
    </row>
    <row r="44">
      <c r="A44" t="inlineStr">
        <is>
          <t>packages/yx-ui/src/screens/org/settings.tsx</t>
        </is>
      </c>
      <c r="B44" t="inlineStr">
        <is>
          <t>org</t>
        </is>
      </c>
      <c r="C44" t="n">
        <v>3</v>
      </c>
      <c r="D44" t="inlineStr">
        <is>
          <t>No</t>
        </is>
      </c>
      <c r="E44" s="5" t="inlineStr"/>
    </row>
    <row r="45">
      <c r="A45" t="inlineStr">
        <is>
          <t>packages/yx-ui/src/screens/org/structure.tsx</t>
        </is>
      </c>
      <c r="B45" t="inlineStr">
        <is>
          <t>org</t>
        </is>
      </c>
      <c r="C45" t="n">
        <v>3</v>
      </c>
      <c r="D45" t="inlineStr">
        <is>
          <t>Yes</t>
        </is>
      </c>
      <c r="E45" s="5" t="inlineStr">
        <is>
          <t>KINDS, StructureScreen</t>
        </is>
      </c>
    </row>
    <row r="46">
      <c r="A46" t="inlineStr">
        <is>
          <t>packages/yx-ui/src/screens/pay/admin-tax-loans.tsx</t>
        </is>
      </c>
      <c r="B46" t="inlineStr">
        <is>
          <t>pay</t>
        </is>
      </c>
      <c r="C46" t="n">
        <v>6</v>
      </c>
      <c r="D46" t="inlineStr">
        <is>
          <t>No</t>
        </is>
      </c>
      <c r="E46" s="5" t="inlineStr"/>
    </row>
    <row r="47">
      <c r="A47" t="inlineStr">
        <is>
          <t>packages/yx-ui/src/screens/pay/comp-setup.tsx</t>
        </is>
      </c>
      <c r="B47" t="inlineStr">
        <is>
          <t>pay</t>
        </is>
      </c>
      <c r="C47" t="n">
        <v>8</v>
      </c>
      <c r="D47" t="inlineStr">
        <is>
          <t>No</t>
        </is>
      </c>
      <c r="E47" s="5" t="inlineStr"/>
    </row>
    <row r="48">
      <c r="A48" t="inlineStr">
        <is>
          <t>packages/yx-ui/src/screens/pay/employee-pay.tsx</t>
        </is>
      </c>
      <c r="B48" t="inlineStr">
        <is>
          <t>pay</t>
        </is>
      </c>
      <c r="C48" t="n">
        <v>11</v>
      </c>
      <c r="D48" t="inlineStr">
        <is>
          <t>No</t>
        </is>
      </c>
      <c r="E48" s="5" t="inlineStr"/>
    </row>
    <row r="49">
      <c r="A49" t="inlineStr">
        <is>
          <t>packages/yx-ui/src/screens/pay/offcycle.tsx</t>
        </is>
      </c>
      <c r="B49" t="inlineStr">
        <is>
          <t>pay</t>
        </is>
      </c>
      <c r="C49" t="n">
        <v>10</v>
      </c>
      <c r="D49" t="inlineStr">
        <is>
          <t>No</t>
        </is>
      </c>
      <c r="E49" s="5" t="inlineStr"/>
    </row>
    <row r="50">
      <c r="A50" t="inlineStr">
        <is>
          <t>packages/yx-ui/src/screens/pay/payroll-inputs.tsx</t>
        </is>
      </c>
      <c r="B50" t="inlineStr">
        <is>
          <t>pay</t>
        </is>
      </c>
      <c r="C50" t="n">
        <v>11</v>
      </c>
      <c r="D50" t="inlineStr">
        <is>
          <t>No</t>
        </is>
      </c>
      <c r="E50" s="5" t="inlineStr"/>
    </row>
    <row r="51">
      <c r="A51" t="inlineStr">
        <is>
          <t>packages/yx-ui/src/screens/pay/payroll-run.tsx</t>
        </is>
      </c>
      <c r="B51" t="inlineStr">
        <is>
          <t>pay</t>
        </is>
      </c>
      <c r="C51" t="n">
        <v>15</v>
      </c>
      <c r="D51" t="inlineStr">
        <is>
          <t>No</t>
        </is>
      </c>
      <c r="E51" s="5" t="inlineStr"/>
    </row>
    <row r="52">
      <c r="A52" t="inlineStr">
        <is>
          <t>packages/yx-ui/src/screens/pay/special-pay.tsx</t>
        </is>
      </c>
      <c r="B52" t="inlineStr">
        <is>
          <t>pay</t>
        </is>
      </c>
      <c r="C52" t="n">
        <v>12</v>
      </c>
      <c r="D52" t="inlineStr">
        <is>
          <t>No</t>
        </is>
      </c>
      <c r="E52" s="5" t="inlineStr"/>
    </row>
    <row r="53">
      <c r="A53" t="inlineStr">
        <is>
          <t>packages/yx-ui/src/screens/people/assets.tsx</t>
        </is>
      </c>
      <c r="B53" t="inlineStr">
        <is>
          <t>people</t>
        </is>
      </c>
      <c r="C53" t="n">
        <v>3</v>
      </c>
      <c r="D53" t="inlineStr">
        <is>
          <t>No</t>
        </is>
      </c>
      <c r="E53" s="5" t="inlineStr"/>
    </row>
    <row r="54">
      <c r="A54" t="inlineStr">
        <is>
          <t>packages/yx-ui/src/screens/people/changes.tsx</t>
        </is>
      </c>
      <c r="B54" t="inlineStr">
        <is>
          <t>people</t>
        </is>
      </c>
      <c r="C54" t="n">
        <v>7</v>
      </c>
      <c r="D54" t="inlineStr">
        <is>
          <t>No</t>
        </is>
      </c>
      <c r="E54" s="5" t="inlineStr"/>
    </row>
    <row r="55">
      <c r="A55" t="inlineStr">
        <is>
          <t>packages/yx-ui/src/screens/people/directory.tsx</t>
        </is>
      </c>
      <c r="B55" t="inlineStr">
        <is>
          <t>people</t>
        </is>
      </c>
      <c r="C55" t="n">
        <v>4</v>
      </c>
      <c r="D55" t="inlineStr">
        <is>
          <t>Yes</t>
        </is>
      </c>
      <c r="E55" s="5" t="inlineStr">
        <is>
          <t>DirectoryScreen, OrgChartScreen</t>
        </is>
      </c>
    </row>
    <row r="56">
      <c r="A56" t="inlineStr">
        <is>
          <t>packages/yx-ui/src/screens/people/documents.tsx</t>
        </is>
      </c>
      <c r="B56" t="inlineStr">
        <is>
          <t>people</t>
        </is>
      </c>
      <c r="C56" t="n">
        <v>11</v>
      </c>
      <c r="D56" t="inlineStr">
        <is>
          <t>No</t>
        </is>
      </c>
      <c r="E56" s="5" t="inlineStr"/>
    </row>
    <row r="57">
      <c r="A57" t="inlineStr">
        <is>
          <t>packages/yx-ui/src/screens/people/exits.tsx</t>
        </is>
      </c>
      <c r="B57" t="inlineStr">
        <is>
          <t>people</t>
        </is>
      </c>
      <c r="C57" t="n">
        <v>11</v>
      </c>
      <c r="D57" t="inlineStr">
        <is>
          <t>No</t>
        </is>
      </c>
      <c r="E57" s="5" t="inlineStr"/>
    </row>
    <row r="58">
      <c r="A58" t="inlineStr">
        <is>
          <t>packages/yx-ui/src/screens/people/onboarding.tsx</t>
        </is>
      </c>
      <c r="B58" t="inlineStr">
        <is>
          <t>people</t>
        </is>
      </c>
      <c r="C58" t="n">
        <v>11</v>
      </c>
      <c r="D58" t="inlineStr">
        <is>
          <t>No</t>
        </is>
      </c>
      <c r="E58" s="5" t="inlineStr"/>
    </row>
    <row r="59">
      <c r="A59" t="inlineStr">
        <is>
          <t>packages/yx-ui/src/screens/people/record.tsx</t>
        </is>
      </c>
      <c r="B59" t="inlineStr">
        <is>
          <t>people</t>
        </is>
      </c>
      <c r="C59" t="n">
        <v>6</v>
      </c>
      <c r="D59" t="inlineStr">
        <is>
          <t>No</t>
        </is>
      </c>
      <c r="E59" s="5" t="inlineStr"/>
    </row>
    <row r="60">
      <c r="A60" t="inlineStr">
        <is>
          <t>packages/yx-ui/src/screens/people/relations.tsx</t>
        </is>
      </c>
      <c r="B60" t="inlineStr">
        <is>
          <t>people</t>
        </is>
      </c>
      <c r="C60" t="n">
        <v>5</v>
      </c>
      <c r="D60" t="inlineStr">
        <is>
          <t>No</t>
        </is>
      </c>
      <c r="E60" s="5" t="inlineStr"/>
    </row>
    <row r="61">
      <c r="A61" t="inlineStr">
        <is>
          <t>packages/yx-ui/src/screens/people/selfservice.tsx</t>
        </is>
      </c>
      <c r="B61" t="inlineStr">
        <is>
          <t>people</t>
        </is>
      </c>
      <c r="C61" t="n">
        <v>12</v>
      </c>
      <c r="D61" t="inlineStr">
        <is>
          <t>No</t>
        </is>
      </c>
      <c r="E61" s="5" t="inlineStr"/>
    </row>
    <row r="62">
      <c r="A62" t="inlineStr">
        <is>
          <t>packages/yx-ui/src/screens/platform-a/custom.tsx</t>
        </is>
      </c>
      <c r="B62" t="inlineStr">
        <is>
          <t>platform-a</t>
        </is>
      </c>
      <c r="C62" t="n">
        <v>8</v>
      </c>
      <c r="D62" t="inlineStr">
        <is>
          <t>No</t>
        </is>
      </c>
      <c r="E62" s="5" t="inlineStr"/>
    </row>
    <row r="63">
      <c r="A63" t="inlineStr">
        <is>
          <t>packages/yx-ui/src/screens/platform-a/governance.tsx</t>
        </is>
      </c>
      <c r="B63" t="inlineStr">
        <is>
          <t>platform-a</t>
        </is>
      </c>
      <c r="C63" t="n">
        <v>9</v>
      </c>
      <c r="D63" t="inlineStr">
        <is>
          <t>No</t>
        </is>
      </c>
      <c r="E63" s="5" t="inlineStr"/>
    </row>
    <row r="64">
      <c r="A64" t="inlineStr">
        <is>
          <t>packages/yx-ui/src/screens/platform-a/inbox.tsx</t>
        </is>
      </c>
      <c r="B64" t="inlineStr">
        <is>
          <t>platform-a</t>
        </is>
      </c>
      <c r="C64" t="n">
        <v>13</v>
      </c>
      <c r="D64" t="inlineStr">
        <is>
          <t>No</t>
        </is>
      </c>
      <c r="E64" s="5" t="inlineStr"/>
    </row>
    <row r="65">
      <c r="A65" t="inlineStr">
        <is>
          <t>packages/yx-ui/src/screens/platform-a/integrations.tsx</t>
        </is>
      </c>
      <c r="B65" t="inlineStr">
        <is>
          <t>platform-a</t>
        </is>
      </c>
      <c r="C65" t="n">
        <v>5</v>
      </c>
      <c r="D65" t="inlineStr">
        <is>
          <t>No</t>
        </is>
      </c>
      <c r="E65" s="5" t="inlineStr"/>
    </row>
    <row r="66">
      <c r="A66" t="inlineStr">
        <is>
          <t>packages/yx-ui/src/screens/platform-a/setup-admin.tsx</t>
        </is>
      </c>
      <c r="B66" t="inlineStr">
        <is>
          <t>platform-a</t>
        </is>
      </c>
      <c r="C66" t="n">
        <v>8</v>
      </c>
      <c r="D66" t="inlineStr">
        <is>
          <t>Yes</t>
        </is>
      </c>
      <c r="E66" s="5" t="inlineStr">
        <is>
          <t>RolesAccessScreen</t>
        </is>
      </c>
    </row>
    <row r="67">
      <c r="A67" t="inlineStr">
        <is>
          <t>packages/yx-ui/src/screens/platform-a/shell-home.tsx</t>
        </is>
      </c>
      <c r="B67" t="inlineStr">
        <is>
          <t>platform-a</t>
        </is>
      </c>
      <c r="C67" t="n">
        <v>12</v>
      </c>
      <c r="D67" t="inlineStr">
        <is>
          <t>No</t>
        </is>
      </c>
      <c r="E67" s="5" t="inlineStr"/>
    </row>
    <row r="68">
      <c r="A68" t="inlineStr">
        <is>
          <t>packages/yx-ui/src/screens/platform-b/growth-screens.tsx</t>
        </is>
      </c>
      <c r="B68" t="inlineStr">
        <is>
          <t>platform-b</t>
        </is>
      </c>
      <c r="C68" t="n">
        <v>15</v>
      </c>
      <c r="D68" t="inlineStr">
        <is>
          <t>No</t>
        </is>
      </c>
      <c r="E68" s="5" t="inlineStr"/>
    </row>
    <row r="69">
      <c r="A69" t="inlineStr">
        <is>
          <t>packages/yx-ui/src/screens/platform-b/region-agent-screens.tsx</t>
        </is>
      </c>
      <c r="B69" t="inlineStr">
        <is>
          <t>platform-b</t>
        </is>
      </c>
      <c r="C69" t="n">
        <v>9</v>
      </c>
      <c r="D69" t="inlineStr">
        <is>
          <t>No</t>
        </is>
      </c>
      <c r="E69" s="5" t="inlineStr"/>
    </row>
    <row r="70">
      <c r="A70" t="inlineStr">
        <is>
          <t>packages/yx-ui/src/screens/platform-b/rules-screens.tsx</t>
        </is>
      </c>
      <c r="B70" t="inlineStr">
        <is>
          <t>platform-b</t>
        </is>
      </c>
      <c r="C70" t="n">
        <v>10</v>
      </c>
      <c r="D70" t="inlineStr">
        <is>
          <t>No</t>
        </is>
      </c>
      <c r="E70" s="5" t="inlineStr"/>
    </row>
    <row r="71">
      <c r="A71" t="inlineStr">
        <is>
          <t>packages/yx-ui/src/screens/platform-b/studio-screens.tsx</t>
        </is>
      </c>
      <c r="B71" t="inlineStr">
        <is>
          <t>platform-b</t>
        </is>
      </c>
      <c r="C71" t="n">
        <v>11</v>
      </c>
      <c r="D71" t="inlineStr">
        <is>
          <t>No</t>
        </is>
      </c>
      <c r="E71" s="5" t="inlineStr"/>
    </row>
    <row r="72">
      <c r="A72" t="inlineStr">
        <is>
          <t>packages/yx-ui/src/screens/portals/console-finance.tsx</t>
        </is>
      </c>
      <c r="B72" t="inlineStr">
        <is>
          <t>portals</t>
        </is>
      </c>
      <c r="C72" t="n">
        <v>6</v>
      </c>
      <c r="D72" t="inlineStr">
        <is>
          <t>No</t>
        </is>
      </c>
      <c r="E72" s="5" t="inlineStr"/>
    </row>
    <row r="73">
      <c r="A73" t="inlineStr">
        <is>
          <t>packages/yx-ui/src/screens/portals/console-ops.tsx</t>
        </is>
      </c>
      <c r="B73" t="inlineStr">
        <is>
          <t>portals</t>
        </is>
      </c>
      <c r="C73" t="n">
        <v>12</v>
      </c>
      <c r="D73" t="inlineStr">
        <is>
          <t>No</t>
        </is>
      </c>
      <c r="E73" s="5" t="inlineStr"/>
    </row>
    <row r="74">
      <c r="A74" t="inlineStr">
        <is>
          <t>packages/yx-ui/src/screens/portals/console-rules.tsx</t>
        </is>
      </c>
      <c r="B74" t="inlineStr">
        <is>
          <t>portals</t>
        </is>
      </c>
      <c r="C74" t="n">
        <v>4</v>
      </c>
      <c r="D74" t="inlineStr">
        <is>
          <t>No</t>
        </is>
      </c>
      <c r="E74" s="5" t="inlineStr"/>
    </row>
    <row r="75">
      <c r="A75" t="inlineStr">
        <is>
          <t>packages/yx-ui/src/screens/portals/mobile-shell.tsx</t>
        </is>
      </c>
      <c r="B75" t="inlineStr">
        <is>
          <t>portals</t>
        </is>
      </c>
      <c r="C75" t="n">
        <v>3</v>
      </c>
      <c r="D75" t="inlineStr">
        <is>
          <t>No</t>
        </is>
      </c>
      <c r="E75" s="5" t="inlineStr"/>
    </row>
    <row r="76">
      <c r="A76" t="inlineStr">
        <is>
          <t>packages/yx-ui/src/screens/portals/partner.tsx</t>
        </is>
      </c>
      <c r="B76" t="inlineStr">
        <is>
          <t>portals</t>
        </is>
      </c>
      <c r="C76" t="n">
        <v>11</v>
      </c>
      <c r="D76" t="inlineStr">
        <is>
          <t>No</t>
        </is>
      </c>
      <c r="E76" s="5" t="inlineStr"/>
    </row>
    <row r="77">
      <c r="A77" t="inlineStr">
        <is>
          <t>packages/yx-ui/src/screens/portals/t9-business.tsx</t>
        </is>
      </c>
      <c r="B77" t="inlineStr">
        <is>
          <t>portals</t>
        </is>
      </c>
      <c r="C77" t="n">
        <v>4</v>
      </c>
      <c r="D77" t="inlineStr">
        <is>
          <t>No</t>
        </is>
      </c>
      <c r="E77" s="5" t="inlineStr"/>
    </row>
    <row r="78">
      <c r="A78" t="inlineStr">
        <is>
          <t>packages/yx-ui/src/screens/portals/t9-candidate.tsx</t>
        </is>
      </c>
      <c r="B78" t="inlineStr">
        <is>
          <t>portals</t>
        </is>
      </c>
      <c r="C78" t="n">
        <v>9</v>
      </c>
      <c r="D78" t="inlineStr">
        <is>
          <t>No</t>
        </is>
      </c>
      <c r="E78" s="5" t="inlineStr"/>
    </row>
    <row r="79">
      <c r="A79" t="inlineStr">
        <is>
          <t>packages/yx-ui/src/screens/portals/t9-public.tsx</t>
        </is>
      </c>
      <c r="B79" t="inlineStr">
        <is>
          <t>portals</t>
        </is>
      </c>
      <c r="C79" t="n">
        <v>7</v>
      </c>
      <c r="D79" t="inlineStr">
        <is>
          <t>No</t>
        </is>
      </c>
      <c r="E79" s="5" t="inlineStr"/>
    </row>
    <row r="80">
      <c r="A80" t="inlineStr">
        <is>
          <t>packages/yx-ui/src/screens/portals/t9-workforce.tsx</t>
        </is>
      </c>
      <c r="B80" t="inlineStr">
        <is>
          <t>portals</t>
        </is>
      </c>
      <c r="C80" t="n">
        <v>15</v>
      </c>
      <c r="D80" t="inlineStr">
        <is>
          <t>No</t>
        </is>
      </c>
      <c r="E80" s="5" t="inlineStr"/>
    </row>
    <row r="81">
      <c r="A81" t="inlineStr">
        <is>
          <t>packages/yx-ui/src/screens/proctoring/analytics.tsx</t>
        </is>
      </c>
      <c r="B81" t="inlineStr">
        <is>
          <t>proctoring</t>
        </is>
      </c>
      <c r="C81" t="n">
        <v>11</v>
      </c>
      <c r="D81" t="inlineStr">
        <is>
          <t>No</t>
        </is>
      </c>
      <c r="E81" s="5" t="inlineStr"/>
    </row>
    <row r="82">
      <c r="A82" t="inlineStr">
        <is>
          <t>packages/yx-ui/src/screens/proctoring/bank-tests.tsx</t>
        </is>
      </c>
      <c r="B82" t="inlineStr">
        <is>
          <t>proctoring</t>
        </is>
      </c>
      <c r="C82" t="n">
        <v>9</v>
      </c>
      <c r="D82" t="inlineStr">
        <is>
          <t>No</t>
        </is>
      </c>
      <c r="E82" s="5" t="inlineStr"/>
    </row>
    <row r="83">
      <c r="A83" t="inlineStr">
        <is>
          <t>packages/yx-ui/src/screens/proctoring/candidate.tsx</t>
        </is>
      </c>
      <c r="B83" t="inlineStr">
        <is>
          <t>proctoring</t>
        </is>
      </c>
      <c r="C83" t="n">
        <v>10</v>
      </c>
      <c r="D83" t="inlineStr">
        <is>
          <t>No</t>
        </is>
      </c>
      <c r="E83" s="5" t="inlineStr"/>
    </row>
    <row r="84">
      <c r="A84" t="inlineStr">
        <is>
          <t>packages/yx-ui/src/screens/proctoring/delivery.tsx</t>
        </is>
      </c>
      <c r="B84" t="inlineStr">
        <is>
          <t>proctoring</t>
        </is>
      </c>
      <c r="C84" t="n">
        <v>9</v>
      </c>
      <c r="D84" t="inlineStr">
        <is>
          <t>No</t>
        </is>
      </c>
      <c r="E84" s="5" t="inlineStr"/>
    </row>
    <row r="85">
      <c r="A85" t="inlineStr">
        <is>
          <t>packages/yx-ui/src/screens/proctoring/integrity.tsx</t>
        </is>
      </c>
      <c r="B85" t="inlineStr">
        <is>
          <t>proctoring</t>
        </is>
      </c>
      <c r="C85" t="n">
        <v>7</v>
      </c>
      <c r="D85" t="inlineStr">
        <is>
          <t>No</t>
        </is>
      </c>
      <c r="E85" s="5" t="inlineStr"/>
    </row>
    <row r="86">
      <c r="A86" t="inlineStr">
        <is>
          <t>packages/yx-ui/src/screens/proctoring/live.tsx</t>
        </is>
      </c>
      <c r="B86" t="inlineStr">
        <is>
          <t>proctoring</t>
        </is>
      </c>
      <c r="C86" t="n">
        <v>6</v>
      </c>
      <c r="D86" t="inlineStr">
        <is>
          <t>No</t>
        </is>
      </c>
      <c r="E86" s="5" t="inlineStr"/>
    </row>
    <row r="87">
      <c r="A87" t="inlineStr">
        <is>
          <t>packages/yx-ui/src/screens/proctoring/proctoring-shared.tsx</t>
        </is>
      </c>
      <c r="B87" t="inlineStr">
        <is>
          <t>proctoring</t>
        </is>
      </c>
      <c r="C87" t="n">
        <v>3</v>
      </c>
      <c r="D87" t="inlineStr">
        <is>
          <t>No</t>
        </is>
      </c>
      <c r="E87" s="5" t="inlineStr"/>
    </row>
    <row r="88">
      <c r="A88" t="inlineStr">
        <is>
          <t>packages/yx-ui/src/screens/settings/help.tsx</t>
        </is>
      </c>
      <c r="B88" t="inlineStr">
        <is>
          <t>settings</t>
        </is>
      </c>
      <c r="C88" t="n">
        <v>14</v>
      </c>
      <c r="D88" t="inlineStr">
        <is>
          <t>No</t>
        </is>
      </c>
      <c r="E88" s="5" t="inlineStr"/>
    </row>
    <row r="89">
      <c r="A89" t="inlineStr">
        <is>
          <t>packages/yx-ui/src/screens/settings/mobile-home.tsx</t>
        </is>
      </c>
      <c r="B89" t="inlineStr">
        <is>
          <t>settings</t>
        </is>
      </c>
      <c r="C89" t="n">
        <v>12</v>
      </c>
      <c r="D89" t="inlineStr">
        <is>
          <t>No</t>
        </is>
      </c>
      <c r="E89" s="5" t="inlineStr"/>
    </row>
    <row r="90">
      <c r="A90" t="inlineStr">
        <is>
          <t>packages/yx-ui/src/screens/settings/mobile-me.tsx</t>
        </is>
      </c>
      <c r="B90" t="inlineStr">
        <is>
          <t>settings</t>
        </is>
      </c>
      <c r="C90" t="n">
        <v>21</v>
      </c>
      <c r="D90" t="inlineStr">
        <is>
          <t>No</t>
        </is>
      </c>
      <c r="E90" s="5" t="inlineStr"/>
    </row>
    <row r="91">
      <c r="A91" t="inlineStr">
        <is>
          <t>packages/yx-ui/src/screens/settings/settings-screens.tsx</t>
        </is>
      </c>
      <c r="B91" t="inlineStr">
        <is>
          <t>settings</t>
        </is>
      </c>
      <c r="C91" t="n">
        <v>3</v>
      </c>
      <c r="D91" t="inlineStr">
        <is>
          <t>No</t>
        </is>
      </c>
      <c r="E91" s="5" t="inlineStr"/>
    </row>
    <row r="92">
      <c r="A92" t="inlineStr">
        <is>
          <t>packages/yx-ui/src/screens/time/attendance.tsx</t>
        </is>
      </c>
      <c r="B92" t="inlineStr">
        <is>
          <t>time</t>
        </is>
      </c>
      <c r="C92" t="n">
        <v>12</v>
      </c>
      <c r="D92" t="inlineStr">
        <is>
          <t>No</t>
        </is>
      </c>
      <c r="E92" s="5" t="inlineStr"/>
    </row>
    <row r="93">
      <c r="A93" t="inlineStr">
        <is>
          <t>packages/yx-ui/src/screens/time/field.tsx</t>
        </is>
      </c>
      <c r="B93" t="inlineStr">
        <is>
          <t>time</t>
        </is>
      </c>
      <c r="C93" t="n">
        <v>5</v>
      </c>
      <c r="D93" t="inlineStr">
        <is>
          <t>No</t>
        </is>
      </c>
      <c r="E93" s="5" t="inlineStr"/>
    </row>
    <row r="94">
      <c r="A94" t="inlineStr">
        <is>
          <t>packages/yx-ui/src/screens/time/leave-admin.tsx</t>
        </is>
      </c>
      <c r="B94" t="inlineStr">
        <is>
          <t>time</t>
        </is>
      </c>
      <c r="C94" t="n">
        <v>6</v>
      </c>
      <c r="D94" t="inlineStr">
        <is>
          <t>No</t>
        </is>
      </c>
      <c r="E94" s="5" t="inlineStr"/>
    </row>
    <row r="95">
      <c r="A95" t="inlineStr">
        <is>
          <t>packages/yx-ui/src/screens/time/leave.tsx</t>
        </is>
      </c>
      <c r="B95" t="inlineStr">
        <is>
          <t>time</t>
        </is>
      </c>
      <c r="C95" t="n">
        <v>16</v>
      </c>
      <c r="D95" t="inlineStr">
        <is>
          <t>No</t>
        </is>
      </c>
      <c r="E95" s="5" t="inlineStr"/>
    </row>
    <row r="96">
      <c r="A96" t="inlineStr">
        <is>
          <t>packages/yx-ui/src/screens/time/ops.tsx</t>
        </is>
      </c>
      <c r="B96" t="inlineStr">
        <is>
          <t>time</t>
        </is>
      </c>
      <c r="C96" t="n">
        <v>10</v>
      </c>
      <c r="D96" t="inlineStr">
        <is>
          <t>No</t>
        </is>
      </c>
      <c r="E96" s="5" t="inlineStr"/>
    </row>
    <row r="97">
      <c r="A97" t="inlineStr">
        <is>
          <t>packages/yx-ui/src/screens/time/requests.tsx</t>
        </is>
      </c>
      <c r="B97" t="inlineStr">
        <is>
          <t>time</t>
        </is>
      </c>
      <c r="C97" t="n">
        <v>6</v>
      </c>
      <c r="D97" t="inlineStr">
        <is>
          <t>No</t>
        </is>
      </c>
      <c r="E97" s="5" t="inlineStr"/>
    </row>
    <row r="98">
      <c r="A98" t="inlineStr">
        <is>
          <t>packages/yx-ui/src/screens/time/roster.tsx</t>
        </is>
      </c>
      <c r="B98" t="inlineStr">
        <is>
          <t>time</t>
        </is>
      </c>
      <c r="C98" t="n">
        <v>17</v>
      </c>
      <c r="D98" t="inlineStr">
        <is>
          <t>No</t>
        </is>
      </c>
      <c r="E98" s="5" t="inlineStr"/>
    </row>
    <row r="99">
      <c r="A99" t="inlineStr">
        <is>
          <t>packages/yx-ui/src/screens/workforce/bulk.tsx</t>
        </is>
      </c>
      <c r="B99" t="inlineStr">
        <is>
          <t>workforce</t>
        </is>
      </c>
      <c r="C99" t="n">
        <v>2</v>
      </c>
      <c r="D99" t="inlineStr">
        <is>
          <t>Yes</t>
        </is>
      </c>
      <c r="E99" s="5" t="inlineStr">
        <is>
          <t>BulkChangesScreen</t>
        </is>
      </c>
    </row>
    <row r="100">
      <c r="A100" t="inlineStr">
        <is>
          <t>packages/yx-ui/src/screens/workforce/directory.tsx</t>
        </is>
      </c>
      <c r="B100" t="inlineStr">
        <is>
          <t>workforce</t>
        </is>
      </c>
      <c r="C100" t="n">
        <v>1</v>
      </c>
      <c r="D100" t="inlineStr">
        <is>
          <t>Yes</t>
        </is>
      </c>
      <c r="E100" s="5" t="inlineStr">
        <is>
          <t>DirectoryScreen</t>
        </is>
      </c>
    </row>
    <row r="101">
      <c r="A101" t="inlineStr">
        <is>
          <t>packages/yx-ui/src/screens/workforce/org-chart.tsx</t>
        </is>
      </c>
      <c r="B101" t="inlineStr">
        <is>
          <t>workforce</t>
        </is>
      </c>
      <c r="C101" t="n">
        <v>1</v>
      </c>
      <c r="D101" t="inlineStr">
        <is>
          <t>Yes</t>
        </is>
      </c>
      <c r="E101" s="5" t="inlineStr">
        <is>
          <t>OrgChartScreen</t>
        </is>
      </c>
    </row>
    <row r="102">
      <c r="A102" t="inlineStr">
        <is>
          <t>packages/yx-ui/src/screens/workforce/probation.tsx</t>
        </is>
      </c>
      <c r="B102" t="inlineStr">
        <is>
          <t>workforce</t>
        </is>
      </c>
      <c r="C102" t="n">
        <v>1</v>
      </c>
      <c r="D102" t="inlineStr">
        <is>
          <t>Yes</t>
        </is>
      </c>
      <c r="E102" s="5" t="inlineStr">
        <is>
          <t>ProbationScreen</t>
        </is>
      </c>
    </row>
    <row r="103">
      <c r="A103" t="inlineStr">
        <is>
          <t>packages/yx-ui/src/screens/workforce/team.tsx</t>
        </is>
      </c>
      <c r="B103" t="inlineStr">
        <is>
          <t>workforce</t>
        </is>
      </c>
      <c r="C103" t="n">
        <v>1</v>
      </c>
      <c r="D103" t="inlineStr">
        <is>
          <t>Yes</t>
        </is>
      </c>
      <c r="E103" s="5" t="inlineStr">
        <is>
          <t>TeamScreen</t>
        </is>
      </c>
    </row>
  </sheetData>
  <autoFilter ref="A1:F103"/>
  <conditionalFormatting sqref="D2:D103">
    <cfRule type="expression" priority="1" dxfId="0">
      <formula>ISNUMBER(SEARCH("Yes",D2))</formula>
    </cfRule>
    <cfRule type="expression" priority="2" dxfId="1">
      <formula>ISNUMBER(SEARCH("No",D2))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60" customWidth="1" min="2" max="2"/>
    <col width="9" customWidth="1" min="3" max="3"/>
    <col width="9" customWidth="1" min="4" max="4"/>
    <col width="24" customWidth="1" min="5" max="5"/>
    <col width="24" customWidth="1" min="6" max="6"/>
    <col width="11" customWidth="1" min="7" max="7"/>
    <col width="48" customWidth="1" min="8" max="8"/>
    <col width="30" customWidth="1" min="9" max="9"/>
  </cols>
  <sheetData>
    <row r="1">
      <c r="A1" s="4" t="inlineStr">
        <is>
          <t>PR</t>
        </is>
      </c>
      <c r="B1" s="4" t="inlineStr">
        <is>
          <t>Title</t>
        </is>
      </c>
      <c r="C1" s="4" t="inlineStr">
        <is>
          <t>State</t>
        </is>
      </c>
      <c r="D1" s="4" t="inlineStr">
        <is>
          <t>CI</t>
        </is>
      </c>
      <c r="E1" s="4" t="inlineStr">
        <is>
          <t>Branch</t>
        </is>
      </c>
      <c r="F1" s="4" t="inlineStr">
        <is>
          <t>Base</t>
        </is>
      </c>
      <c r="G1" s="4" t="inlineStr">
        <is>
          <t>Updated</t>
        </is>
      </c>
      <c r="H1" s="4" t="inlineStr">
        <is>
          <t>Link</t>
        </is>
      </c>
      <c r="I1" s="4" t="inlineStr">
        <is>
          <t>Notes (you)</t>
        </is>
      </c>
    </row>
    <row r="2">
      <c r="A2" t="n">
        <v>131</v>
      </c>
      <c r="B2" s="5" t="inlineStr">
        <is>
          <t>Step 2: organisation and employee core with People and Settings screens</t>
        </is>
      </c>
      <c r="C2" t="inlineStr">
        <is>
          <t>OPEN</t>
        </is>
      </c>
      <c r="D2" t="inlineStr">
        <is>
          <t>running</t>
        </is>
      </c>
      <c r="E2" t="inlineStr">
        <is>
          <t>feat/yukthix-org</t>
        </is>
      </c>
      <c r="F2" t="inlineStr">
        <is>
          <t>feat/yukthix-workspace</t>
        </is>
      </c>
      <c r="G2" t="inlineStr">
        <is>
          <t>2026-10-07</t>
        </is>
      </c>
      <c r="H2" t="inlineStr">
        <is>
          <t>https://github.com/hari9495/exam-app/pull/131</t>
        </is>
      </c>
    </row>
    <row r="3">
      <c r="A3" t="n">
        <v>130</v>
      </c>
      <c r="B3" s="5" t="inlineStr">
        <is>
          <t>Bring YukthiX design docs and the full UI prototype into the monorepo</t>
        </is>
      </c>
      <c r="C3" t="inlineStr">
        <is>
          <t>OPEN</t>
        </is>
      </c>
      <c r="D3" t="inlineStr">
        <is>
          <t>passing</t>
        </is>
      </c>
      <c r="E3" t="inlineStr">
        <is>
          <t>feat/yukthix-workspace</t>
        </is>
      </c>
      <c r="F3" t="inlineStr">
        <is>
          <t>feat/yukthix-login</t>
        </is>
      </c>
      <c r="G3" t="inlineStr">
        <is>
          <t>2026-10-06</t>
        </is>
      </c>
      <c r="H3" t="inlineStr">
        <is>
          <t>https://github.com/hari9495/exam-app/pull/130</t>
        </is>
      </c>
    </row>
    <row r="4">
      <c r="A4" t="n">
        <v>129</v>
      </c>
      <c r="B4" s="5" t="inlineStr">
        <is>
          <t>Login to the P12 security spec: sessions, MFA, OTP, SSO and YukthiX screens</t>
        </is>
      </c>
      <c r="C4" t="inlineStr">
        <is>
          <t>OPEN</t>
        </is>
      </c>
      <c r="D4" t="inlineStr">
        <is>
          <t>passing</t>
        </is>
      </c>
      <c r="E4" t="inlineStr">
        <is>
          <t>feat/yukthix-login</t>
        </is>
      </c>
      <c r="F4" t="inlineStr">
        <is>
          <t>feat/yukthix-postgres</t>
        </is>
      </c>
      <c r="G4" t="inlineStr">
        <is>
          <t>2026-10-06</t>
        </is>
      </c>
      <c r="H4" t="inlineStr">
        <is>
          <t>https://github.com/hari9495/exam-app/pull/129</t>
        </is>
      </c>
    </row>
    <row r="5">
      <c r="A5" t="n">
        <v>128</v>
      </c>
      <c r="B5" s="5" t="inlineStr">
        <is>
          <t>Move platform to PostgreSQL with forced row-level security</t>
        </is>
      </c>
      <c r="C5" t="inlineStr">
        <is>
          <t>OPEN</t>
        </is>
      </c>
      <c r="D5" t="inlineStr">
        <is>
          <t>passing</t>
        </is>
      </c>
      <c r="E5" t="inlineStr">
        <is>
          <t>feat/yukthix-postgres</t>
        </is>
      </c>
      <c r="F5" t="inlineStr">
        <is>
          <t>main</t>
        </is>
      </c>
      <c r="G5" t="inlineStr">
        <is>
          <t>2026-10-06</t>
        </is>
      </c>
      <c r="H5" t="inlineStr">
        <is>
          <t>https://github.com/hari9495/exam-app/pull/128</t>
        </is>
      </c>
    </row>
  </sheetData>
  <autoFilter ref="A1:I5"/>
  <conditionalFormatting sqref="D2:D5">
    <cfRule type="expression" priority="1" dxfId="0">
      <formula>ISNUMBER(SEARCH("passing",D2))</formula>
    </cfRule>
    <cfRule type="expression" priority="2" dxfId="2">
      <formula>ISNUMBER(SEARCH("failing",D2))</formula>
    </cfRule>
    <cfRule type="expression" priority="3" dxfId="1">
      <formula>ISNUMBER(SEARCH("running",D2))</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8" customWidth="1" min="2" max="2"/>
    <col width="90" customWidth="1" min="3" max="3"/>
  </cols>
  <sheetData>
    <row r="1">
      <c r="A1" s="4" t="inlineStr">
        <is>
          <t>Checkout</t>
        </is>
      </c>
      <c r="B1" s="4" t="inlineStr">
        <is>
          <t>Branch</t>
        </is>
      </c>
      <c r="C1" s="4" t="inlineStr">
        <is>
          <t>Last commit</t>
        </is>
      </c>
    </row>
    <row r="2">
      <c r="A2" t="inlineStr">
        <is>
          <t>exam-app-org</t>
        </is>
      </c>
      <c r="B2" t="inlineStr">
        <is>
          <t>feat/yukthix-org</t>
        </is>
      </c>
      <c r="C2" t="inlineStr">
        <is>
          <t>b376dd80 Merge remote-tracking branch 'origin/feat/yukthix-workspace' into feat/yukthix-org (2026-10-07)</t>
        </is>
      </c>
    </row>
    <row r="3">
      <c r="A3" t="inlineStr">
        <is>
          <t>exam-app-ws</t>
        </is>
      </c>
      <c r="B3" t="inlineStr">
        <is>
          <t>feat/yukthix-workspace</t>
        </is>
      </c>
      <c r="C3" t="inlineStr">
        <is>
          <t>1af52c91 docs(yukthix): M14 decisions Q6-Q9 (device link only, identity actions with controls, one plan, AI by own key or paid credits) and their stories (2026-10-07)</t>
        </is>
      </c>
    </row>
  </sheetData>
  <autoFilter ref="A1:C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56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8" customWidth="1" min="3" max="3"/>
    <col width="55" customWidth="1" min="4" max="4"/>
    <col width="30" customWidth="1" min="5" max="5"/>
    <col width="30" customWidth="1" min="6" max="6"/>
    <col width="10" customWidth="1" min="7" max="7"/>
    <col width="12" customWidth="1" min="8" max="8"/>
    <col width="10" customWidth="1" min="9" max="9"/>
    <col width="18" customWidth="1" min="10" max="10"/>
    <col width="7" customWidth="1" min="11" max="11"/>
    <col width="7" customWidth="1" min="12" max="12"/>
    <col width="60" customWidth="1" min="13" max="13"/>
    <col width="80" customWidth="1" min="14" max="14"/>
    <col width="30" customWidth="1" min="15" max="15"/>
    <col width="14" customWidth="1" min="16" max="16"/>
    <col width="16" customWidth="1" min="17" max="17"/>
    <col width="40" customWidth="1" min="18" max="18"/>
    <col width="30" customWidth="1" min="19" max="19"/>
  </cols>
  <sheetData>
    <row r="1">
      <c r="A1" s="4" t="inlineStr">
        <is>
          <t>ID</t>
        </is>
      </c>
      <c r="B1" s="4" t="inlineStr">
        <is>
          <t>Order</t>
        </is>
      </c>
      <c r="C1" s="4" t="inlineStr">
        <is>
          <t>Type</t>
        </is>
      </c>
      <c r="D1" s="4" t="inlineStr">
        <is>
          <t>Title</t>
        </is>
      </c>
      <c r="E1" s="4" t="inlineStr">
        <is>
          <t>Epic</t>
        </is>
      </c>
      <c r="F1" s="4" t="inlineStr">
        <is>
          <t>Feature</t>
        </is>
      </c>
      <c r="G1" s="4" t="inlineStr">
        <is>
          <t>State (start)</t>
        </is>
      </c>
      <c r="H1" s="4" t="inlineStr">
        <is>
          <t>State (you)</t>
        </is>
      </c>
      <c r="I1" s="4" t="inlineStr">
        <is>
          <t>State</t>
        </is>
      </c>
      <c r="J1" s="4" t="inlineStr">
        <is>
          <t>Phase</t>
        </is>
      </c>
      <c r="K1" s="4" t="inlineStr">
        <is>
          <t>Points</t>
        </is>
      </c>
      <c r="L1" s="4" t="inlineStr">
        <is>
          <t>Priority</t>
        </is>
      </c>
      <c r="M1" s="4" t="inlineStr">
        <is>
          <t>User story</t>
        </is>
      </c>
      <c r="N1" s="4" t="inlineStr">
        <is>
          <t>Acceptance criteria</t>
        </is>
      </c>
      <c r="O1" s="4" t="inlineStr">
        <is>
          <t>Rules</t>
        </is>
      </c>
      <c r="P1" s="4" t="inlineStr">
        <is>
          <t>Design docs</t>
        </is>
      </c>
      <c r="Q1" s="4" t="inlineStr">
        <is>
          <t>Depends on</t>
        </is>
      </c>
      <c r="R1" s="4" t="inlineStr">
        <is>
          <t>Evidence</t>
        </is>
      </c>
      <c r="S1" s="4" t="inlineStr">
        <is>
          <t>Notes (you)</t>
        </is>
      </c>
    </row>
    <row r="2">
      <c r="A2" s="7" t="inlineStr">
        <is>
          <t>EP-A-1</t>
        </is>
      </c>
      <c r="B2" s="7" t="n">
        <v>0</v>
      </c>
      <c r="C2" s="7" t="inlineStr">
        <is>
          <t>Epic</t>
        </is>
      </c>
      <c r="D2" s="8" t="inlineStr">
        <is>
          <t>Step 0 · PostgreSQL and tenant isolation</t>
        </is>
      </c>
      <c r="E2" s="7" t="inlineStr">
        <is>
          <t>Step 0 · PostgreSQL and tenant isolation</t>
        </is>
      </c>
      <c r="F2" s="7" t="inlineStr"/>
      <c r="G2" s="7" t="inlineStr">
        <is>
          <t>Done</t>
        </is>
      </c>
      <c r="H2" s="7" t="n"/>
      <c r="I2" s="7">
        <f>IF(H2&lt;&gt;"",H2,G2)</f>
        <v/>
      </c>
      <c r="J2" s="7" t="inlineStr">
        <is>
          <t>Step 0</t>
        </is>
      </c>
      <c r="K2" s="7" t="n"/>
      <c r="L2" s="7" t="n">
        <v>1</v>
      </c>
      <c r="M2" s="8" t="inlineStr"/>
      <c r="N2" s="8" t="inlineStr"/>
      <c r="O2" s="8" t="inlineStr"/>
      <c r="P2" s="7" t="inlineStr">
        <is>
          <t>P01 §5, spec D10</t>
        </is>
      </c>
      <c r="Q2" s="7" t="inlineStr"/>
      <c r="R2" s="8" t="inlineStr">
        <is>
          <t>PR #128 · branch feat/yukthix-postgres</t>
        </is>
      </c>
      <c r="S2" s="7" t="n"/>
    </row>
    <row r="3">
      <c r="A3" s="9" t="inlineStr">
        <is>
          <t>FT-A-001</t>
        </is>
      </c>
      <c r="B3" s="9" t="n">
        <v>10</v>
      </c>
      <c r="C3" s="9" t="inlineStr">
        <is>
          <t>Feature</t>
        </is>
      </c>
      <c r="D3" s="10" t="inlineStr">
        <is>
          <t xml:space="preserve">    Move the database to PostgreSQL 17</t>
        </is>
      </c>
      <c r="E3" s="9" t="inlineStr">
        <is>
          <t>Step 0 · PostgreSQL and tenant isolation</t>
        </is>
      </c>
      <c r="F3" s="9" t="inlineStr">
        <is>
          <t>Move the database to PostgreSQL 17</t>
        </is>
      </c>
      <c r="G3" s="9" t="inlineStr">
        <is>
          <t>Done</t>
        </is>
      </c>
      <c r="H3" s="9" t="n"/>
      <c r="I3" s="9">
        <f>IF(H3&lt;&gt;"",H3,G3)</f>
        <v/>
      </c>
      <c r="J3" s="9" t="inlineStr">
        <is>
          <t>Step 0</t>
        </is>
      </c>
      <c r="K3" s="9" t="n"/>
      <c r="L3" s="9" t="n">
        <v>1</v>
      </c>
      <c r="M3" s="10" t="inlineStr"/>
      <c r="N3" s="10" t="inlineStr"/>
      <c r="O3" s="10" t="inlineStr"/>
      <c r="P3" s="9" t="inlineStr">
        <is>
          <t>spec D10, P01 §9</t>
        </is>
      </c>
      <c r="Q3" s="9" t="inlineStr"/>
      <c r="R3" s="10" t="inlineStr">
        <is>
          <t>PR #128 · d35ec1f4 · 19e8f2a9</t>
        </is>
      </c>
      <c r="S3" s="9" t="n"/>
    </row>
    <row r="4">
      <c r="A4" t="inlineStr">
        <is>
          <t>US-A-001</t>
        </is>
      </c>
      <c r="B4" t="n">
        <v>11</v>
      </c>
      <c r="C4" t="inlineStr">
        <is>
          <t>Story</t>
        </is>
      </c>
      <c r="D4" s="5" t="inlineStr">
        <is>
          <t xml:space="preserve">        The product runs on PostgreSQL 17</t>
        </is>
      </c>
      <c r="E4" t="inlineStr">
        <is>
          <t>Step 0 · PostgreSQL and tenant isolation</t>
        </is>
      </c>
      <c r="F4" t="inlineStr">
        <is>
          <t>Move the database to PostgreSQL 17</t>
        </is>
      </c>
      <c r="G4" t="inlineStr">
        <is>
          <t>Done</t>
        </is>
      </c>
      <c r="I4">
        <f>IF(H4&lt;&gt;"",H4,G4)</f>
        <v/>
      </c>
      <c r="J4" t="inlineStr">
        <is>
          <t>Step 0</t>
        </is>
      </c>
      <c r="K4" t="n">
        <v>5</v>
      </c>
      <c r="L4" t="n">
        <v>1</v>
      </c>
      <c r="M4" s="5" t="inlineStr">
        <is>
          <t>As a company admin, I want YukthiX to run on PostgreSQL so that we get one database that supports row-level security for every company.</t>
        </is>
      </c>
      <c r="N4" s="5" t="inlineStr">
        <is>
          <t>• Given a fresh environment, when docker-compose starts, then PostgreSQL 17 runs instead of SQL Server.
• Given the Prisma schema, when migrations run, then one fresh PostgreSQL baseline creates every table.
• Given unbounded text columns and the real ON DELETE actions, when the schema is compared with SQL Server, then no column is cut short and no delete rule is lost.
• Given an org slug or email typed in another case, when it is looked up, then it still matches.</t>
        </is>
      </c>
      <c r="O4" s="5" t="inlineStr"/>
      <c r="P4" t="inlineStr">
        <is>
          <t>spec D10, P01 §9</t>
        </is>
      </c>
      <c r="Q4" t="inlineStr"/>
      <c r="R4" s="5" t="inlineStr">
        <is>
          <t>PR #128 · d35ec1f4 · 19e8f2a9 · f06de45f · 351b2f1f</t>
        </is>
      </c>
    </row>
    <row r="5">
      <c r="A5" t="inlineStr">
        <is>
          <t>US-A-002</t>
        </is>
      </c>
      <c r="B5" t="n">
        <v>12</v>
      </c>
      <c r="C5" t="inlineStr">
        <is>
          <t>Story</t>
        </is>
      </c>
      <c r="D5" s="5" t="inlineStr">
        <is>
          <t xml:space="preserve">        Existing exam-app features keep working on PostgreSQL</t>
        </is>
      </c>
      <c r="E5" t="inlineStr">
        <is>
          <t>Step 0 · PostgreSQL and tenant isolation</t>
        </is>
      </c>
      <c r="F5" t="inlineStr">
        <is>
          <t>Move the database to PostgreSQL 17</t>
        </is>
      </c>
      <c r="G5" t="inlineStr">
        <is>
          <t>Done</t>
        </is>
      </c>
      <c r="I5">
        <f>IF(H5&lt;&gt;"",H5,G5)</f>
        <v/>
      </c>
      <c r="J5" t="inlineStr">
        <is>
          <t>Step 0</t>
        </is>
      </c>
      <c r="K5" t="n">
        <v>5</v>
      </c>
      <c r="L5" t="n">
        <v>1</v>
      </c>
      <c r="M5" s="5" t="inlineStr">
        <is>
          <t>As a recruiter, I want every exam-app screen to keep working after the move so that nothing breaks for current customers.</t>
        </is>
      </c>
      <c r="N5" s="5" t="inlineStr">
        <is>
          <t>• Given raw SQL, the seed and scripts, when they run on PostgreSQL, then they give the same results as before.
• Given staff and admin search, when a user types any case, then the search is case-insensitive.
• Given the recycle bin, when rows are purged, then each row is purged in its own transaction.
• Given the e2e suites, when they run in one worker with AI calls offline, then they pass or assert the current behaviour.</t>
        </is>
      </c>
      <c r="O5" s="5" t="inlineStr"/>
      <c r="P5" t="inlineStr">
        <is>
          <t>spec D10</t>
        </is>
      </c>
      <c r="Q5" t="inlineStr"/>
      <c r="R5" s="5" t="inlineStr">
        <is>
          <t>PR #128 · 34cba973 · 11c0966d · e9612d6e · 52535396 · f95e0cb6 · 81cb4073</t>
        </is>
      </c>
    </row>
    <row r="6">
      <c r="A6" s="9" t="inlineStr">
        <is>
          <t>FT-A-002</t>
        </is>
      </c>
      <c r="B6" s="9" t="n">
        <v>20</v>
      </c>
      <c r="C6" s="9" t="inlineStr">
        <is>
          <t>Feature</t>
        </is>
      </c>
      <c r="D6" s="10" t="inlineStr">
        <is>
          <t xml:space="preserve">    Tenant isolation with forced row-level security</t>
        </is>
      </c>
      <c r="E6" s="9" t="inlineStr">
        <is>
          <t>Step 0 · PostgreSQL and tenant isolation</t>
        </is>
      </c>
      <c r="F6" s="9" t="inlineStr">
        <is>
          <t>Tenant isolation with forced row-level security</t>
        </is>
      </c>
      <c r="G6" s="9" t="inlineStr">
        <is>
          <t>Done</t>
        </is>
      </c>
      <c r="H6" s="9" t="n"/>
      <c r="I6" s="9">
        <f>IF(H6&lt;&gt;"",H6,G6)</f>
        <v/>
      </c>
      <c r="J6" s="9" t="inlineStr">
        <is>
          <t>Step 0</t>
        </is>
      </c>
      <c r="K6" s="9" t="n"/>
      <c r="L6" s="9" t="n">
        <v>1</v>
      </c>
      <c r="M6" s="10" t="inlineStr"/>
      <c r="N6" s="10" t="inlineStr"/>
      <c r="O6" s="10" t="inlineStr"/>
      <c r="P6" s="9" t="inlineStr">
        <is>
          <t>P01 §5</t>
        </is>
      </c>
      <c r="Q6" s="9" t="inlineStr"/>
      <c r="R6" s="10" t="inlineStr">
        <is>
          <t>PR #128 · bf1441bd · ffedebe0 · e4c00860</t>
        </is>
      </c>
      <c r="S6" s="9" t="n"/>
    </row>
    <row r="7">
      <c r="A7" t="inlineStr">
        <is>
          <t>US-A-003</t>
        </is>
      </c>
      <c r="B7" t="n">
        <v>21</v>
      </c>
      <c r="C7" t="inlineStr">
        <is>
          <t>Story</t>
        </is>
      </c>
      <c r="D7" s="5" t="inlineStr">
        <is>
          <t xml:space="preserve">        Every company table has forced row-level security</t>
        </is>
      </c>
      <c r="E7" t="inlineStr">
        <is>
          <t>Step 0 · PostgreSQL and tenant isolation</t>
        </is>
      </c>
      <c r="F7" t="inlineStr">
        <is>
          <t>Tenant isolation with forced row-level security</t>
        </is>
      </c>
      <c r="G7" t="inlineStr">
        <is>
          <t>Done</t>
        </is>
      </c>
      <c r="I7">
        <f>IF(H7&lt;&gt;"",H7,G7)</f>
        <v/>
      </c>
      <c r="J7" t="inlineStr">
        <is>
          <t>Step 0</t>
        </is>
      </c>
      <c r="K7" t="n">
        <v>5</v>
      </c>
      <c r="L7" t="n">
        <v>1</v>
      </c>
      <c r="M7" s="5" t="inlineStr">
        <is>
          <t>As a company admin, I want the database itself to stop any other company from reading our rows so that a coding mistake can never leak our data.</t>
        </is>
      </c>
      <c r="N7" s="5" t="inlineStr">
        <is>
          <t>• Given any table with organization_id, when the app role reads it without a company set, then it gets no rows (fail-closed) (YX-ORG-14).
• Given company A's context, when the app reads or writes company B's rows, then the database refuses (YX-ORG-14).
• Given child tables like attempts, answers and results, when they are checked, then they also carry organization_id and forced RLS (YX-ORG-14).
• Given a new model without organization_id or forced RLS, when CI runs rls-isolation.e2e-spec.ts, then the build fails (YX-ORG-14).</t>
        </is>
      </c>
      <c r="O7" s="5" t="inlineStr">
        <is>
          <t>YX-ORG-14</t>
        </is>
      </c>
      <c r="P7" t="inlineStr">
        <is>
          <t>P01 §5 #1–2, P01 §9</t>
        </is>
      </c>
      <c r="Q7" t="inlineStr"/>
      <c r="R7" s="5" t="inlineStr">
        <is>
          <t>PR #128 · bf1441bd · e4c00860 · 002c83a7 · test/rls-isolation.e2e-spec.ts, test/tenant-isolation.e2e-spec.ts</t>
        </is>
      </c>
    </row>
    <row r="8">
      <c r="A8" t="inlineStr">
        <is>
          <t>US-A-004</t>
        </is>
      </c>
      <c r="B8" t="n">
        <v>22</v>
      </c>
      <c r="C8" t="inlineStr">
        <is>
          <t>Story</t>
        </is>
      </c>
      <c r="D8" s="5" t="inlineStr">
        <is>
          <t xml:space="preserve">        Company context is set per transaction</t>
        </is>
      </c>
      <c r="E8" t="inlineStr">
        <is>
          <t>Step 0 · PostgreSQL and tenant isolation</t>
        </is>
      </c>
      <c r="F8" t="inlineStr">
        <is>
          <t>Tenant isolation with forced row-level security</t>
        </is>
      </c>
      <c r="G8" t="inlineStr">
        <is>
          <t>Done</t>
        </is>
      </c>
      <c r="I8">
        <f>IF(H8&lt;&gt;"",H8,G8)</f>
        <v/>
      </c>
      <c r="J8" t="inlineStr">
        <is>
          <t>Step 0</t>
        </is>
      </c>
      <c r="K8" t="n">
        <v>3</v>
      </c>
      <c r="L8" t="n">
        <v>1</v>
      </c>
      <c r="M8" s="5" t="inlineStr">
        <is>
          <t>As a company admin, I want the company context to live only inside one database transaction so that a pooled connection can never carry another company's context.</t>
        </is>
      </c>
      <c r="N8" s="5" t="inlineStr">
        <is>
          <t>• Given forTenant(), when a transaction opens, then the company and user are set with set_config local to that transaction (YX-ORG-14).
• Given the transaction ends, when the same pooled connection is reused, then no company context remains (YX-ORG-14).
• Given soft-delete queries, when they run inside forTenant(), then they keep the company filter (YX-ORG-14).</t>
        </is>
      </c>
      <c r="O8" s="5" t="inlineStr">
        <is>
          <t>YX-ORG-14</t>
        </is>
      </c>
      <c r="P8" t="inlineStr">
        <is>
          <t>P01 §5 #3</t>
        </is>
      </c>
      <c r="Q8" t="inlineStr"/>
      <c r="R8" s="5" t="inlineStr">
        <is>
          <t>PR #128 · ffedebe0 · packages/shared/src/prisma/tenant-prisma.service.spec.ts</t>
        </is>
      </c>
    </row>
    <row r="9">
      <c r="A9" t="inlineStr">
        <is>
          <t>US-A-005</t>
        </is>
      </c>
      <c r="B9" t="n">
        <v>23</v>
      </c>
      <c r="C9" t="inlineStr">
        <is>
          <t>Story</t>
        </is>
      </c>
      <c r="D9" s="5" t="inlineStr">
        <is>
          <t xml:space="preserve">        The app connects as a non-owner role</t>
        </is>
      </c>
      <c r="E9" t="inlineStr">
        <is>
          <t>Step 0 · PostgreSQL and tenant isolation</t>
        </is>
      </c>
      <c r="F9" t="inlineStr">
        <is>
          <t>Tenant isolation with forced row-level security</t>
        </is>
      </c>
      <c r="G9" t="inlineStr">
        <is>
          <t>Done</t>
        </is>
      </c>
      <c r="I9">
        <f>IF(H9&lt;&gt;"",H9,G9)</f>
        <v/>
      </c>
      <c r="J9" t="inlineStr">
        <is>
          <t>Step 0</t>
        </is>
      </c>
      <c r="K9" t="n">
        <v>2</v>
      </c>
      <c r="L9" t="n">
        <v>1</v>
      </c>
      <c r="M9" s="5" t="inlineStr">
        <is>
          <t>As YukthiX staff, I want the app to use a database role that cannot bypass RLS so that only migrations run with owner rights.</t>
        </is>
      </c>
      <c r="N9" s="5" t="inlineStr">
        <is>
          <t>• Given CI, when migrations run, then they run as the owner role (YX-ORG-14).
• Given CI, when the app and tests run, then they use the NOBYPASSRLS app role (YX-ORG-14).
• Given a production deploy, when the README is followed, then the three database roles (owner, app login, app_runtime) are created before the first migrate deploy.</t>
        </is>
      </c>
      <c r="O9" s="5" t="inlineStr">
        <is>
          <t>YX-ORG-14</t>
        </is>
      </c>
      <c r="P9" t="inlineStr">
        <is>
          <t>P01 §5 #4</t>
        </is>
      </c>
      <c r="Q9" t="inlineStr"/>
      <c r="R9" s="5" t="inlineStr">
        <is>
          <t>PR #128 · 002c83a7 · .github/workflows/ci.yml · README deploy notes</t>
        </is>
      </c>
    </row>
    <row r="10">
      <c r="A10" t="inlineStr">
        <is>
          <t>US-A-006</t>
        </is>
      </c>
      <c r="B10" t="n">
        <v>24</v>
      </c>
      <c r="C10" t="inlineStr">
        <is>
          <t>Story</t>
        </is>
      </c>
      <c r="D10" s="5" t="inlineStr">
        <is>
          <t xml:space="preserve">        Security fixes found while moving to PostgreSQL</t>
        </is>
      </c>
      <c r="E10" t="inlineStr">
        <is>
          <t>Step 0 · PostgreSQL and tenant isolation</t>
        </is>
      </c>
      <c r="F10" t="inlineStr">
        <is>
          <t>Tenant isolation with forced row-level security</t>
        </is>
      </c>
      <c r="G10" t="inlineStr">
        <is>
          <t>Done</t>
        </is>
      </c>
      <c r="I10">
        <f>IF(H10&lt;&gt;"",H10,G10)</f>
        <v/>
      </c>
      <c r="J10" t="inlineStr">
        <is>
          <t>Step 0</t>
        </is>
      </c>
      <c r="K10" t="n">
        <v>2</v>
      </c>
      <c r="L10" t="n">
        <v>1</v>
      </c>
      <c r="M10" s="5" t="inlineStr">
        <is>
          <t>As a company admin, I want the issues found during the move fixed so that the new base is safe.</t>
        </is>
      </c>
      <c r="N10" s="5" t="inlineStr">
        <is>
          <t>• Given an org webhook URL, when it is saved, then it must be a public https endpoint.
• Given a code review regeneration, when it is asked for, then attempt ownership is checked first.
• Given the monitoring socket, when a user joins, then permission profiles and org overrides apply (YX-SEC-05).</t>
        </is>
      </c>
      <c r="O10" s="5" t="inlineStr">
        <is>
          <t>YX-SEC-05</t>
        </is>
      </c>
      <c r="P10" t="inlineStr">
        <is>
          <t>P01 §5</t>
        </is>
      </c>
      <c r="Q10" t="inlineStr"/>
      <c r="R10" s="5" t="inlineStr">
        <is>
          <t>PR #128 · c4f6935f · 0b105ead · c9566ce1</t>
        </is>
      </c>
    </row>
    <row r="11">
      <c r="A11" t="inlineStr">
        <is>
          <t>US-A-007</t>
        </is>
      </c>
      <c r="B11" t="n">
        <v>90</v>
      </c>
      <c r="C11" t="inlineStr">
        <is>
          <t>Story</t>
        </is>
      </c>
      <c r="D11" s="5" t="inlineStr">
        <is>
          <t xml:space="preserve">        Move live customer data from SQL Server to PostgreSQL</t>
        </is>
      </c>
      <c r="E11" t="inlineStr">
        <is>
          <t>Step 0 · PostgreSQL and tenant isolation</t>
        </is>
      </c>
      <c r="F11" t="inlineStr">
        <is>
          <t>Tenant isolation with forced row-level security</t>
        </is>
      </c>
      <c r="G11" t="inlineStr">
        <is>
          <t>New</t>
        </is>
      </c>
      <c r="I11">
        <f>IF(H11&lt;&gt;"",H11,G11)</f>
        <v/>
      </c>
      <c r="J11" t="inlineStr">
        <is>
          <t>Step 0</t>
        </is>
      </c>
      <c r="K11" t="n">
        <v>5</v>
      </c>
      <c r="L11" t="n">
        <v>1</v>
      </c>
      <c r="M11" s="5" t="inlineStr">
        <is>
          <t>As YukthiX staff, I want a tested export, load and cut-over plan so that current customers move to PostgreSQL without data loss.</t>
        </is>
      </c>
      <c r="N11" s="5" t="inlineStr">
        <is>
          <t>• Given a copy of production, when the export and load run, then row counts match for every table.
• Given the loaded data, when rls-isolation checks run, then every company sees only its own rows (YX-ORG-14).
• Given the cut-over rehearsal, when it finishes, then the downtime and rollback steps are written down.</t>
        </is>
      </c>
      <c r="O11" s="5" t="inlineStr">
        <is>
          <t>YX-ORG-14</t>
        </is>
      </c>
      <c r="P11" t="inlineStr">
        <is>
          <t>P01 §9, deferred D-019</t>
        </is>
      </c>
      <c r="Q11" t="inlineStr"/>
      <c r="R11" s="5" t="inlineStr"/>
    </row>
    <row r="12">
      <c r="A12" s="7" t="inlineStr">
        <is>
          <t>EP-A-2</t>
        </is>
      </c>
      <c r="B12" s="7" t="n">
        <v>100</v>
      </c>
      <c r="C12" s="7" t="inlineStr">
        <is>
          <t>Epic</t>
        </is>
      </c>
      <c r="D12" s="8" t="inlineStr">
        <is>
          <t>Step 1 · Login and security</t>
        </is>
      </c>
      <c r="E12" s="7" t="inlineStr">
        <is>
          <t>Step 1 · Login and security</t>
        </is>
      </c>
      <c r="F12" s="7" t="inlineStr"/>
      <c r="G12" s="7" t="inlineStr">
        <is>
          <t>Done</t>
        </is>
      </c>
      <c r="H12" s="7" t="n"/>
      <c r="I12" s="7">
        <f>IF(H12&lt;&gt;"",H12,G12)</f>
        <v/>
      </c>
      <c r="J12" s="7" t="inlineStr">
        <is>
          <t>Step 1</t>
        </is>
      </c>
      <c r="K12" s="7" t="n"/>
      <c r="L12" s="7" t="n">
        <v>1</v>
      </c>
      <c r="M12" s="8" t="inlineStr"/>
      <c r="N12" s="8" t="inlineStr"/>
      <c r="O12" s="8" t="inlineStr"/>
      <c r="P12" s="7" t="inlineStr">
        <is>
          <t>P12, P04 §4.4–4.5a</t>
        </is>
      </c>
      <c r="Q12" s="7" t="inlineStr"/>
      <c r="R12" s="8" t="inlineStr">
        <is>
          <t>PR #129 · branch feat/yukthix-login</t>
        </is>
      </c>
      <c r="S12" s="7" t="n"/>
    </row>
    <row r="13">
      <c r="A13" s="9" t="inlineStr">
        <is>
          <t>FT-A-010</t>
        </is>
      </c>
      <c r="B13" s="9" t="n">
        <v>110</v>
      </c>
      <c r="C13" s="9" t="inlineStr">
        <is>
          <t>Feature</t>
        </is>
      </c>
      <c r="D13" s="10" t="inlineStr">
        <is>
          <t xml:space="preserve">    Sessions and login protection</t>
        </is>
      </c>
      <c r="E13" s="9" t="inlineStr">
        <is>
          <t>Step 1 · Login and security</t>
        </is>
      </c>
      <c r="F13" s="9" t="inlineStr">
        <is>
          <t>Sessions and login protection</t>
        </is>
      </c>
      <c r="G13" s="9" t="inlineStr">
        <is>
          <t>Done</t>
        </is>
      </c>
      <c r="H13" s="9" t="n"/>
      <c r="I13" s="9">
        <f>IF(H13&lt;&gt;"",H13,G13)</f>
        <v/>
      </c>
      <c r="J13" s="9" t="inlineStr">
        <is>
          <t>Step 1a</t>
        </is>
      </c>
      <c r="K13" s="9" t="n"/>
      <c r="L13" s="9" t="n">
        <v>1</v>
      </c>
      <c r="M13" s="10" t="inlineStr"/>
      <c r="N13" s="10" t="inlineStr"/>
      <c r="O13" s="10" t="inlineStr"/>
      <c r="P13" s="9" t="inlineStr">
        <is>
          <t>P12 §5, P12 Q8</t>
        </is>
      </c>
      <c r="Q13" s="9" t="inlineStr"/>
      <c r="R13" s="10" t="inlineStr">
        <is>
          <t>PR #129 · 7a194c11 · 87ce70ff</t>
        </is>
      </c>
      <c r="S13" s="9" t="n"/>
    </row>
    <row r="14">
      <c r="A14" t="inlineStr">
        <is>
          <t>US-A-010</t>
        </is>
      </c>
      <c r="B14" t="n">
        <v>111</v>
      </c>
      <c r="C14" t="inlineStr">
        <is>
          <t>Story</t>
        </is>
      </c>
      <c r="D14" s="5" t="inlineStr">
        <is>
          <t xml:space="preserve">        See and sign out my active sessions</t>
        </is>
      </c>
      <c r="E14" t="inlineStr">
        <is>
          <t>Step 1 · Login and security</t>
        </is>
      </c>
      <c r="F14" t="inlineStr">
        <is>
          <t>Sessions and login protection</t>
        </is>
      </c>
      <c r="G14" t="inlineStr">
        <is>
          <t>Done</t>
        </is>
      </c>
      <c r="I14">
        <f>IF(H14&lt;&gt;"",H14,G14)</f>
        <v/>
      </c>
      <c r="J14" t="inlineStr">
        <is>
          <t>Step 1a</t>
        </is>
      </c>
      <c r="K14" t="n">
        <v>3</v>
      </c>
      <c r="L14" t="n">
        <v>1</v>
      </c>
      <c r="M14" s="5" t="inlineStr">
        <is>
          <t>As an employee, I want to see where I am signed in and sign out any session so that a lost device cannot stay signed in.</t>
        </is>
      </c>
      <c r="N14" s="5" t="inlineStr">
        <is>
          <t>• Given I sign in, when the session is created, then it is stored server-side with device, IP, idle and absolute expiry (YX-IAM-06).
• Given my session is idle longer than the limit, when I make a request, then I get 'Session expired' (YX-IAM-06).
• Given Me › Security, when I click 'Sign out' on a session, then its tokens stop working at once (YX-IAM-06).
• Given an admin, when they revoke a session in their company, then that user is signed out (YX-IAM-06).</t>
        </is>
      </c>
      <c r="O14" s="5" t="inlineStr">
        <is>
          <t>YX-IAM-06</t>
        </is>
      </c>
      <c r="P14" t="inlineStr">
        <is>
          <t>P12 §5, P12 §7</t>
        </is>
      </c>
      <c r="Q14" t="inlineStr"/>
      <c r="R14" s="5" t="inlineStr">
        <is>
          <t>PR #129 · 7a194c11 · 87ce70ff · f8c813f0 · test/login-sessions.e2e-spec.ts · sessions.service.spec.ts</t>
        </is>
      </c>
    </row>
    <row r="15">
      <c r="A15" t="inlineStr">
        <is>
          <t>US-A-011</t>
        </is>
      </c>
      <c r="B15" t="n">
        <v>112</v>
      </c>
      <c r="C15" t="inlineStr">
        <is>
          <t>Story</t>
        </is>
      </c>
      <c r="D15" s="5" t="inlineStr">
        <is>
          <t xml:space="preserve">        Login history for me and for admins</t>
        </is>
      </c>
      <c r="E15" t="inlineStr">
        <is>
          <t>Step 1 · Login and security</t>
        </is>
      </c>
      <c r="F15" t="inlineStr">
        <is>
          <t>Sessions and login protection</t>
        </is>
      </c>
      <c r="G15" t="inlineStr">
        <is>
          <t>Done</t>
        </is>
      </c>
      <c r="I15">
        <f>IF(H15&lt;&gt;"",H15,G15)</f>
        <v/>
      </c>
      <c r="J15" t="inlineStr">
        <is>
          <t>Step 1a</t>
        </is>
      </c>
      <c r="K15" t="n">
        <v>3</v>
      </c>
      <c r="L15" t="n">
        <v>1</v>
      </c>
      <c r="M15" s="5" t="inlineStr">
        <is>
          <t>As an HR admin, I want to see every login attempt in my company so that I can spot attacks.</t>
        </is>
      </c>
      <c r="N15" s="5" t="inlineStr">
        <is>
          <t>• Given any sign-in attempt, when it ends, then an append-only login_events row records result, method, IP and time (YX-IAM-10).
• Given Me › Security, when I open login history, then I see only my own events (YX-IAM-10).
• Given Admin › Login activity, when an admin filters by method or 'unsuccessful', then they see their company's events only (YX-IAM-10).
• Given a session revocation or MFA change, when it happens, then it is logged too (YX-IAM-10).</t>
        </is>
      </c>
      <c r="O15" s="5" t="inlineStr">
        <is>
          <t>YX-IAM-10</t>
        </is>
      </c>
      <c r="P15" t="inlineStr">
        <is>
          <t>P12 §5, P12 §7</t>
        </is>
      </c>
      <c r="Q15" t="inlineStr"/>
      <c r="R15" s="5" t="inlineStr">
        <is>
          <t>PR #129 · 87ce70ff · 8395d394 · 07fad7b4 · test/login-sessions.e2e-spec.ts</t>
        </is>
      </c>
    </row>
    <row r="16">
      <c r="A16" t="inlineStr">
        <is>
          <t>US-A-012</t>
        </is>
      </c>
      <c r="B16" t="n">
        <v>113</v>
      </c>
      <c r="C16" t="inlineStr">
        <is>
          <t>Story</t>
        </is>
      </c>
      <c r="D16" s="5" t="inlineStr">
        <is>
          <t xml:space="preserve">        Account lockout the company can tune within the YukthiX floor</t>
        </is>
      </c>
      <c r="E16" t="inlineStr">
        <is>
          <t>Step 1 · Login and security</t>
        </is>
      </c>
      <c r="F16" t="inlineStr">
        <is>
          <t>Sessions and login protection</t>
        </is>
      </c>
      <c r="G16" t="inlineStr">
        <is>
          <t>Done</t>
        </is>
      </c>
      <c r="I16">
        <f>IF(H16&lt;&gt;"",H16,G16)</f>
        <v/>
      </c>
      <c r="J16" t="inlineStr">
        <is>
          <t>Step 1 lockout-policy</t>
        </is>
      </c>
      <c r="K16" t="n">
        <v>3</v>
      </c>
      <c r="L16" t="n">
        <v>1</v>
      </c>
      <c r="M16" s="5" t="inlineStr">
        <is>
          <t>As a company admin, I want to set how many failed logins lock an account so that we stop guessing attacks without locking people out too easily.</t>
        </is>
      </c>
      <c r="N16" s="5" t="inlineStr">
        <is>
          <t>• Given repeated failed logins, when the company limit is reached, then the account is locked for the set time (YX-IAM-07).
• Given the lockout settings, when an admin enters values weaker than the YukthiX minimum, then saving is refused (YX-IAM-07).
• Given a locked account, when an admin clicks 'Unlock' on Login activity, then the person can sign in again and the action is logged (YX-IAM-07, YX-IAM-10).
• Given many parallel failed attempts, when they race, then the lock is applied atomically (YX-IAM-07).</t>
        </is>
      </c>
      <c r="O16" s="5" t="inlineStr">
        <is>
          <t>YX-IAM-07, YX-IAM-10</t>
        </is>
      </c>
      <c r="P16" t="inlineStr">
        <is>
          <t>P12 §5</t>
        </is>
      </c>
      <c r="Q16" t="inlineStr"/>
      <c r="R16" s="5" t="inlineStr">
        <is>
          <t>PR #129 · a9b3f128 · 45fa6929 · dc998422 · 9460a7af · 349e80e9 · test/account-lockout.e2e-spec.ts · login-protection.service.spec.ts</t>
        </is>
      </c>
    </row>
    <row r="17">
      <c r="A17" t="inlineStr">
        <is>
          <t>US-A-013</t>
        </is>
      </c>
      <c r="B17" t="n">
        <v>114</v>
      </c>
      <c r="C17" t="inlineStr">
        <is>
          <t>Story</t>
        </is>
      </c>
      <c r="D17" s="5" t="inlineStr">
        <is>
          <t xml:space="preserve">        Bot check and new-device / new-country alerts</t>
        </is>
      </c>
      <c r="E17" t="inlineStr">
        <is>
          <t>Step 1 · Login and security</t>
        </is>
      </c>
      <c r="F17" t="inlineStr">
        <is>
          <t>Sessions and login protection</t>
        </is>
      </c>
      <c r="G17" t="inlineStr">
        <is>
          <t>Done</t>
        </is>
      </c>
      <c r="I17">
        <f>IF(H17&lt;&gt;"",H17,G17)</f>
        <v/>
      </c>
      <c r="J17" t="inlineStr">
        <is>
          <t>Step 1 fix-review</t>
        </is>
      </c>
      <c r="K17" t="n">
        <v>3</v>
      </c>
      <c r="L17" t="n">
        <v>1</v>
      </c>
      <c r="M17" s="5" t="inlineStr">
        <is>
          <t>As an employee, I want to be told when someone signs in to my account from a new device or country so that I can act fast.</t>
        </is>
      </c>
      <c r="N17" s="5" t="inlineStr">
        <is>
          <t>• Given a sign-in from a new device, when it succeeds, then I get a notification (YX-IAM-07).
• Given a sign-in from a new country (geo header), when it succeeds, then I get a notification (YX-IAM-07).
• Given the public login page is under attack and Turnstile keys are set, when someone signs in, then a bot check is shown (YX-IAM-07).
• Given the sign-in API, when an unknown email is tried, then the reply does not reveal which company exists (YX-IAM-07).</t>
        </is>
      </c>
      <c r="O17" s="5" t="inlineStr">
        <is>
          <t>YX-IAM-07</t>
        </is>
      </c>
      <c r="P17" t="inlineStr">
        <is>
          <t>P12 §5</t>
        </is>
      </c>
      <c r="Q17" t="inlineStr"/>
      <c r="R17" s="5" t="inlineStr">
        <is>
          <t>PR #129 · 31e289f6 · 8916e0c8 · bot-challenge.spec.ts · test/login-protection.e2e-spec.ts</t>
        </is>
      </c>
    </row>
    <row r="18">
      <c r="A18" s="9" t="inlineStr">
        <is>
          <t>FT-A-011</t>
        </is>
      </c>
      <c r="B18" s="9" t="n">
        <v>120</v>
      </c>
      <c r="C18" s="9" t="inlineStr">
        <is>
          <t>Feature</t>
        </is>
      </c>
      <c r="D18" s="10" t="inlineStr">
        <is>
          <t xml:space="preserve">    Passwords and company security policy</t>
        </is>
      </c>
      <c r="E18" s="9" t="inlineStr">
        <is>
          <t>Step 1 · Login and security</t>
        </is>
      </c>
      <c r="F18" s="9" t="inlineStr">
        <is>
          <t>Passwords and company security policy</t>
        </is>
      </c>
      <c r="G18" s="9" t="inlineStr">
        <is>
          <t>Done</t>
        </is>
      </c>
      <c r="H18" s="9" t="n"/>
      <c r="I18" s="9">
        <f>IF(H18&lt;&gt;"",H18,G18)</f>
        <v/>
      </c>
      <c r="J18" s="9" t="inlineStr">
        <is>
          <t>Step 1b</t>
        </is>
      </c>
      <c r="K18" s="9" t="n"/>
      <c r="L18" s="9" t="n">
        <v>1</v>
      </c>
      <c r="M18" s="10" t="inlineStr"/>
      <c r="N18" s="10" t="inlineStr"/>
      <c r="O18" s="10" t="inlineStr"/>
      <c r="P18" s="9" t="inlineStr">
        <is>
          <t>P12 §5, P12 Q8</t>
        </is>
      </c>
      <c r="Q18" s="9" t="inlineStr"/>
      <c r="R18" s="10" t="inlineStr">
        <is>
          <t>PR #129 · 8a37fee7 · 724a4762</t>
        </is>
      </c>
      <c r="S18" s="9" t="n"/>
    </row>
    <row r="19">
      <c r="A19" t="inlineStr">
        <is>
          <t>US-A-014</t>
        </is>
      </c>
      <c r="B19" t="n">
        <v>121</v>
      </c>
      <c r="C19" t="inlineStr">
        <is>
          <t>Story</t>
        </is>
      </c>
      <c r="D19" s="5" t="inlineStr">
        <is>
          <t xml:space="preserve">        Strong passwords with a breached-password check</t>
        </is>
      </c>
      <c r="E19" t="inlineStr">
        <is>
          <t>Step 1 · Login and security</t>
        </is>
      </c>
      <c r="F19" t="inlineStr">
        <is>
          <t>Passwords and company security policy</t>
        </is>
      </c>
      <c r="G19" t="inlineStr">
        <is>
          <t>Done</t>
        </is>
      </c>
      <c r="I19">
        <f>IF(H19&lt;&gt;"",H19,G19)</f>
        <v/>
      </c>
      <c r="J19" t="inlineStr">
        <is>
          <t>Step 1b</t>
        </is>
      </c>
      <c r="K19" t="n">
        <v>3</v>
      </c>
      <c r="L19" t="n">
        <v>1</v>
      </c>
      <c r="M19" s="5" t="inlineStr">
        <is>
          <t>As an employee, I want the system to refuse weak or leaked passwords so that my account is hard to break.</t>
        </is>
      </c>
      <c r="N19" s="5" t="inlineStr">
        <is>
          <t>• Given a new password shorter than 12 characters, when I save it, then it is refused (YX-IAM-08).
• Given a password found in a breach list, when I set or change it, then it is refused (YX-IAM-08).
• Given an existing breached password, when I sign in, then I must change it first (YX-IAM-08).
• Given passwords, when stored, then they use argon2 and never expire on a timer (YX-IAM-08).</t>
        </is>
      </c>
      <c r="O19" s="5" t="inlineStr">
        <is>
          <t>YX-IAM-08</t>
        </is>
      </c>
      <c r="P19" t="inlineStr">
        <is>
          <t>P12 §5, P12 Q8</t>
        </is>
      </c>
      <c r="Q19" t="inlineStr"/>
      <c r="R19" s="5" t="inlineStr">
        <is>
          <t>PR #129 · 8a37fee7 · a50e83e7 · 34f19553 · password-policy.service.spec.ts · test/security-policy.e2e-spec.ts</t>
        </is>
      </c>
    </row>
    <row r="20">
      <c r="A20" t="inlineStr">
        <is>
          <t>US-A-015</t>
        </is>
      </c>
      <c r="B20" t="n">
        <v>122</v>
      </c>
      <c r="C20" t="inlineStr">
        <is>
          <t>Story</t>
        </is>
      </c>
      <c r="D20" s="5" t="inlineStr">
        <is>
          <t xml:space="preserve">        Company security policy page with the YukthiX minimum shown</t>
        </is>
      </c>
      <c r="E20" t="inlineStr">
        <is>
          <t>Step 1 · Login and security</t>
        </is>
      </c>
      <c r="F20" t="inlineStr">
        <is>
          <t>Passwords and company security policy</t>
        </is>
      </c>
      <c r="G20" t="inlineStr">
        <is>
          <t>Done</t>
        </is>
      </c>
      <c r="I20">
        <f>IF(H20&lt;&gt;"",H20,G20)</f>
        <v/>
      </c>
      <c r="J20" t="inlineStr">
        <is>
          <t>Step 1b</t>
        </is>
      </c>
      <c r="K20" t="n">
        <v>5</v>
      </c>
      <c r="L20" t="n">
        <v>1</v>
      </c>
      <c r="M20" s="5" t="inlineStr">
        <is>
          <t>As a company admin, I want one page to set MFA scope, session limits and password rules so that our company can be stricter than the YukthiX floor.</t>
        </is>
      </c>
      <c r="N20" s="5" t="inlineStr">
        <is>
          <t>• Given Settings › Security, when I open it, then each setting shows the YukthiX minimum next to it (YX-IAM-06).
• Given an idle limit above 8 h or an absolute limit above 12 h, when I save, then it is refused (YX-IAM-06).
• Given MFA scope 'everyone', when saved, then every user must use two-step sign-in (YX-IAM-01).
• Given a policy change, when saved, then it needs step-up and is logged (YX-IAM-02, YX-IAM-10).
• Given the policy, when a request arrives, then it is enforced at sign-in and on every request (YX-IAM-06).</t>
        </is>
      </c>
      <c r="O20" s="5" t="inlineStr">
        <is>
          <t>YX-IAM-06, YX-IAM-01, YX-IAM-02, YX-IAM-10</t>
        </is>
      </c>
      <c r="P20" t="inlineStr">
        <is>
          <t>P12 §7</t>
        </is>
      </c>
      <c r="Q20" t="inlineStr"/>
      <c r="R20" s="5" t="inlineStr">
        <is>
          <t>PR #129 · 19f4540b · 5919361c · 724a4762 · tenant-security-policy.spec.ts · security-policy.service.spec.ts · test/security-policy.e2e-spec.ts</t>
        </is>
      </c>
    </row>
    <row r="21">
      <c r="A21" t="inlineStr">
        <is>
          <t>US-A-016</t>
        </is>
      </c>
      <c r="B21" t="n">
        <v>123</v>
      </c>
      <c r="C21" t="inlineStr">
        <is>
          <t>Story</t>
        </is>
      </c>
      <c r="D21" s="5" t="inlineStr">
        <is>
          <t xml:space="preserve">        IP allow-lists for desk, admin console and API</t>
        </is>
      </c>
      <c r="E21" t="inlineStr">
        <is>
          <t>Step 1 · Login and security</t>
        </is>
      </c>
      <c r="F21" t="inlineStr">
        <is>
          <t>Passwords and company security policy</t>
        </is>
      </c>
      <c r="G21" t="inlineStr">
        <is>
          <t>Done</t>
        </is>
      </c>
      <c r="I21">
        <f>IF(H21&lt;&gt;"",H21,G21)</f>
        <v/>
      </c>
      <c r="J21" t="inlineStr">
        <is>
          <t>Step 1b</t>
        </is>
      </c>
      <c r="K21" t="n">
        <v>3</v>
      </c>
      <c r="L21" t="n">
        <v>1</v>
      </c>
      <c r="M21" s="5" t="inlineStr">
        <is>
          <t>As a company admin, I want to allow sign-in only from our office networks so that stolen passwords are useless elsewhere.</t>
        </is>
      </c>
      <c r="N21" s="5" t="inlineStr">
        <is>
          <t>• Given a desk allow-list, when a staff request comes from outside it, then it is refused (YX-IAM-09).
• Given an admin allow-list, when any admin-grade permission is used from outside it, then it is refused (YX-IAM-09).
• Given an API allow-list, when an API key is used from outside it, then it is refused (YX-IAM-09).
• Given candidate and external portals, when no list includes them, then they are not blocked (YX-IAM-09).</t>
        </is>
      </c>
      <c r="O21" s="5" t="inlineStr">
        <is>
          <t>YX-IAM-09</t>
        </is>
      </c>
      <c r="P21" t="inlineStr">
        <is>
          <t>P12 §5</t>
        </is>
      </c>
      <c r="Q21" t="inlineStr"/>
      <c r="R21" s="5" t="inlineStr">
        <is>
          <t>PR #129 · 19f4540b · 1a79f4b7 · api-key-auth.guard.spec.ts · permissions.guard.spec.ts</t>
        </is>
      </c>
    </row>
    <row r="22">
      <c r="A22" s="9" t="inlineStr">
        <is>
          <t>FT-A-012</t>
        </is>
      </c>
      <c r="B22" s="9" t="n">
        <v>130</v>
      </c>
      <c r="C22" s="9" t="inlineStr">
        <is>
          <t>Feature</t>
        </is>
      </c>
      <c r="D22" s="10" t="inlineStr">
        <is>
          <t xml:space="preserve">    Two-step verification and step-up</t>
        </is>
      </c>
      <c r="E22" s="9" t="inlineStr">
        <is>
          <t>Step 1 · Login and security</t>
        </is>
      </c>
      <c r="F22" s="9" t="inlineStr">
        <is>
          <t>Two-step verification and step-up</t>
        </is>
      </c>
      <c r="G22" s="9" t="inlineStr">
        <is>
          <t>Done</t>
        </is>
      </c>
      <c r="H22" s="9" t="n"/>
      <c r="I22" s="9">
        <f>IF(H22&lt;&gt;"",H22,G22)</f>
        <v/>
      </c>
      <c r="J22" s="9" t="inlineStr">
        <is>
          <t>Step 1c</t>
        </is>
      </c>
      <c r="K22" s="9" t="n"/>
      <c r="L22" s="9" t="n">
        <v>1</v>
      </c>
      <c r="M22" s="10" t="inlineStr"/>
      <c r="N22" s="10" t="inlineStr"/>
      <c r="O22" s="10" t="inlineStr"/>
      <c r="P22" s="9" t="inlineStr">
        <is>
          <t>P12 §5, P12 Q1</t>
        </is>
      </c>
      <c r="Q22" s="9" t="inlineStr"/>
      <c r="R22" s="10" t="inlineStr">
        <is>
          <t>PR #129 · 515085cb · 036b227a</t>
        </is>
      </c>
      <c r="S22" s="9" t="n"/>
    </row>
    <row r="23">
      <c r="A23" t="inlineStr">
        <is>
          <t>US-A-017</t>
        </is>
      </c>
      <c r="B23" t="n">
        <v>131</v>
      </c>
      <c r="C23" t="inlineStr">
        <is>
          <t>Story</t>
        </is>
      </c>
      <c r="D23" s="5" t="inlineStr">
        <is>
          <t xml:space="preserve">        Passkeys, authenticator apps and recovery codes</t>
        </is>
      </c>
      <c r="E23" t="inlineStr">
        <is>
          <t>Step 1 · Login and security</t>
        </is>
      </c>
      <c r="F23" t="inlineStr">
        <is>
          <t>Two-step verification and step-up</t>
        </is>
      </c>
      <c r="G23" t="inlineStr">
        <is>
          <t>Done</t>
        </is>
      </c>
      <c r="I23">
        <f>IF(H23&lt;&gt;"",H23,G23)</f>
        <v/>
      </c>
      <c r="J23" t="inlineStr">
        <is>
          <t>Step 1c</t>
        </is>
      </c>
      <c r="K23" t="n">
        <v>5</v>
      </c>
      <c r="L23" t="n">
        <v>1</v>
      </c>
      <c r="M23" s="5" t="inlineStr">
        <is>
          <t>As an HR admin, I want to add a passkey or an authenticator app so that my account needs two steps to sign in.</t>
        </is>
      </c>
      <c r="N23" s="5" t="inlineStr">
        <is>
          <t>• Given Me › Security, when I add a passkey or TOTP app, then it is saved as a factor (YX-IAM-03).
• Given I enrol my first factor, when it is saved, then recovery codes are shown once and each works only once (YX-IAM-11).
• Given a second sign-in step, when I use the passkey or TOTP, then the session reaches AAL2 (YX-IAM-03).
• Given first-factor enrolment, when I do it, then it needs a fresh sign-in and never counts as step-up (YX-IAM-02).</t>
        </is>
      </c>
      <c r="O23" s="5" t="inlineStr">
        <is>
          <t>YX-IAM-03, YX-IAM-11, YX-IAM-02</t>
        </is>
      </c>
      <c r="P23" t="inlineStr">
        <is>
          <t>P12 §5, P12 §6</t>
        </is>
      </c>
      <c r="Q23" t="inlineStr"/>
      <c r="R23" s="5" t="inlineStr">
        <is>
          <t>PR #129 · 2fe4bbb3 · 515085cb · b1f073a8 · bccaa019 · test/mfa.e2e-spec.ts · mfa.service.spec.ts · TwoStepSection.test.tsx</t>
        </is>
      </c>
    </row>
    <row r="24">
      <c r="A24" t="inlineStr">
        <is>
          <t>US-A-018</t>
        </is>
      </c>
      <c r="B24" t="n">
        <v>132</v>
      </c>
      <c r="C24" t="inlineStr">
        <is>
          <t>Story</t>
        </is>
      </c>
      <c r="D24" s="5" t="inlineStr">
        <is>
          <t xml:space="preserve">        MFA is mandatory for sensitive roles</t>
        </is>
      </c>
      <c r="E24" t="inlineStr">
        <is>
          <t>Step 1 · Login and security</t>
        </is>
      </c>
      <c r="F24" t="inlineStr">
        <is>
          <t>Two-step verification and step-up</t>
        </is>
      </c>
      <c r="G24" t="inlineStr">
        <is>
          <t>Done</t>
        </is>
      </c>
      <c r="I24">
        <f>IF(H24&lt;&gt;"",H24,G24)</f>
        <v/>
      </c>
      <c r="J24" t="inlineStr">
        <is>
          <t>Step 1c</t>
        </is>
      </c>
      <c r="K24" t="n">
        <v>3</v>
      </c>
      <c r="L24" t="n">
        <v>1</v>
      </c>
      <c r="M24" s="5" t="inlineStr">
        <is>
          <t>As a company admin, I want people in sensitive roles to use two-step sign-in so that HR and payroll data stay safe.</t>
        </is>
      </c>
      <c r="N24" s="5" t="inlineStr">
        <is>
          <t>• Given a user with a sensitive permission and no factor, when they use it, then it is refused until they enrol (YX-IAM-01).
• Given an existing user in a sensitive role, when they sign in, then they get a 14-day grace to enrol, then it is enforced (YX-IAM-01).
• Given YukthiX staff, when they sign in, then they get no grace (YX-IAM-01).
• Given a role or permission-profile change, when saved, then the person's sessions end (YX-IAM-06).</t>
        </is>
      </c>
      <c r="O24" s="5" t="inlineStr">
        <is>
          <t>YX-IAM-01, YX-IAM-06</t>
        </is>
      </c>
      <c r="P24" t="inlineStr">
        <is>
          <t>P12 §5, P12 §8</t>
        </is>
      </c>
      <c r="Q24" t="inlineStr"/>
      <c r="R24" s="5" t="inlineStr">
        <is>
          <t>PR #129 · a4341228 · 036b227a · 49c5a896 · mfa.spec.ts · permissions.guard.spec.ts</t>
        </is>
      </c>
    </row>
    <row r="25">
      <c r="A25" t="inlineStr">
        <is>
          <t>US-A-019</t>
        </is>
      </c>
      <c r="B25" t="n">
        <v>133</v>
      </c>
      <c r="C25" t="inlineStr">
        <is>
          <t>Story</t>
        </is>
      </c>
      <c r="D25" s="5" t="inlineStr">
        <is>
          <t xml:space="preserve">        Step-up before sensitive actions</t>
        </is>
      </c>
      <c r="E25" t="inlineStr">
        <is>
          <t>Step 1 · Login and security</t>
        </is>
      </c>
      <c r="F25" t="inlineStr">
        <is>
          <t>Two-step verification and step-up</t>
        </is>
      </c>
      <c r="G25" t="inlineStr">
        <is>
          <t>Done</t>
        </is>
      </c>
      <c r="I25">
        <f>IF(H25&lt;&gt;"",H25,G25)</f>
        <v/>
      </c>
      <c r="J25" t="inlineStr">
        <is>
          <t>Step 1c</t>
        </is>
      </c>
      <c r="K25" t="n">
        <v>3</v>
      </c>
      <c r="L25" t="n">
        <v>1</v>
      </c>
      <c r="M25" s="5" t="inlineStr">
        <is>
          <t>As an HR admin, I want to re-verify before a sensitive action so that a left-open session cannot be misused.</t>
        </is>
      </c>
      <c r="N25" s="5" t="inlineStr">
        <is>
          <t>• Given a step-up action, when my last AAL2 check is older than 15 minutes, then I am asked to re-verify (YX-IAM-02).
• Given I re-verified within 15 minutes, when I do another step-up action, then I am not asked again (YX-IAM-02).
• Given a step-up, when it succeeds, then the audit entry records it (YX-IAM-02).
• Given a one-time code, when used as step-up, then it is refused (YX-IAM-03).</t>
        </is>
      </c>
      <c r="O25" s="5" t="inlineStr">
        <is>
          <t>YX-IAM-02, YX-IAM-03</t>
        </is>
      </c>
      <c r="P25" t="inlineStr">
        <is>
          <t>P12 §5</t>
        </is>
      </c>
      <c r="Q25" t="inlineStr"/>
      <c r="R25" s="5" t="inlineStr">
        <is>
          <t>PR #129 · 036b227a · 8d171bdf · StepUpProvider.test.tsx · test/mfa.e2e-spec.ts</t>
        </is>
      </c>
    </row>
    <row r="26">
      <c r="A26" t="inlineStr">
        <is>
          <t>US-A-020</t>
        </is>
      </c>
      <c r="B26" t="n">
        <v>134</v>
      </c>
      <c r="C26" t="inlineStr">
        <is>
          <t>Story</t>
        </is>
      </c>
      <c r="D26" s="5" t="inlineStr">
        <is>
          <t xml:space="preserve">        Admin MFA reset needs a second admin</t>
        </is>
      </c>
      <c r="E26" t="inlineStr">
        <is>
          <t>Step 1 · Login and security</t>
        </is>
      </c>
      <c r="F26" t="inlineStr">
        <is>
          <t>Two-step verification and step-up</t>
        </is>
      </c>
      <c r="G26" t="inlineStr">
        <is>
          <t>Done</t>
        </is>
      </c>
      <c r="I26">
        <f>IF(H26&lt;&gt;"",H26,G26)</f>
        <v/>
      </c>
      <c r="J26" t="inlineStr">
        <is>
          <t>Step 1c</t>
        </is>
      </c>
      <c r="K26" t="n">
        <v>2</v>
      </c>
      <c r="L26" t="n">
        <v>1</v>
      </c>
      <c r="M26" s="5" t="inlineStr">
        <is>
          <t>As a company admin, I want a lost-device reset for a sensitive-role user to need a second admin so that one person cannot take over an account.</t>
        </is>
      </c>
      <c r="N26" s="5" t="inlineStr">
        <is>
          <t>• Given a sensitive-role user lost their factors, when admin A asks for a reset, then admin B must approve (YX-IAM-11).
• Given the reset is approved, when it completes, then the user's sessions end and it is logged (YX-IAM-10).
• Given admin A, when they try to approve their own request, then it is refused (YX-SEC-11).</t>
        </is>
      </c>
      <c r="O26" s="5" t="inlineStr">
        <is>
          <t>YX-IAM-11, YX-IAM-10, YX-SEC-11</t>
        </is>
      </c>
      <c r="P26" t="inlineStr">
        <is>
          <t>P12 §5</t>
        </is>
      </c>
      <c r="Q26" t="inlineStr"/>
      <c r="R26" s="5" t="inlineStr">
        <is>
          <t>PR #129 · 515085cb · mfa.service.spec.ts · test/mfa.e2e-spec.ts</t>
        </is>
      </c>
    </row>
    <row r="27">
      <c r="A27" s="9" t="inlineStr">
        <is>
          <t>FT-A-013</t>
        </is>
      </c>
      <c r="B27" s="9" t="n">
        <v>140</v>
      </c>
      <c r="C27" s="9" t="inlineStr">
        <is>
          <t>Feature</t>
        </is>
      </c>
      <c r="D27" s="10" t="inlineStr">
        <is>
          <t xml:space="preserve">    One-time codes and the generic SMS channel</t>
        </is>
      </c>
      <c r="E27" s="9" t="inlineStr">
        <is>
          <t>Step 1 · Login and security</t>
        </is>
      </c>
      <c r="F27" s="9" t="inlineStr">
        <is>
          <t>One-time codes and the generic SMS channel</t>
        </is>
      </c>
      <c r="G27" s="9" t="inlineStr">
        <is>
          <t>Done</t>
        </is>
      </c>
      <c r="H27" s="9" t="n"/>
      <c r="I27" s="9">
        <f>IF(H27&lt;&gt;"",H27,G27)</f>
        <v/>
      </c>
      <c r="J27" s="9" t="inlineStr">
        <is>
          <t>Step 1d / sms-channel</t>
        </is>
      </c>
      <c r="K27" s="9" t="n"/>
      <c r="L27" s="9" t="n">
        <v>1</v>
      </c>
      <c r="M27" s="10" t="inlineStr"/>
      <c r="N27" s="10" t="inlineStr"/>
      <c r="O27" s="10" t="inlineStr"/>
      <c r="P27" s="9" t="inlineStr">
        <is>
          <t>P12 Q1, P04 §4.4–4.5a</t>
        </is>
      </c>
      <c r="Q27" s="9" t="inlineStr"/>
      <c r="R27" s="10" t="inlineStr">
        <is>
          <t>PR #129 · 6e99a91f · cb8c1e6d</t>
        </is>
      </c>
      <c r="S27" s="9" t="n"/>
    </row>
    <row r="28">
      <c r="A28" t="inlineStr">
        <is>
          <t>US-A-021</t>
        </is>
      </c>
      <c r="B28" t="n">
        <v>141</v>
      </c>
      <c r="C28" t="inlineStr">
        <is>
          <t>Story</t>
        </is>
      </c>
      <c r="D28" s="5" t="inlineStr">
        <is>
          <t xml:space="preserve">        Sign in with a one-time code by email or mobile</t>
        </is>
      </c>
      <c r="E28" t="inlineStr">
        <is>
          <t>Step 1 · Login and security</t>
        </is>
      </c>
      <c r="F28" t="inlineStr">
        <is>
          <t>One-time codes and the generic SMS channel</t>
        </is>
      </c>
      <c r="G28" t="inlineStr">
        <is>
          <t>Done</t>
        </is>
      </c>
      <c r="I28">
        <f>IF(H28&lt;&gt;"",H28,G28)</f>
        <v/>
      </c>
      <c r="J28" t="inlineStr">
        <is>
          <t>Step 1d</t>
        </is>
      </c>
      <c r="K28" t="n">
        <v>5</v>
      </c>
      <c r="L28" t="n">
        <v>1</v>
      </c>
      <c r="M28" s="5" t="inlineStr">
        <is>
          <t>As an employee without a work email, I want to sign in with a code sent to my verified mobile so that I can use YukthiX in the field.</t>
        </is>
      </c>
      <c r="N28" s="5" t="inlineStr">
        <is>
          <t>• Given a verified email or mobile, when I ask for a code, then it is sent at once and expires quickly (YX-NTF-13).
• Given the code message, when it is sent, then it carries only the code, its purpose and expiry, no other data (YX-NTF-04, YX-NTF-13).
• Given System Admin or Payroll Admin, when they choose OTP as the only second factor, then it is refused (YX-IAM-03).
• Given repeated code requests, when the per-identifier cap is reached, then more codes are refused for the hour (YX-IAM-07).</t>
        </is>
      </c>
      <c r="O28" s="5" t="inlineStr">
        <is>
          <t>YX-NTF-13, YX-NTF-04, YX-IAM-03, YX-IAM-07</t>
        </is>
      </c>
      <c r="P28" t="inlineStr">
        <is>
          <t>P12 §3, P04 §4.5a</t>
        </is>
      </c>
      <c r="Q28" t="inlineStr"/>
      <c r="R28" s="5" t="inlineStr">
        <is>
          <t>PR #129 · 9d9961ee · f6a5559c · 6e99a91f · 5c8cd1d0 · test/otp-sign-in.e2e-spec.ts · otp.service.spec.ts</t>
        </is>
      </c>
    </row>
    <row r="29">
      <c r="A29" t="inlineStr">
        <is>
          <t>US-A-022</t>
        </is>
      </c>
      <c r="B29" t="n">
        <v>142</v>
      </c>
      <c r="C29" t="inlineStr">
        <is>
          <t>Story</t>
        </is>
      </c>
      <c r="D29" s="5" t="inlineStr">
        <is>
          <t xml:space="preserve">        Connect any SMS gateway by configuration</t>
        </is>
      </c>
      <c r="E29" t="inlineStr">
        <is>
          <t>Step 1 · Login and security</t>
        </is>
      </c>
      <c r="F29" t="inlineStr">
        <is>
          <t>One-time codes and the generic SMS channel</t>
        </is>
      </c>
      <c r="G29" t="inlineStr">
        <is>
          <t>Done</t>
        </is>
      </c>
      <c r="I29">
        <f>IF(H29&lt;&gt;"",H29,G29)</f>
        <v/>
      </c>
      <c r="J29" t="inlineStr">
        <is>
          <t>Step 1 sms-channel</t>
        </is>
      </c>
      <c r="K29" t="n">
        <v>5</v>
      </c>
      <c r="L29" t="n">
        <v>1</v>
      </c>
      <c r="M29" s="5" t="inlineStr">
        <is>
          <t>As a company admin, I want to plug in our own SMS gateway, or use YukthiX's shared account, so that codes reach our people.</t>
        </is>
      </c>
      <c r="N29" s="5" t="inlineStr">
        <is>
          <t>• Given a gateway's HTTP config, when it is saved, then the templated adapter sends through it without code changes (YX-NTF-07).
• Given an SMS, when it is sent, then it uses a DLT-registered template (YX-NTF-07).
• Given no valid template for the type, when a send is tried, then it falls back to email and the reason is logged (YX-NTF-07).
• Given secrets, when an admin views the account, then they are write-only and never shown back.</t>
        </is>
      </c>
      <c r="O29" s="5" t="inlineStr">
        <is>
          <t>YX-NTF-07</t>
        </is>
      </c>
      <c r="P29" t="inlineStr">
        <is>
          <t>P04 §4.4</t>
        </is>
      </c>
      <c r="Q29" t="inlineStr"/>
      <c r="R29" s="5" t="inlineStr">
        <is>
          <t>PR #129 · 37c15118 · 45178a02 · e57c7aa7 · http-gateways.spec.ts · http-provider.spec.ts · twilio-provider.spec.ts</t>
        </is>
      </c>
    </row>
    <row r="30">
      <c r="A30" t="inlineStr">
        <is>
          <t>US-A-023</t>
        </is>
      </c>
      <c r="B30" t="n">
        <v>143</v>
      </c>
      <c r="C30" t="inlineStr">
        <is>
          <t>Story</t>
        </is>
      </c>
      <c r="D30" s="5" t="inlineStr">
        <is>
          <t xml:space="preserve">        SMS failover, delivery log and delivery reports</t>
        </is>
      </c>
      <c r="E30" t="inlineStr">
        <is>
          <t>Step 1 · Login and security</t>
        </is>
      </c>
      <c r="F30" t="inlineStr">
        <is>
          <t>One-time codes and the generic SMS channel</t>
        </is>
      </c>
      <c r="G30" t="inlineStr">
        <is>
          <t>Done</t>
        </is>
      </c>
      <c r="I30">
        <f>IF(H30&lt;&gt;"",H30,G30)</f>
        <v/>
      </c>
      <c r="J30" t="inlineStr">
        <is>
          <t>Step 1 sms-channel</t>
        </is>
      </c>
      <c r="K30" t="n">
        <v>3</v>
      </c>
      <c r="L30" t="n">
        <v>1</v>
      </c>
      <c r="M30" s="5" t="inlineStr">
        <is>
          <t>As a company admin, I want to see every SMS attempt and its status so that I can fix delivery problems.</t>
        </is>
      </c>
      <c r="N30" s="5" t="inlineStr">
        <is>
          <t>• Given a failed send, when another account is set, then the message fails over to it (YX-NTF-10).
• Given every attempt, when it ends, then the delivery log records status and provider id (YX-NTF-10).
• Given a delivery report callback, when it arrives with a valid token, then the status is updated (YX-NTF-10).
• Given an opt-out report from the provider, when it arrives, then that number is no longer used (YX-NTF-11).</t>
        </is>
      </c>
      <c r="O30" s="5" t="inlineStr">
        <is>
          <t>YX-NTF-10, YX-NTF-11</t>
        </is>
      </c>
      <c r="P30" t="inlineStr">
        <is>
          <t>P04 §4.4, P04 §6</t>
        </is>
      </c>
      <c r="Q30" t="inlineStr"/>
      <c r="R30" s="5" t="inlineStr">
        <is>
          <t>PR #129 · cb8c1e6d · dc83450a · sms-callbacks.spec.ts · test/sms-channel.e2e-spec.ts</t>
        </is>
      </c>
    </row>
    <row r="31">
      <c r="A31" t="inlineStr">
        <is>
          <t>US-A-024</t>
        </is>
      </c>
      <c r="B31" t="n">
        <v>144</v>
      </c>
      <c r="C31" t="inlineStr">
        <is>
          <t>Story</t>
        </is>
      </c>
      <c r="D31" s="5" t="inlineStr">
        <is>
          <t xml:space="preserve">        SMS consent, metering and a monthly cap</t>
        </is>
      </c>
      <c r="E31" t="inlineStr">
        <is>
          <t>Step 1 · Login and security</t>
        </is>
      </c>
      <c r="F31" t="inlineStr">
        <is>
          <t>One-time codes and the generic SMS channel</t>
        </is>
      </c>
      <c r="G31" t="inlineStr">
        <is>
          <t>Done</t>
        </is>
      </c>
      <c r="I31">
        <f>IF(H31&lt;&gt;"",H31,G31)</f>
        <v/>
      </c>
      <c r="J31" t="inlineStr">
        <is>
          <t>Step 1 sms-channel</t>
        </is>
      </c>
      <c r="K31" t="n">
        <v>3</v>
      </c>
      <c r="L31" t="n">
        <v>1</v>
      </c>
      <c r="M31" s="5" t="inlineStr">
        <is>
          <t>As a company admin, I want SMS sent only to people who agreed and within our monthly cap so that we follow TRAI rules and control cost.</t>
        </is>
      </c>
      <c r="N31" s="5" t="inlineStr">
        <is>
          <t>• Given no active SMS consent, when a code would go by SMS, then it goes only if the person asked for SMS (YX-NTF-14).
• Given each SMS, when sent, then it is metered for the company with its parts (YX-NTF-12).
• Given the monthly cap is reached, when another SMS is due, then it is not sent and the fallback is logged (YX-NTF-12).
• Given an OTP SMS, when sent, then it counts toward the quota but skips quiet hours and digests (YX-NTF-13).</t>
        </is>
      </c>
      <c r="O31" s="5" t="inlineStr">
        <is>
          <t>YX-NTF-14, YX-NTF-12, YX-NTF-13</t>
        </is>
      </c>
      <c r="P31" t="inlineStr">
        <is>
          <t>P04 §4.4, P04 §4.5a</t>
        </is>
      </c>
      <c r="Q31" t="inlineStr"/>
      <c r="R31" s="5" t="inlineStr">
        <is>
          <t>PR #129 · 37c15118 · cb8c1e6d · 9182ed3d · 9be582ad · test/sms-channel.e2e-spec.ts</t>
        </is>
      </c>
    </row>
    <row r="32">
      <c r="A32" t="inlineStr">
        <is>
          <t>US-A-025</t>
        </is>
      </c>
      <c r="B32" t="n">
        <v>145</v>
      </c>
      <c r="C32" t="inlineStr">
        <is>
          <t>Story</t>
        </is>
      </c>
      <c r="D32" s="5" t="inlineStr">
        <is>
          <t xml:space="preserve">        Settings › Notifications › SMS screen</t>
        </is>
      </c>
      <c r="E32" t="inlineStr">
        <is>
          <t>Step 1 · Login and security</t>
        </is>
      </c>
      <c r="F32" t="inlineStr">
        <is>
          <t>One-time codes and the generic SMS channel</t>
        </is>
      </c>
      <c r="G32" t="inlineStr">
        <is>
          <t>Done</t>
        </is>
      </c>
      <c r="I32">
        <f>IF(H32&lt;&gt;"",H32,G32)</f>
        <v/>
      </c>
      <c r="J32" t="inlineStr">
        <is>
          <t>Step 1 sms-channel</t>
        </is>
      </c>
      <c r="K32" t="n">
        <v>3</v>
      </c>
      <c r="L32" t="n">
        <v>1</v>
      </c>
      <c r="M32" s="5" t="inlineStr">
        <is>
          <t>As a company admin, I want a screen to manage SMS accounts, test a send and read the delivery log so that I don't need YukthiX support.</t>
        </is>
      </c>
      <c r="N32" s="5" t="inlineStr">
        <is>
          <t>• Given the SMS page, when I add an account, then secrets are write-only (YX-NTF-07).
• Given 'Test send', when I send to my number, then the result shows in the delivery log (YX-NTF-10).
• Given a phone-width screen, when I open the log, then rows show as cards with masked numbers (YX-NTF-10).</t>
        </is>
      </c>
      <c r="O32" s="5" t="inlineStr">
        <is>
          <t>YX-NTF-07, YX-NTF-10</t>
        </is>
      </c>
      <c r="P32" t="inlineStr">
        <is>
          <t>P04 §7</t>
        </is>
      </c>
      <c r="Q32" t="inlineStr"/>
      <c r="R32" s="5" t="inlineStr">
        <is>
          <t>PR #129 · f1f084e2 · 634f1e8b · sms-settings.test.tsx</t>
        </is>
      </c>
    </row>
    <row r="33">
      <c r="A33" t="inlineStr">
        <is>
          <t>US-A-026</t>
        </is>
      </c>
      <c r="B33" t="n">
        <v>195</v>
      </c>
      <c r="C33" t="inlineStr">
        <is>
          <t>Story</t>
        </is>
      </c>
      <c r="D33" s="5" t="inlineStr">
        <is>
          <t xml:space="preserve">        WhatsApp authentication codes</t>
        </is>
      </c>
      <c r="E33" t="inlineStr">
        <is>
          <t>Step 1 · Login and security</t>
        </is>
      </c>
      <c r="F33" t="inlineStr">
        <is>
          <t>One-time codes and the generic SMS channel</t>
        </is>
      </c>
      <c r="G33" t="inlineStr">
        <is>
          <t>New</t>
        </is>
      </c>
      <c r="I33">
        <f>IF(H33&lt;&gt;"",H33,G33)</f>
        <v/>
      </c>
      <c r="J33" t="inlineStr">
        <is>
          <t>Step 1 follow-up</t>
        </is>
      </c>
      <c r="K33" t="n">
        <v>3</v>
      </c>
      <c r="L33" t="n">
        <v>3</v>
      </c>
      <c r="M33" s="5" t="inlineStr">
        <is>
          <t>As an employee, I want to get my sign-in code on WhatsApp so that I get it even when SMS is slow.</t>
        </is>
      </c>
      <c r="N33" s="5" t="inlineStr">
        <is>
          <t>• Given a company WhatsApp number with an approved authentication template, when I ask for a code on WhatsApp, then it is sent at once (YX-NTF-13, YX-NTF-07).
• Given no approved template, when a WhatsApp code is due, then it falls back to SMS or email and logs why (YX-NTF-07).
• Given I never opted in or asked on WhatsApp, when a code is due, then WhatsApp is not used (YX-NTF-14).</t>
        </is>
      </c>
      <c r="O33" s="5" t="inlineStr">
        <is>
          <t>YX-NTF-13, YX-NTF-07, YX-NTF-14</t>
        </is>
      </c>
      <c r="P33" t="inlineStr">
        <is>
          <t>P04 §4.4, P04 §4.5a, deferred D-080</t>
        </is>
      </c>
      <c r="Q33" t="inlineStr">
        <is>
          <t>US-A-021</t>
        </is>
      </c>
      <c r="R33" s="5" t="inlineStr"/>
    </row>
    <row r="34">
      <c r="A34" s="9" t="inlineStr">
        <is>
          <t>FT-A-014</t>
        </is>
      </c>
      <c r="B34" s="9" t="n">
        <v>150</v>
      </c>
      <c r="C34" s="9" t="inlineStr">
        <is>
          <t>Feature</t>
        </is>
      </c>
      <c r="D34" s="10" t="inlineStr">
        <is>
          <t xml:space="preserve">    Single sign-on</t>
        </is>
      </c>
      <c r="E34" s="9" t="inlineStr">
        <is>
          <t>Step 1 · Login and security</t>
        </is>
      </c>
      <c r="F34" s="9" t="inlineStr">
        <is>
          <t>Single sign-on</t>
        </is>
      </c>
      <c r="G34" s="9" t="inlineStr">
        <is>
          <t>Done</t>
        </is>
      </c>
      <c r="H34" s="9" t="n"/>
      <c r="I34" s="9">
        <f>IF(H34&lt;&gt;"",H34,G34)</f>
        <v/>
      </c>
      <c r="J34" s="9" t="inlineStr">
        <is>
          <t>Step 1e</t>
        </is>
      </c>
      <c r="K34" s="9" t="n"/>
      <c r="L34" s="9" t="n">
        <v>1</v>
      </c>
      <c r="M34" s="10" t="inlineStr"/>
      <c r="N34" s="10" t="inlineStr"/>
      <c r="O34" s="10" t="inlineStr"/>
      <c r="P34" s="9" t="inlineStr">
        <is>
          <t>P12 §5, P12 Q2</t>
        </is>
      </c>
      <c r="Q34" s="9" t="inlineStr"/>
      <c r="R34" s="10" t="inlineStr">
        <is>
          <t>PR #129 · 2411c632 · 272ffe08</t>
        </is>
      </c>
      <c r="S34" s="9" t="n"/>
    </row>
    <row r="35">
      <c r="A35" t="inlineStr">
        <is>
          <t>US-A-027</t>
        </is>
      </c>
      <c r="B35" t="n">
        <v>151</v>
      </c>
      <c r="C35" t="inlineStr">
        <is>
          <t>Story</t>
        </is>
      </c>
      <c r="D35" s="5" t="inlineStr">
        <is>
          <t xml:space="preserve">        Several identity providers per company</t>
        </is>
      </c>
      <c r="E35" t="inlineStr">
        <is>
          <t>Step 1 · Login and security</t>
        </is>
      </c>
      <c r="F35" t="inlineStr">
        <is>
          <t>Single sign-on</t>
        </is>
      </c>
      <c r="G35" t="inlineStr">
        <is>
          <t>Done</t>
        </is>
      </c>
      <c r="I35">
        <f>IF(H35&lt;&gt;"",H35,G35)</f>
        <v/>
      </c>
      <c r="J35" t="inlineStr">
        <is>
          <t>Step 1e</t>
        </is>
      </c>
      <c r="K35" t="n">
        <v>5</v>
      </c>
      <c r="L35" t="n">
        <v>1</v>
      </c>
      <c r="M35" s="5" t="inlineStr">
        <is>
          <t>As a company admin, I want to connect Google, Microsoft Entra and SAML providers so that each email domain signs in with its own provider.</t>
        </is>
      </c>
      <c r="N35" s="5" t="inlineStr">
        <is>
          <t>• Given several providers, when each maps its own email domains, then a user is sent to the right one (YX-IAM-04).
• Given Google, Entra or a generic OIDC issuer, when a user signs in, then the OIDC flow completes (YX-IAM-04).
• Given any provider change, when saved, then every company admin gets an email (YX-IAM-10).
• Given a generic issuer, when saved, then its discovery URLs are DNS-checked and pinned (YX-IAM-04).</t>
        </is>
      </c>
      <c r="O35" s="5" t="inlineStr">
        <is>
          <t>YX-IAM-04, YX-IAM-10</t>
        </is>
      </c>
      <c r="P35" t="inlineStr">
        <is>
          <t>P12 §5, P12 §6</t>
        </is>
      </c>
      <c r="Q35" t="inlineStr"/>
      <c r="R35" s="5" t="inlineStr">
        <is>
          <t>PR #129 · 26fd22ed · 2411c632 · 272ffe08 · 0f211510 · test/sso-oidc.e2e-spec.ts · test/saml-sso.e2e-spec.ts · identity-providers.service.spec.ts</t>
        </is>
      </c>
    </row>
    <row r="36">
      <c r="A36" t="inlineStr">
        <is>
          <t>US-A-028</t>
        </is>
      </c>
      <c r="B36" t="n">
        <v>152</v>
      </c>
      <c r="C36" t="inlineStr">
        <is>
          <t>Story</t>
        </is>
      </c>
      <c r="D36" s="5" t="inlineStr">
        <is>
          <t xml:space="preserve">        Create users on first SSO sign-in (JIT)</t>
        </is>
      </c>
      <c r="E36" t="inlineStr">
        <is>
          <t>Step 1 · Login and security</t>
        </is>
      </c>
      <c r="F36" t="inlineStr">
        <is>
          <t>Single sign-on</t>
        </is>
      </c>
      <c r="G36" t="inlineStr">
        <is>
          <t>Done</t>
        </is>
      </c>
      <c r="I36">
        <f>IF(H36&lt;&gt;"",H36,G36)</f>
        <v/>
      </c>
      <c r="J36" t="inlineStr">
        <is>
          <t>Step 1e</t>
        </is>
      </c>
      <c r="K36" t="n">
        <v>3</v>
      </c>
      <c r="L36" t="n">
        <v>1</v>
      </c>
      <c r="M36" s="5" t="inlineStr">
        <is>
          <t>As a company admin, I want new staff to get an account on their first SSO sign-in so that IT doesn't create each one.</t>
        </is>
      </c>
      <c r="N36" s="5" t="inlineStr">
        <is>
          <t>• Given an allowed domain, when a new person signs in by SSO, then a user is created with the default role (YX-IAM-05).
• Given a domain not allowed, when someone signs in, then no user is created (YX-IAM-05).
• Given JIT rules, when a user is created, then a sensitive role is never given automatically (YX-IAM-05).
• Given the provider asserts MFA with fixed values, when the user signs in, then the session counts as AAL2 (YX-IAM-01).</t>
        </is>
      </c>
      <c r="O36" s="5" t="inlineStr">
        <is>
          <t>YX-IAM-05, YX-IAM-01</t>
        </is>
      </c>
      <c r="P36" t="inlineStr">
        <is>
          <t>P12 §5</t>
        </is>
      </c>
      <c r="Q36" t="inlineStr"/>
      <c r="R36" s="5" t="inlineStr">
        <is>
          <t>PR #129 · 2411c632 · 8edd092e · 0728daa0 · test/sso-oidc.e2e-spec.ts</t>
        </is>
      </c>
    </row>
    <row r="37">
      <c r="A37" t="inlineStr">
        <is>
          <t>US-A-029</t>
        </is>
      </c>
      <c r="B37" t="n">
        <v>153</v>
      </c>
      <c r="C37" t="inlineStr">
        <is>
          <t>Story</t>
        </is>
      </c>
      <c r="D37" s="5" t="inlineStr">
        <is>
          <t xml:space="preserve">        SSO-only with break-glass admins</t>
        </is>
      </c>
      <c r="E37" t="inlineStr">
        <is>
          <t>Step 1 · Login and security</t>
        </is>
      </c>
      <c r="F37" t="inlineStr">
        <is>
          <t>Single sign-on</t>
        </is>
      </c>
      <c r="G37" t="inlineStr">
        <is>
          <t>Done</t>
        </is>
      </c>
      <c r="I37">
        <f>IF(H37&lt;&gt;"",H37,G37)</f>
        <v/>
      </c>
      <c r="J37" t="inlineStr">
        <is>
          <t>Step 1e</t>
        </is>
      </c>
      <c r="K37" t="n">
        <v>3</v>
      </c>
      <c r="L37" t="n">
        <v>1</v>
      </c>
      <c r="M37" s="5" t="inlineStr">
        <is>
          <t>As a company admin, I want to switch off passwords for normal users so that everyone must use our identity provider.</t>
        </is>
      </c>
      <c r="N37" s="5" t="inlineStr">
        <is>
          <t>• Given SSO-only on, when a normal user tries a password, then it fails (YX-IAM-04).
• Given fewer than 2 break-glass admins, when I turn on SSO-only, then saving is refused (YX-IAM-04).
• Given a break-glass admin signs in with a password and MFA, when it succeeds, then all admins are alerted (YX-IAM-04).
• Given SSO-only is turned on or a provider is disabled, when saved, then sessions opened through it end (YX-IAM-06).</t>
        </is>
      </c>
      <c r="O37" s="5" t="inlineStr">
        <is>
          <t>YX-IAM-04, YX-IAM-06</t>
        </is>
      </c>
      <c r="P37" t="inlineStr">
        <is>
          <t>P12 §5</t>
        </is>
      </c>
      <c r="Q37" t="inlineStr"/>
      <c r="R37" s="5" t="inlineStr">
        <is>
          <t>PR #129 · 8b952b70 · saml-sso.e2e-spec.ts · sso.service.spec.ts</t>
        </is>
      </c>
    </row>
    <row r="38">
      <c r="A38" t="inlineStr">
        <is>
          <t>US-A-030</t>
        </is>
      </c>
      <c r="B38" t="n">
        <v>154</v>
      </c>
      <c r="C38" t="inlineStr">
        <is>
          <t>Story</t>
        </is>
      </c>
      <c r="D38" s="5" t="inlineStr">
        <is>
          <t xml:space="preserve">        SSO hardening from the security review</t>
        </is>
      </c>
      <c r="E38" t="inlineStr">
        <is>
          <t>Step 1 · Login and security</t>
        </is>
      </c>
      <c r="F38" t="inlineStr">
        <is>
          <t>Single sign-on</t>
        </is>
      </c>
      <c r="G38" t="inlineStr">
        <is>
          <t>Done</t>
        </is>
      </c>
      <c r="I38">
        <f>IF(H38&lt;&gt;"",H38,G38)</f>
        <v/>
      </c>
      <c r="J38" t="inlineStr">
        <is>
          <t>Step 1 fix-review</t>
        </is>
      </c>
      <c r="K38" t="n">
        <v>3</v>
      </c>
      <c r="L38" t="n">
        <v>1</v>
      </c>
      <c r="M38" s="5" t="inlineStr">
        <is>
          <t>As a company admin, I want our SSO to resist known attacks so that nobody can sign in as our staff through another provider.</t>
        </is>
      </c>
      <c r="N38" s="5" t="inlineStr">
        <is>
          <t>• Given a provider, when it asserts an email outside its own domains, then sign-in is refused (YX-IAM-04).
• Given the SSO code in the callback, when it is redeemed, then it is device-bound, in the URL fragment and used once (YX-IAM-04).
• Given a replayed SAML assertion, when it arrives, then the atomic replay check refuses it (YX-IAM-04).
• Given an IdP change, when it is made, then it needs user-admin rights (YX-IAM-05).</t>
        </is>
      </c>
      <c r="O38" s="5" t="inlineStr">
        <is>
          <t>YX-IAM-04, YX-IAM-05</t>
        </is>
      </c>
      <c r="P38" t="inlineStr">
        <is>
          <t>P12 §5</t>
        </is>
      </c>
      <c r="Q38" t="inlineStr"/>
      <c r="R38" s="5" t="inlineStr">
        <is>
          <t>PR #129 · de02f469 · 834105c4 · 4d0c6d98 · 7164745b · saml-cache.provider.spec.ts · page.test.tsx (sso/callback)</t>
        </is>
      </c>
    </row>
    <row r="39">
      <c r="A39" s="9" t="inlineStr">
        <is>
          <t>FT-A-015</t>
        </is>
      </c>
      <c r="B39" s="9" t="n">
        <v>160</v>
      </c>
      <c r="C39" s="9" t="inlineStr">
        <is>
          <t>Feature</t>
        </is>
      </c>
      <c r="D39" s="10" t="inlineStr">
        <is>
          <t xml:space="preserve">    Sign in without a company code</t>
        </is>
      </c>
      <c r="E39" s="9" t="inlineStr">
        <is>
          <t>Step 1 · Login and security</t>
        </is>
      </c>
      <c r="F39" s="9" t="inlineStr">
        <is>
          <t>Sign in without a company code</t>
        </is>
      </c>
      <c r="G39" s="9" t="inlineStr">
        <is>
          <t>Done</t>
        </is>
      </c>
      <c r="H39" s="9" t="n"/>
      <c r="I39" s="9">
        <f>IF(H39&lt;&gt;"",H39,G39)</f>
        <v/>
      </c>
      <c r="J39" s="9" t="inlineStr">
        <is>
          <t>Step 1 login-no-code</t>
        </is>
      </c>
      <c r="K39" s="9" t="n"/>
      <c r="L39" s="9" t="n">
        <v>1</v>
      </c>
      <c r="M39" s="10" t="inlineStr"/>
      <c r="N39" s="10" t="inlineStr"/>
      <c r="O39" s="10" t="inlineStr"/>
      <c r="P39" s="9" t="inlineStr">
        <is>
          <t>P12 §6</t>
        </is>
      </c>
      <c r="Q39" s="9" t="inlineStr"/>
      <c r="R39" s="10" t="inlineStr">
        <is>
          <t>PR #129 · 5dbcd4ee · c1d694ff</t>
        </is>
      </c>
      <c r="S39" s="9" t="n"/>
    </row>
    <row r="40">
      <c r="A40" t="inlineStr">
        <is>
          <t>US-A-031</t>
        </is>
      </c>
      <c r="B40" t="n">
        <v>161</v>
      </c>
      <c r="C40" t="inlineStr">
        <is>
          <t>Story</t>
        </is>
      </c>
      <c r="D40" s="5" t="inlineStr">
        <is>
          <t xml:space="preserve">        Email-first sign-in with a company picker</t>
        </is>
      </c>
      <c r="E40" t="inlineStr">
        <is>
          <t>Step 1 · Login and security</t>
        </is>
      </c>
      <c r="F40" t="inlineStr">
        <is>
          <t>Sign in without a company code</t>
        </is>
      </c>
      <c r="G40" t="inlineStr">
        <is>
          <t>Done</t>
        </is>
      </c>
      <c r="I40">
        <f>IF(H40&lt;&gt;"",H40,G40)</f>
        <v/>
      </c>
      <c r="J40" t="inlineStr">
        <is>
          <t>Step 1 login-no-code</t>
        </is>
      </c>
      <c r="K40" t="n">
        <v>5</v>
      </c>
      <c r="L40" t="n">
        <v>1</v>
      </c>
      <c r="M40" s="5" t="inlineStr">
        <is>
          <t>As an employee, I want to sign in with just my work email so that I never need to know a company code.</t>
        </is>
      </c>
      <c r="N40" s="5" t="inlineStr">
        <is>
          <t>• Given my email belongs to one company, when I enter it and my password, then I sign in to that company (YX-IAM-04).
• Given my email is in several companies, when the password matches more than one, then a company picker shows only those (YX-IAM-07).
• Given 0 or 1 matching accounts, when I sign in, then the response takes about the same time (YX-IAM-07).
• Given the picker, when I choose, then a one-use selection token tied to my device and valid 2 minutes completes sign-in (YX-IAM-07).</t>
        </is>
      </c>
      <c r="O40" s="5" t="inlineStr">
        <is>
          <t>YX-IAM-04, YX-IAM-07</t>
        </is>
      </c>
      <c r="P40" t="inlineStr">
        <is>
          <t>P12 §6</t>
        </is>
      </c>
      <c r="Q40" t="inlineStr"/>
      <c r="R40" s="5" t="inlineStr">
        <is>
          <t>PR #129 · 5dbcd4ee · de468070 · 3bfa5fca · 25b85613 · test/email-first-sign-in.e2e-spec.ts · auth.test.tsx</t>
        </is>
      </c>
    </row>
    <row r="41">
      <c r="A41" t="inlineStr">
        <is>
          <t>US-A-032</t>
        </is>
      </c>
      <c r="B41" t="n">
        <v>162</v>
      </c>
      <c r="C41" t="inlineStr">
        <is>
          <t>Story</t>
        </is>
      </c>
      <c r="D41" s="5" t="inlineStr">
        <is>
          <t xml:space="preserve">        Company from the web address or a remembered company</t>
        </is>
      </c>
      <c r="E41" t="inlineStr">
        <is>
          <t>Step 1 · Login and security</t>
        </is>
      </c>
      <c r="F41" t="inlineStr">
        <is>
          <t>Sign in without a company code</t>
        </is>
      </c>
      <c r="G41" t="inlineStr">
        <is>
          <t>Done</t>
        </is>
      </c>
      <c r="I41">
        <f>IF(H41&lt;&gt;"",H41,G41)</f>
        <v/>
      </c>
      <c r="J41" t="inlineStr">
        <is>
          <t>Step 1 login-no-code</t>
        </is>
      </c>
      <c r="K41" t="n">
        <v>3</v>
      </c>
      <c r="L41" t="n">
        <v>1</v>
      </c>
      <c r="M41" s="5" t="inlineStr">
        <is>
          <t>As an employee, I want my company's own address or my last company to be remembered so that sign-in is one step.</t>
        </is>
      </c>
      <c r="N41" s="5" t="inlineStr">
        <is>
          <t>• Given a company subdomain under YX_BASE_DOMAIN, when I open it, then the sign-in page is for that company (YX-IAM-04).
• Given I signed in before on this device, when I return, then my company is remembered and can be changed (YX-IAM-04).
• Given forgot password, when I enter my work email only, then a reset link is sent without asking for a company (YX-IAM-08).</t>
        </is>
      </c>
      <c r="O41" s="5" t="inlineStr">
        <is>
          <t>YX-IAM-04, YX-IAM-08</t>
        </is>
      </c>
      <c r="P41" t="inlineStr">
        <is>
          <t>P12 §6</t>
        </is>
      </c>
      <c r="Q41" t="inlineStr"/>
      <c r="R41" s="5" t="inlineStr">
        <is>
          <t>PR #129 · 5dbcd4ee · e3661bfc · 2b42bd8e · company-scope.spec.ts</t>
        </is>
      </c>
    </row>
    <row r="42">
      <c r="A42" t="inlineStr">
        <is>
          <t>US-A-033</t>
        </is>
      </c>
      <c r="B42" t="n">
        <v>163</v>
      </c>
      <c r="C42" t="inlineStr">
        <is>
          <t>Story</t>
        </is>
      </c>
      <c r="D42" s="5" t="inlineStr">
        <is>
          <t xml:space="preserve">        Verify company email domains by DNS TXT</t>
        </is>
      </c>
      <c r="E42" t="inlineStr">
        <is>
          <t>Step 1 · Login and security</t>
        </is>
      </c>
      <c r="F42" t="inlineStr">
        <is>
          <t>Sign in without a company code</t>
        </is>
      </c>
      <c r="G42" t="inlineStr">
        <is>
          <t>Done</t>
        </is>
      </c>
      <c r="I42">
        <f>IF(H42&lt;&gt;"",H42,G42)</f>
        <v/>
      </c>
      <c r="J42" t="inlineStr">
        <is>
          <t>Step 1 login-no-code</t>
        </is>
      </c>
      <c r="K42" t="n">
        <v>3</v>
      </c>
      <c r="L42" t="n">
        <v>1</v>
      </c>
      <c r="M42" s="5" t="inlineStr">
        <is>
          <t>As a company admin, I want to prove we own our email domain so that only verified domains send people to our SSO.</t>
        </is>
      </c>
      <c r="N42" s="5" t="inlineStr">
        <is>
          <t>• Given a domain, when I add it, then the TXT record to publish is shown (YX-IAM-04).
• Given 'Check record', when the TXT record is found, then the domain is marked verified (YX-IAM-04).
• Given an unverified domain, when someone signs in email-first, then it does not route them to our provider (YX-IAM-04).</t>
        </is>
      </c>
      <c r="O42" s="5" t="inlineStr">
        <is>
          <t>YX-IAM-04</t>
        </is>
      </c>
      <c r="P42" t="inlineStr">
        <is>
          <t>P12 §5</t>
        </is>
      </c>
      <c r="Q42" t="inlineStr"/>
      <c r="R42" s="5" t="inlineStr">
        <is>
          <t>PR #129 · c1d694ff · 1fdd57c9 · c729d661</t>
        </is>
      </c>
    </row>
    <row r="43">
      <c r="A43" t="inlineStr">
        <is>
          <t>US-A-034</t>
        </is>
      </c>
      <c r="B43" t="n">
        <v>170</v>
      </c>
      <c r="C43" t="inlineStr">
        <is>
          <t>Story</t>
        </is>
      </c>
      <c r="D43" s="5" t="inlineStr">
        <is>
          <t xml:space="preserve">        Staff accounts never show in the company picker</t>
        </is>
      </c>
      <c r="E43" t="inlineStr">
        <is>
          <t>Step 1 · Login and security</t>
        </is>
      </c>
      <c r="F43" t="inlineStr">
        <is>
          <t>Sign in without a company code</t>
        </is>
      </c>
      <c r="G43" t="inlineStr">
        <is>
          <t>New</t>
        </is>
      </c>
      <c r="I43">
        <f>IF(H43&lt;&gt;"",H43,G43)</f>
        <v/>
      </c>
      <c r="J43" t="inlineStr">
        <is>
          <t>Step 1 follow-up</t>
        </is>
      </c>
      <c r="K43" t="n">
        <v>2</v>
      </c>
      <c r="L43" t="n">
        <v>1</v>
      </c>
      <c r="M43" s="5" t="inlineStr">
        <is>
          <t>As YukthiX staff, I want my staff account kept out of the company sign-in so that staff only sign in through the locked-down console path with hardware keys.</t>
        </is>
      </c>
      <c r="N43" s="5" t="inlineStr">
        <is>
          <t>• Given a staff account with the same email and password as a company account, when that email signs in email-first, then no 'YukthiX' choice is shown (YX-SECOPS-08).
• Given a staff account, when it tries to sign in on a company page, then it is refused with a neutral message (YX-SECOPS-08).
• Given the console sign-in path, when a staff member signs in, then a hardware security key is required (YX-SECOPS-08, YX-IAM-01).</t>
        </is>
      </c>
      <c r="O43" s="5" t="inlineStr">
        <is>
          <t>YX-SECOPS-08, YX-IAM-01</t>
        </is>
      </c>
      <c r="P43" t="inlineStr">
        <is>
          <t>P12 Q7, open-work W-005, deferred D-050</t>
        </is>
      </c>
      <c r="Q43" t="inlineStr"/>
      <c r="R43" s="5" t="inlineStr"/>
    </row>
    <row r="44">
      <c r="A44" t="inlineStr">
        <is>
          <t>US-A-035</t>
        </is>
      </c>
      <c r="B44" t="n">
        <v>171</v>
      </c>
      <c r="C44" t="inlineStr">
        <is>
          <t>Story</t>
        </is>
      </c>
      <c r="D44" s="5" t="inlineStr">
        <is>
          <t xml:space="preserve">        Re-check verified email domains regularly</t>
        </is>
      </c>
      <c r="E44" t="inlineStr">
        <is>
          <t>Step 1 · Login and security</t>
        </is>
      </c>
      <c r="F44" t="inlineStr">
        <is>
          <t>Sign in without a company code</t>
        </is>
      </c>
      <c r="G44" t="inlineStr">
        <is>
          <t>New</t>
        </is>
      </c>
      <c r="I44">
        <f>IF(H44&lt;&gt;"",H44,G44)</f>
        <v/>
      </c>
      <c r="J44" t="inlineStr">
        <is>
          <t>Step 1 follow-up</t>
        </is>
      </c>
      <c r="K44" t="n">
        <v>2</v>
      </c>
      <c r="L44" t="n">
        <v>1</v>
      </c>
      <c r="M44" s="5" t="inlineStr">
        <is>
          <t>As a company admin, I want verified domains re-checked so that a lapsed domain stops routing people to our SSO.</t>
        </is>
      </c>
      <c r="N44" s="5" t="inlineStr">
        <is>
          <t>• Given a verified domain, when the scheduled DNS re-check runs, then it still needs the TXT record (YX-IAM-04).
• Given the record is missing on two checks in a row, when the job runs, then the domain is marked unverified and admins are emailed (YX-IAM-04, YX-IAM-10).
• Given an unverified domain, when someone signs in email-first, then it no longer routes to SSO (YX-IAM-04).</t>
        </is>
      </c>
      <c r="O44" s="5" t="inlineStr">
        <is>
          <t>YX-IAM-04, YX-IAM-10</t>
        </is>
      </c>
      <c r="P44" t="inlineStr">
        <is>
          <t>P12 §5, open-work W-006, deferred D-046</t>
        </is>
      </c>
      <c r="Q44" t="inlineStr">
        <is>
          <t>US-A-033</t>
        </is>
      </c>
      <c r="R44" s="5" t="inlineStr"/>
    </row>
    <row r="45">
      <c r="A45" s="9" t="inlineStr">
        <is>
          <t>FT-A-016</t>
        </is>
      </c>
      <c r="B45" s="9" t="n">
        <v>180</v>
      </c>
      <c r="C45" s="9" t="inlineStr">
        <is>
          <t>Feature</t>
        </is>
      </c>
      <c r="D45" s="10" t="inlineStr">
        <is>
          <t xml:space="preserve">    Login and security screens</t>
        </is>
      </c>
      <c r="E45" s="9" t="inlineStr">
        <is>
          <t>Step 1 · Login and security</t>
        </is>
      </c>
      <c r="F45" s="9" t="inlineStr">
        <is>
          <t>Login and security screens</t>
        </is>
      </c>
      <c r="G45" s="9" t="inlineStr">
        <is>
          <t>Done</t>
        </is>
      </c>
      <c r="H45" s="9" t="n"/>
      <c r="I45" s="9">
        <f>IF(H45&lt;&gt;"",H45,G45)</f>
        <v/>
      </c>
      <c r="J45" s="9" t="inlineStr">
        <is>
          <t>Step 1g</t>
        </is>
      </c>
      <c r="K45" s="9" t="n"/>
      <c r="L45" s="9" t="n">
        <v>1</v>
      </c>
      <c r="M45" s="10" t="inlineStr"/>
      <c r="N45" s="10" t="inlineStr"/>
      <c r="O45" s="10" t="inlineStr"/>
      <c r="P45" s="9" t="inlineStr">
        <is>
          <t>P12 §7</t>
        </is>
      </c>
      <c r="Q45" s="9" t="inlineStr"/>
      <c r="R45" s="10" t="inlineStr">
        <is>
          <t>PR #129 · d6ea28d4 · 07fad7b4</t>
        </is>
      </c>
      <c r="S45" s="9" t="n"/>
    </row>
    <row r="46">
      <c r="A46" t="inlineStr">
        <is>
          <t>US-A-036</t>
        </is>
      </c>
      <c r="B46" t="n">
        <v>181</v>
      </c>
      <c r="C46" t="inlineStr">
        <is>
          <t>Story</t>
        </is>
      </c>
      <c r="D46" s="5" t="inlineStr">
        <is>
          <t xml:space="preserve">        YukthiX sign-in, second step and Me › Security screens</t>
        </is>
      </c>
      <c r="E46" t="inlineStr">
        <is>
          <t>Step 1 · Login and security</t>
        </is>
      </c>
      <c r="F46" t="inlineStr">
        <is>
          <t>Login and security screens</t>
        </is>
      </c>
      <c r="G46" t="inlineStr">
        <is>
          <t>Done</t>
        </is>
      </c>
      <c r="I46">
        <f>IF(H46&lt;&gt;"",H46,G46)</f>
        <v/>
      </c>
      <c r="J46" t="inlineStr">
        <is>
          <t>Step 1g</t>
        </is>
      </c>
      <c r="K46" t="n">
        <v>5</v>
      </c>
      <c r="L46" t="n">
        <v>1</v>
      </c>
      <c r="M46" s="5" t="inlineStr">
        <is>
          <t>As an employee, I want clear sign-in and security screens so that I can manage my factors, sessions and history myself.</t>
        </is>
      </c>
      <c r="N46" s="5" t="inlineStr">
        <is>
          <t>• Given /yx/sign-in, when I sign in, then the second step and step-up prompt use the YukthiX design (YX-IAM-02).
• Given Me › Security, when I open it, then I see passkeys, TOTP, recovery codes, sessions and login history (YX-IAM-06, YX-IAM-10).
• Given Admin › Login activity, when an admin opens it, then failed-login spikes and sessions are listed (YX-IAM-10).
• Given a phone width, when a table is shown, then it turns into cards without page side-scrolling.</t>
        </is>
      </c>
      <c r="O46" s="5" t="inlineStr">
        <is>
          <t>YX-IAM-02, YX-IAM-06, YX-IAM-10</t>
        </is>
      </c>
      <c r="P46" t="inlineStr">
        <is>
          <t>P12 §7</t>
        </is>
      </c>
      <c r="Q46" t="inlineStr"/>
      <c r="R46" s="5" t="inlineStr">
        <is>
          <t>PR #129 · d6ea28d4 · 111c9d4a · 07fad7b4 · e82cd72a · yx-pages.test.tsx · auth.test.tsx · SecondFactorForm.test.tsx</t>
        </is>
      </c>
    </row>
    <row r="47">
      <c r="A47" s="9" t="inlineStr">
        <is>
          <t>FT-A-017</t>
        </is>
      </c>
      <c r="B47" s="9" t="n">
        <v>190</v>
      </c>
      <c r="C47" s="9" t="inlineStr">
        <is>
          <t>Feature</t>
        </is>
      </c>
      <c r="D47" s="10" t="inlineStr">
        <is>
          <t xml:space="preserve">    Step 1 security review and follow-ups</t>
        </is>
      </c>
      <c r="E47" s="9" t="inlineStr">
        <is>
          <t>Step 1 · Login and security</t>
        </is>
      </c>
      <c r="F47" s="9" t="inlineStr">
        <is>
          <t>Step 1 security review and follow-ups</t>
        </is>
      </c>
      <c r="G47" s="9" t="inlineStr">
        <is>
          <t>Done</t>
        </is>
      </c>
      <c r="H47" s="9" t="n"/>
      <c r="I47" s="9">
        <f>IF(H47&lt;&gt;"",H47,G47)</f>
        <v/>
      </c>
      <c r="J47" s="9" t="inlineStr">
        <is>
          <t>Step 1 fix-review</t>
        </is>
      </c>
      <c r="K47" s="9" t="n"/>
      <c r="L47" s="9" t="n">
        <v>1</v>
      </c>
      <c r="M47" s="10" t="inlineStr"/>
      <c r="N47" s="10" t="inlineStr"/>
      <c r="O47" s="10" t="inlineStr"/>
      <c r="P47" s="9" t="inlineStr">
        <is>
          <t>P12</t>
        </is>
      </c>
      <c r="Q47" s="9" t="inlineStr"/>
      <c r="R47" s="10" t="inlineStr">
        <is>
          <t>PR #129 · 31e289f6 · bccaa019 · 377eca4c</t>
        </is>
      </c>
      <c r="S47" s="9" t="n"/>
    </row>
    <row r="48">
      <c r="A48" t="inlineStr">
        <is>
          <t>US-A-037</t>
        </is>
      </c>
      <c r="B48" t="n">
        <v>191</v>
      </c>
      <c r="C48" t="inlineStr">
        <is>
          <t>Story</t>
        </is>
      </c>
      <c r="D48" s="5" t="inlineStr">
        <is>
          <t xml:space="preserve">        Fix every finding of the step 1 security review</t>
        </is>
      </c>
      <c r="E48" t="inlineStr">
        <is>
          <t>Step 1 · Login and security</t>
        </is>
      </c>
      <c r="F48" t="inlineStr">
        <is>
          <t>Step 1 security review and follow-ups</t>
        </is>
      </c>
      <c r="G48" t="inlineStr">
        <is>
          <t>Done</t>
        </is>
      </c>
      <c r="I48">
        <f>IF(H48&lt;&gt;"",H48,G48)</f>
        <v/>
      </c>
      <c r="J48" t="inlineStr">
        <is>
          <t>Step 1 fix-review</t>
        </is>
      </c>
      <c r="K48" t="n">
        <v>5</v>
      </c>
      <c r="L48" t="n">
        <v>1</v>
      </c>
      <c r="M48" s="5" t="inlineStr">
        <is>
          <t>As a company admin, I want the independent review's findings fixed before release so that login is safe on day one.</t>
        </is>
      </c>
      <c r="N48" s="5" t="inlineStr">
        <is>
          <t>• Given a sign-in, when an org does not exist, then the reply gives no hint (YX-IAM-07).
• Given YukthiX super admins, when they enrol MFA, then only device-bound security keys are accepted (YX-SECOPS-08).
• Given the dependency audit gate, when CI runs, then no high or critical advisory is open (YX-SECOPS-04).
• Given the monitoring socket, when the roster ticks, then each socket is re-validated (YX-IAM-06).</t>
        </is>
      </c>
      <c r="O48" s="5" t="inlineStr">
        <is>
          <t>YX-IAM-07, YX-SECOPS-08, YX-SECOPS-04, YX-IAM-06</t>
        </is>
      </c>
      <c r="P48" t="inlineStr">
        <is>
          <t>P12 §5</t>
        </is>
      </c>
      <c r="Q48" t="inlineStr"/>
      <c r="R48" s="5" t="inlineStr">
        <is>
          <t>PR #129 · 31e289f6 · bccaa019 · c6219563 · 377eca4c · 65817257 · dcd9593f</t>
        </is>
      </c>
    </row>
    <row r="49">
      <c r="A49" t="inlineStr">
        <is>
          <t>US-A-038</t>
        </is>
      </c>
      <c r="B49" t="n">
        <v>192</v>
      </c>
      <c r="C49" t="inlineStr">
        <is>
          <t>Story</t>
        </is>
      </c>
      <c r="D49" s="5" t="inlineStr">
        <is>
          <t xml:space="preserve">        Identity re-verification as a recovery route</t>
        </is>
      </c>
      <c r="E49" t="inlineStr">
        <is>
          <t>Step 1 · Login and security</t>
        </is>
      </c>
      <c r="F49" t="inlineStr">
        <is>
          <t>Step 1 security review and follow-ups</t>
        </is>
      </c>
      <c r="G49" t="inlineStr">
        <is>
          <t>New</t>
        </is>
      </c>
      <c r="I49">
        <f>IF(H49&lt;&gt;"",H49,G49)</f>
        <v/>
      </c>
      <c r="J49" t="inlineStr">
        <is>
          <t>Step 1 follow-up</t>
        </is>
      </c>
      <c r="K49" t="n">
        <v>3</v>
      </c>
      <c r="L49" t="n">
        <v>2</v>
      </c>
      <c r="M49" s="5" t="inlineStr">
        <is>
          <t>As an HR admin who lost every factor, I want to recover by re-verifying my identity so that I am not stuck when no second admin is available.</t>
        </is>
      </c>
      <c r="N49" s="5" t="inlineStr">
        <is>
          <t>• Given a sensitive-role user with no factors, when no second admin can approve, then they can recover by identity re-verification (YX-IAM-11).
• Given the re-verification passes, when recovery completes, then old factors and sessions are revoked and all admins are alerted (YX-IAM-11, YX-IAM-10).
• Given a sensitive-role account with no factor, when someone uses the email reset link, then it does not bypass MFA enrolment (YX-IAM-11).</t>
        </is>
      </c>
      <c r="O49" s="5" t="inlineStr">
        <is>
          <t>YX-IAM-11, YX-IAM-10</t>
        </is>
      </c>
      <c r="P49" t="inlineStr">
        <is>
          <t>P12 §5, deferred D-077</t>
        </is>
      </c>
      <c r="Q49" t="inlineStr">
        <is>
          <t>US-A-020</t>
        </is>
      </c>
      <c r="R49" s="5" t="inlineStr"/>
    </row>
    <row r="50">
      <c r="A50" t="inlineStr">
        <is>
          <t>US-A-039</t>
        </is>
      </c>
      <c r="B50" t="n">
        <v>193</v>
      </c>
      <c r="C50" t="inlineStr">
        <is>
          <t>Story</t>
        </is>
      </c>
      <c r="D50" s="5" t="inlineStr">
        <is>
          <t xml:space="preserve">        Passkey-only sign-in</t>
        </is>
      </c>
      <c r="E50" t="inlineStr">
        <is>
          <t>Step 1 · Login and security</t>
        </is>
      </c>
      <c r="F50" t="inlineStr">
        <is>
          <t>Step 1 security review and follow-ups</t>
        </is>
      </c>
      <c r="G50" t="inlineStr">
        <is>
          <t>New</t>
        </is>
      </c>
      <c r="I50">
        <f>IF(H50&lt;&gt;"",H50,G50)</f>
        <v/>
      </c>
      <c r="J50" t="inlineStr">
        <is>
          <t>Step 1 follow-up</t>
        </is>
      </c>
      <c r="K50" t="n">
        <v>3</v>
      </c>
      <c r="L50" t="n">
        <v>3</v>
      </c>
      <c r="M50" s="5" t="inlineStr">
        <is>
          <t>As an employee, I want to sign in with only my passkey so that I don't need a password at all.</t>
        </is>
      </c>
      <c r="N50" s="5" t="inlineStr">
        <is>
          <t>• Given a registered discoverable passkey, when I choose 'Sign in with passkey', then I sign in without a password at AAL2 (YX-IAM-03).
• Given a company with SSO-only on, when a normal user tries passkey-only, then the company rule applies (YX-IAM-04).
• Given the sign-in, when it ends, then a login event records method 'passkey' (YX-IAM-10).</t>
        </is>
      </c>
      <c r="O50" s="5" t="inlineStr">
        <is>
          <t>YX-IAM-03, YX-IAM-04, YX-IAM-10</t>
        </is>
      </c>
      <c r="P50" t="inlineStr">
        <is>
          <t>P12 §3, deferred D-075</t>
        </is>
      </c>
      <c r="Q50" t="inlineStr">
        <is>
          <t>US-A-017</t>
        </is>
      </c>
      <c r="R50" s="5" t="inlineStr"/>
    </row>
    <row r="51">
      <c r="A51" t="inlineStr">
        <is>
          <t>US-A-040</t>
        </is>
      </c>
      <c r="B51" t="n">
        <v>194</v>
      </c>
      <c r="C51" t="inlineStr">
        <is>
          <t>Story</t>
        </is>
      </c>
      <c r="D51" s="5" t="inlineStr">
        <is>
          <t xml:space="preserve">        Keep login logs at least one year, then purge</t>
        </is>
      </c>
      <c r="E51" t="inlineStr">
        <is>
          <t>Step 1 · Login and security</t>
        </is>
      </c>
      <c r="F51" t="inlineStr">
        <is>
          <t>Step 1 security review and follow-ups</t>
        </is>
      </c>
      <c r="G51" t="inlineStr">
        <is>
          <t>New</t>
        </is>
      </c>
      <c r="I51">
        <f>IF(H51&lt;&gt;"",H51,G51)</f>
        <v/>
      </c>
      <c r="J51" t="inlineStr">
        <is>
          <t>Step 1 follow-up</t>
        </is>
      </c>
      <c r="K51" t="n">
        <v>2</v>
      </c>
      <c r="L51" t="n">
        <v>1</v>
      </c>
      <c r="M51" s="5" t="inlineStr">
        <is>
          <t>As a company admin, I want login logs kept for at least a year so that we can investigate incidents and meet DPDP rules.</t>
        </is>
      </c>
      <c r="N51" s="5" t="inlineStr">
        <is>
          <t>• Given a login event 11 months old, when an investigator searches, then it is found (YX-SECOPS-07).
• Given the retention job, when it runs, then it purges only events and expired sessions older than the 1-year minimum (YX-SECOPS-07).
• Given the purge, when it runs, then it uses its own audited database role (YX-SECOPS-07).</t>
        </is>
      </c>
      <c r="O51" s="5" t="inlineStr">
        <is>
          <t>YX-SECOPS-07</t>
        </is>
      </c>
      <c r="P51" t="inlineStr">
        <is>
          <t>P12 §5, P12 §9, deferred D-063</t>
        </is>
      </c>
      <c r="Q51" t="inlineStr"/>
      <c r="R51" s="5" t="inlineStr"/>
    </row>
    <row r="52">
      <c r="A52" s="7" t="inlineStr">
        <is>
          <t>EP-A-3</t>
        </is>
      </c>
      <c r="B52" s="7" t="n">
        <v>200</v>
      </c>
      <c r="C52" s="7" t="inlineStr">
        <is>
          <t>Epic</t>
        </is>
      </c>
      <c r="D52" s="8" t="inlineStr">
        <is>
          <t>Design docs and UI prototype</t>
        </is>
      </c>
      <c r="E52" s="7" t="inlineStr">
        <is>
          <t>Design docs and UI prototype</t>
        </is>
      </c>
      <c r="F52" s="7" t="inlineStr"/>
      <c r="G52" s="7" t="inlineStr">
        <is>
          <t>Done</t>
        </is>
      </c>
      <c r="H52" s="7" t="n"/>
      <c r="I52" s="7">
        <f>IF(H52&lt;&gt;"",H52,G52)</f>
        <v/>
      </c>
      <c r="J52" s="7" t="inlineStr">
        <is>
          <t>UI prototype</t>
        </is>
      </c>
      <c r="K52" s="7" t="n"/>
      <c r="L52" s="7" t="n">
        <v>1</v>
      </c>
      <c r="M52" s="8" t="inlineStr"/>
      <c r="N52" s="8" t="inlineStr"/>
      <c r="O52" s="8" t="inlineStr"/>
      <c r="P52" s="7" t="inlineStr">
        <is>
          <t>packages/yx-ui, docs/yukthix/design</t>
        </is>
      </c>
      <c r="Q52" s="7" t="inlineStr"/>
      <c r="R52" s="8" t="inlineStr">
        <is>
          <t>PR #130 · branch feat/yukthix-workspace</t>
        </is>
      </c>
      <c r="S52" s="7" t="n"/>
    </row>
    <row r="53">
      <c r="A53" s="9" t="inlineStr">
        <is>
          <t>FT-A-020</t>
        </is>
      </c>
      <c r="B53" s="9" t="n">
        <v>210</v>
      </c>
      <c r="C53" s="9" t="inlineStr">
        <is>
          <t>Feature</t>
        </is>
      </c>
      <c r="D53" s="10" t="inlineStr">
        <is>
          <t xml:space="preserve">    YukthiX design system package</t>
        </is>
      </c>
      <c r="E53" s="9" t="inlineStr">
        <is>
          <t>Design docs and UI prototype</t>
        </is>
      </c>
      <c r="F53" s="9" t="inlineStr">
        <is>
          <t>YukthiX design system package</t>
        </is>
      </c>
      <c r="G53" s="9" t="inlineStr">
        <is>
          <t>Done</t>
        </is>
      </c>
      <c r="H53" s="9" t="n"/>
      <c r="I53" s="9">
        <f>IF(H53&lt;&gt;"",H53,G53)</f>
        <v/>
      </c>
      <c r="J53" s="9" t="inlineStr">
        <is>
          <t>UI prototype</t>
        </is>
      </c>
      <c r="K53" s="9" t="n"/>
      <c r="L53" s="9" t="n">
        <v>1</v>
      </c>
      <c r="M53" s="10" t="inlineStr"/>
      <c r="N53" s="10" t="inlineStr"/>
      <c r="O53" s="10" t="inlineStr"/>
      <c r="P53" s="9" t="inlineStr">
        <is>
          <t>brand/DESIGN-SYSTEM.md</t>
        </is>
      </c>
      <c r="Q53" s="9" t="inlineStr"/>
      <c r="R53" s="10" t="inlineStr">
        <is>
          <t>PR #129 · a9869401 · PR #130</t>
        </is>
      </c>
      <c r="S53" s="9" t="n"/>
    </row>
    <row r="54">
      <c r="A54" t="inlineStr">
        <is>
          <t>US-A-050</t>
        </is>
      </c>
      <c r="B54" t="n">
        <v>211</v>
      </c>
      <c r="C54" t="inlineStr">
        <is>
          <t>Story</t>
        </is>
      </c>
      <c r="D54" s="5" t="inlineStr">
        <is>
          <t xml:space="preserve">        Design system in the monorepo as packages/yx-ui</t>
        </is>
      </c>
      <c r="E54" t="inlineStr">
        <is>
          <t>Design docs and UI prototype</t>
        </is>
      </c>
      <c r="F54" t="inlineStr">
        <is>
          <t>YukthiX design system package</t>
        </is>
      </c>
      <c r="G54" t="inlineStr">
        <is>
          <t>Done</t>
        </is>
      </c>
      <c r="I54">
        <f>IF(H54&lt;&gt;"",H54,G54)</f>
        <v/>
      </c>
      <c r="J54" t="inlineStr">
        <is>
          <t>UI prototype</t>
        </is>
      </c>
      <c r="K54" t="n">
        <v>3</v>
      </c>
      <c r="L54" t="n">
        <v>1</v>
      </c>
      <c r="M54" s="5" t="inlineStr">
        <is>
          <t>As a developer, I want one shared component package so that every YukthiX screen looks and behaves the same.</t>
        </is>
      </c>
      <c r="N54" s="5" t="inlineStr">
        <is>
          <t>• Given packages/yx-ui, when an app imports it, then tokens, shell and components work under Next's React types.
• Given the token check, when a component uses a raw colour, then check-tokens fails.
• Given the component tests, when vitest runs, then components, data, overlay, shell and charts tests pass.</t>
        </is>
      </c>
      <c r="O54" s="5" t="inlineStr"/>
      <c r="P54" t="inlineStr">
        <is>
          <t>brand/DESIGN-SYSTEM.md, packages/yx-ui/README.md</t>
        </is>
      </c>
      <c r="Q54" t="inlineStr"/>
      <c r="R54" s="5" t="inlineStr">
        <is>
          <t>PR #129 · a9869401 · aaedb2c2 · components.test.tsx · shell.test.tsx · scripts/check-tokens.mjs</t>
        </is>
      </c>
    </row>
    <row r="55">
      <c r="A55" s="9" t="inlineStr">
        <is>
          <t>FT-A-021</t>
        </is>
      </c>
      <c r="B55" s="9" t="n">
        <v>220</v>
      </c>
      <c r="C55" s="9" t="inlineStr">
        <is>
          <t>Feature</t>
        </is>
      </c>
      <c r="D55" s="10" t="inlineStr">
        <is>
          <t xml:space="preserve">    Screen prototypes for every module</t>
        </is>
      </c>
      <c r="E55" s="9" t="inlineStr">
        <is>
          <t>Design docs and UI prototype</t>
        </is>
      </c>
      <c r="F55" s="9" t="inlineStr">
        <is>
          <t>Screen prototypes for every module</t>
        </is>
      </c>
      <c r="G55" s="9" t="inlineStr">
        <is>
          <t>Done</t>
        </is>
      </c>
      <c r="H55" s="9" t="n"/>
      <c r="I55" s="9">
        <f>IF(H55&lt;&gt;"",H55,G55)</f>
        <v/>
      </c>
      <c r="J55" s="9" t="inlineStr">
        <is>
          <t>UI prototype</t>
        </is>
      </c>
      <c r="K55" s="9" t="n"/>
      <c r="L55" s="9" t="n">
        <v>1</v>
      </c>
      <c r="M55" s="10" t="inlineStr"/>
      <c r="N55" s="10" t="inlineStr"/>
      <c r="O55" s="10" t="inlineStr"/>
      <c r="P55" s="9" t="inlineStr">
        <is>
          <t>APX-D, packages/yx-ui/docs/SCREENS-BRIEF.md</t>
        </is>
      </c>
      <c r="Q55" s="9" t="inlineStr"/>
      <c r="R55" s="10" t="inlineStr">
        <is>
          <t>PR #130 · 5b607e04</t>
        </is>
      </c>
      <c r="S55" s="9" t="n"/>
    </row>
    <row r="56">
      <c r="A56" t="inlineStr">
        <is>
          <t>US-A-051</t>
        </is>
      </c>
      <c r="B56" t="n">
        <v>221</v>
      </c>
      <c r="C56" t="inlineStr">
        <is>
          <t>Story</t>
        </is>
      </c>
      <c r="D56" s="5" t="inlineStr">
        <is>
          <t xml:space="preserve">        2,946 Storybook stories over 16 screen groups</t>
        </is>
      </c>
      <c r="E56" t="inlineStr">
        <is>
          <t>Design docs and UI prototype</t>
        </is>
      </c>
      <c r="F56" t="inlineStr">
        <is>
          <t>Screen prototypes for every module</t>
        </is>
      </c>
      <c r="G56" t="inlineStr">
        <is>
          <t>Done</t>
        </is>
      </c>
      <c r="I56">
        <f>IF(H56&lt;&gt;"",H56,G56)</f>
        <v/>
      </c>
      <c r="J56" t="inlineStr">
        <is>
          <t>UI prototype</t>
        </is>
      </c>
      <c r="K56" t="n">
        <v>8</v>
      </c>
      <c r="L56" t="n">
        <v>1</v>
      </c>
      <c r="M56" s="5" t="inlineStr">
        <is>
          <t>As the founder, I want every planned screen as a clickable prototype so that I can review the product before the backend is built.</t>
        </is>
      </c>
      <c r="N56" s="5" t="inlineStr">
        <is>
          <t>• Given Storybook, when it is built, then 2,946 stories render across 16 screen groups (auth, people, time, pay, hiring, settings, platform and more).
• Given each screen, when opened, then it uses only yx-ui components and tokens.
• Given the screens, when exported, then apps can import them and wire them to real APIs.</t>
        </is>
      </c>
      <c r="O56" s="5" t="inlineStr"/>
      <c r="P56" t="inlineStr">
        <is>
          <t>APX-D, packages/yx-ui/docs/SCREENS-BRIEF.md</t>
        </is>
      </c>
      <c r="Q56" t="inlineStr"/>
      <c r="R56" s="5" t="inlineStr">
        <is>
          <t>PR #130 · 5b607e04 · e4a858ad · storybook-static</t>
        </is>
      </c>
    </row>
    <row r="57">
      <c r="A57" s="9" t="inlineStr">
        <is>
          <t>FT-A-022</t>
        </is>
      </c>
      <c r="B57" s="9" t="n">
        <v>230</v>
      </c>
      <c r="C57" s="9" t="inlineStr">
        <is>
          <t>Feature</t>
        </is>
      </c>
      <c r="D57" s="10" t="inlineStr">
        <is>
          <t xml:space="preserve">    Screen review tooling</t>
        </is>
      </c>
      <c r="E57" s="9" t="inlineStr">
        <is>
          <t>Design docs and UI prototype</t>
        </is>
      </c>
      <c r="F57" s="9" t="inlineStr">
        <is>
          <t>Screen review tooling</t>
        </is>
      </c>
      <c r="G57" s="9" t="inlineStr">
        <is>
          <t>Done</t>
        </is>
      </c>
      <c r="H57" s="9" t="n"/>
      <c r="I57" s="9">
        <f>IF(H57&lt;&gt;"",H57,G57)</f>
        <v/>
      </c>
      <c r="J57" s="9" t="inlineStr">
        <is>
          <t>UI prototype</t>
        </is>
      </c>
      <c r="K57" s="9" t="n"/>
      <c r="L57" s="9" t="n">
        <v>1</v>
      </c>
      <c r="M57" s="10" t="inlineStr"/>
      <c r="N57" s="10" t="inlineStr"/>
      <c r="O57" s="10" t="inlineStr"/>
      <c r="P57" s="9" t="inlineStr">
        <is>
          <t>packages/yx-ui/review/RULES.md</t>
        </is>
      </c>
      <c r="Q57" s="9" t="inlineStr"/>
      <c r="R57" s="10" t="inlineStr">
        <is>
          <t>PR #130 · ab2b9928 · 3f37d883</t>
        </is>
      </c>
      <c r="S57" s="9" t="n"/>
    </row>
    <row r="58">
      <c r="A58" t="inlineStr">
        <is>
          <t>US-A-052</t>
        </is>
      </c>
      <c r="B58" t="n">
        <v>231</v>
      </c>
      <c r="C58" t="inlineStr">
        <is>
          <t>Story</t>
        </is>
      </c>
      <c r="D58" s="5" t="inlineStr">
        <is>
          <t xml:space="preserve">        Screen review rules R1–R11 and checklists</t>
        </is>
      </c>
      <c r="E58" t="inlineStr">
        <is>
          <t>Design docs and UI prototype</t>
        </is>
      </c>
      <c r="F58" t="inlineStr">
        <is>
          <t>Screen review tooling</t>
        </is>
      </c>
      <c r="G58" t="inlineStr">
        <is>
          <t>Done</t>
        </is>
      </c>
      <c r="I58">
        <f>IF(H58&lt;&gt;"",H58,G58)</f>
        <v/>
      </c>
      <c r="J58" t="inlineStr">
        <is>
          <t>UI prototype</t>
        </is>
      </c>
      <c r="K58" t="n">
        <v>3</v>
      </c>
      <c r="L58" t="n">
        <v>1</v>
      </c>
      <c r="M58" s="5" t="inlineStr">
        <is>
          <t>As the founder, I want fixed review rules so that every reviewer checks every screen the same way in one go.</t>
        </is>
      </c>
      <c r="N58" s="5" t="inlineStr">
        <is>
          <t>• Given review/RULES.md, when a reviewer starts, then rules R1–R11 apply in full (e.g. R11: pick-one uses the joined Segment control).
• Given the pay checklist, when a pay story is reviewed, then every item is recorded pass or fail.
• Given the time review reports, when read, then each finding names the screen and width.</t>
        </is>
      </c>
      <c r="O58" s="5" t="inlineStr"/>
      <c r="P58" t="inlineStr">
        <is>
          <t>packages/yx-ui/review/RULES.md, PAY-CHECKLIST.md</t>
        </is>
      </c>
      <c r="Q58" t="inlineStr"/>
      <c r="R58" s="5" t="inlineStr">
        <is>
          <t>PR #130 · ab2b9928 · review/RULES.md · review/TIME-REVIEW.md</t>
        </is>
      </c>
    </row>
    <row r="59">
      <c r="A59" t="inlineStr">
        <is>
          <t>US-A-053</t>
        </is>
      </c>
      <c r="B59" t="n">
        <v>232</v>
      </c>
      <c r="C59" t="inlineStr">
        <is>
          <t>Story</t>
        </is>
      </c>
      <c r="D59" s="5" t="inlineStr">
        <is>
          <t xml:space="preserve">        Responsive and dead-button checks</t>
        </is>
      </c>
      <c r="E59" t="inlineStr">
        <is>
          <t>Design docs and UI prototype</t>
        </is>
      </c>
      <c r="F59" t="inlineStr">
        <is>
          <t>Screen review tooling</t>
        </is>
      </c>
      <c r="G59" t="inlineStr">
        <is>
          <t>Done</t>
        </is>
      </c>
      <c r="I59">
        <f>IF(H59&lt;&gt;"",H59,G59)</f>
        <v/>
      </c>
      <c r="J59" t="inlineStr">
        <is>
          <t>UI prototype</t>
        </is>
      </c>
      <c r="K59" t="n">
        <v>3</v>
      </c>
      <c r="L59" t="n">
        <v>1</v>
      </c>
      <c r="M59" s="5" t="inlineStr">
        <is>
          <t>As the founder, I want automatic checks for phone layouts and dead buttons so that problems are found without manual clicking.</t>
        </is>
      </c>
      <c r="N59" s="5" t="inlineStr">
        <is>
          <t>• Given check-responsive, when it runs over all stories and widths, then 14,560 of 14,560 checks pass (no page side-scroll).
• Given scan-dead-buttons, when it runs, then it lists every button with no action.
• Given the PAY-33 incentive table, when shown at phone width, then it scrolls inside its box.</t>
        </is>
      </c>
      <c r="O59" s="5" t="inlineStr"/>
      <c r="P59" t="inlineStr">
        <is>
          <t>packages/yx-ui/scripts</t>
        </is>
      </c>
      <c r="Q59" t="inlineStr"/>
      <c r="R59" s="5" t="inlineStr">
        <is>
          <t>PR #130 · 3f37d883 · ad7fb32a · scripts/check-responsive.mjs · scripts/scan-dead-buttons.mjs</t>
        </is>
      </c>
    </row>
    <row r="60">
      <c r="A60" t="inlineStr">
        <is>
          <t>US-A-054</t>
        </is>
      </c>
      <c r="B60" t="n">
        <v>260</v>
      </c>
      <c r="C60" t="inlineStr">
        <is>
          <t>Story</t>
        </is>
      </c>
      <c r="D60" s="5" t="inlineStr">
        <is>
          <t xml:space="preserve">        Run screenshot and accessibility tests in CI</t>
        </is>
      </c>
      <c r="E60" t="inlineStr">
        <is>
          <t>Design docs and UI prototype</t>
        </is>
      </c>
      <c r="F60" t="inlineStr">
        <is>
          <t>Screen review tooling</t>
        </is>
      </c>
      <c r="G60" t="inlineStr">
        <is>
          <t>New</t>
        </is>
      </c>
      <c r="I60">
        <f>IF(H60&lt;&gt;"",H60,G60)</f>
        <v/>
      </c>
      <c r="J60" t="inlineStr">
        <is>
          <t>UI prototype</t>
        </is>
      </c>
      <c r="K60" t="n">
        <v>3</v>
      </c>
      <c r="L60" t="n">
        <v>2</v>
      </c>
      <c r="M60" s="5" t="inlineStr">
        <is>
          <t>As the founder, I want screenshot and axe tests to run in CI so that visual and accessibility regressions are caught.</t>
        </is>
      </c>
      <c r="N60" s="5" t="inlineStr">
        <is>
          <t>• Given test:visual, when CI runs on Linux, then it compares against Linux baselines.
• Given test:a11y, when CI runs, then axe finds no serious or critical issue on wired screens.
• Given a failure, when CI ends, then the diff image is attached to the run.</t>
        </is>
      </c>
      <c r="O60" s="5" t="inlineStr"/>
      <c r="P60" t="inlineStr">
        <is>
          <t>deferred D-002</t>
        </is>
      </c>
      <c r="Q60" t="inlineStr"/>
      <c r="R60" s="5" t="inlineStr"/>
    </row>
    <row r="61">
      <c r="A61" s="9" t="inlineStr">
        <is>
          <t>FT-A-023</t>
        </is>
      </c>
      <c r="B61" s="9" t="n">
        <v>240</v>
      </c>
      <c r="C61" s="9" t="inlineStr">
        <is>
          <t>Feature</t>
        </is>
      </c>
      <c r="D61" s="10" t="inlineStr">
        <is>
          <t xml:space="preserve">    Design docs and tracker in the repo</t>
        </is>
      </c>
      <c r="E61" s="9" t="inlineStr">
        <is>
          <t>Design docs and UI prototype</t>
        </is>
      </c>
      <c r="F61" s="9" t="inlineStr">
        <is>
          <t>Design docs and tracker in the repo</t>
        </is>
      </c>
      <c r="G61" s="9" t="inlineStr">
        <is>
          <t>Done</t>
        </is>
      </c>
      <c r="H61" s="9" t="n"/>
      <c r="I61" s="9">
        <f>IF(H61&lt;&gt;"",H61,G61)</f>
        <v/>
      </c>
      <c r="J61" s="9" t="inlineStr">
        <is>
          <t>UI prototype</t>
        </is>
      </c>
      <c r="K61" s="9" t="n"/>
      <c r="L61" s="9" t="n">
        <v>1</v>
      </c>
      <c r="M61" s="10" t="inlineStr"/>
      <c r="N61" s="10" t="inlineStr"/>
      <c r="O61" s="10" t="inlineStr"/>
      <c r="P61" s="9" t="inlineStr">
        <is>
          <t>docs/yukthix</t>
        </is>
      </c>
      <c r="Q61" s="9" t="inlineStr"/>
      <c r="R61" s="10" t="inlineStr">
        <is>
          <t>PR #130 · 7ccb1d98 · 351edcae</t>
        </is>
      </c>
      <c r="S61" s="9" t="n"/>
    </row>
    <row r="62">
      <c r="A62" t="inlineStr">
        <is>
          <t>US-A-055</t>
        </is>
      </c>
      <c r="B62" t="n">
        <v>241</v>
      </c>
      <c r="C62" t="inlineStr">
        <is>
          <t>Story</t>
        </is>
      </c>
      <c r="D62" s="5" t="inlineStr">
        <is>
          <t xml:space="preserve">        Design docs, roadmap, go-live checklist and tracker in the repo</t>
        </is>
      </c>
      <c r="E62" t="inlineStr">
        <is>
          <t>Design docs and UI prototype</t>
        </is>
      </c>
      <c r="F62" t="inlineStr">
        <is>
          <t>Design docs and tracker in the repo</t>
        </is>
      </c>
      <c r="G62" t="inlineStr">
        <is>
          <t>Done</t>
        </is>
      </c>
      <c r="I62">
        <f>IF(H62&lt;&gt;"",H62,G62)</f>
        <v/>
      </c>
      <c r="J62" t="inlineStr">
        <is>
          <t>UI prototype</t>
        </is>
      </c>
      <c r="K62" t="n">
        <v>3</v>
      </c>
      <c r="L62" t="n">
        <v>1</v>
      </c>
      <c r="M62" s="5" t="inlineStr">
        <is>
          <t>As the founder, I want all design docs and the tracker next to the code so that every build step cites the doc it follows.</t>
        </is>
      </c>
      <c r="N62" s="5" t="inlineStr">
        <is>
          <t>• Given docs/yukthix/design, when opened, then every P, M, T and APX doc is present.
• Given BACKEND-ROADMAP.md, when read, then each step lists its design docs and status.
• Given the tracker, when build_tracker.py runs, then the workbook lists rules, steps, screens, deferred items and PRs.</t>
        </is>
      </c>
      <c r="O62" s="5" t="inlineStr"/>
      <c r="P62" t="inlineStr">
        <is>
          <t>BACKEND-ROADMAP.md, GO-LIVE-CHECKLIST.md, tracker</t>
        </is>
      </c>
      <c r="Q62" t="inlineStr"/>
      <c r="R62" s="5" t="inlineStr">
        <is>
          <t>PR #130 · 7ccb1d98 · cebf68f2 · b7f88606 · 351edcae · bd6143d0</t>
        </is>
      </c>
    </row>
    <row r="63">
      <c r="A63" s="9" t="inlineStr">
        <is>
          <t>FT-A-024</t>
        </is>
      </c>
      <c r="B63" s="9" t="n">
        <v>250</v>
      </c>
      <c r="C63" s="9" t="inlineStr">
        <is>
          <t>Feature</t>
        </is>
      </c>
      <c r="D63" s="10" t="inlineStr">
        <is>
          <t xml:space="preserve">    Wire the prototype buttons step by step</t>
        </is>
      </c>
      <c r="E63" s="9" t="inlineStr">
        <is>
          <t>Design docs and UI prototype</t>
        </is>
      </c>
      <c r="F63" s="9" t="inlineStr">
        <is>
          <t>Wire the prototype buttons step by step</t>
        </is>
      </c>
      <c r="G63" s="9" t="inlineStr">
        <is>
          <t>New</t>
        </is>
      </c>
      <c r="H63" s="9" t="n"/>
      <c r="I63" s="9">
        <f>IF(H63&lt;&gt;"",H63,G63)</f>
        <v/>
      </c>
      <c r="J63" s="9" t="inlineStr">
        <is>
          <t>UI prototype</t>
        </is>
      </c>
      <c r="K63" s="9" t="n"/>
      <c r="L63" s="9" t="n">
        <v>1</v>
      </c>
      <c r="M63" s="10" t="inlineStr"/>
      <c r="N63" s="10" t="inlineStr"/>
      <c r="O63" s="10" t="inlineStr"/>
      <c r="P63" s="9" t="inlineStr">
        <is>
          <t>open-work W-007, deferred D-001</t>
        </is>
      </c>
      <c r="Q63" s="9" t="inlineStr"/>
      <c r="R63" s="10" t="inlineStr"/>
      <c r="S63" s="9" t="n"/>
    </row>
    <row r="64">
      <c r="A64" t="inlineStr">
        <is>
          <t>US-A-056</t>
        </is>
      </c>
      <c r="B64" t="n">
        <v>251</v>
      </c>
      <c r="C64" t="inlineStr">
        <is>
          <t>Story</t>
        </is>
      </c>
      <c r="D64" s="5" t="inlineStr">
        <is>
          <t xml:space="preserve">        CI fails when a wired screen has a dead button</t>
        </is>
      </c>
      <c r="E64" t="inlineStr">
        <is>
          <t>Design docs and UI prototype</t>
        </is>
      </c>
      <c r="F64" t="inlineStr">
        <is>
          <t>Wire the prototype buttons step by step</t>
        </is>
      </c>
      <c r="G64" t="inlineStr">
        <is>
          <t>New</t>
        </is>
      </c>
      <c r="I64">
        <f>IF(H64&lt;&gt;"",H64,G64)</f>
        <v/>
      </c>
      <c r="J64" t="inlineStr">
        <is>
          <t>UI prototype</t>
        </is>
      </c>
      <c r="K64" t="n">
        <v>2</v>
      </c>
      <c r="L64" t="n">
        <v>1</v>
      </c>
      <c r="M64" s="5" t="inlineStr">
        <is>
          <t>As the founder, I want a CI gate on wired screens so that no screen ships with buttons that do nothing.</t>
        </is>
      </c>
      <c r="N64" s="5" t="inlineStr">
        <is>
          <t>• Given a list of wired screens, when scan-dead-buttons runs in CI, then any dead button on them fails the build.
• Given an unwired prototype screen, when the scan runs, then it is reported but does not fail the build.
• Given the scan report, when published, then it shows the remaining count (1,039 at start).</t>
        </is>
      </c>
      <c r="O64" s="5" t="inlineStr"/>
      <c r="P64" t="inlineStr">
        <is>
          <t>open-work W-007</t>
        </is>
      </c>
      <c r="Q64" t="inlineStr"/>
      <c r="R64" s="5" t="inlineStr"/>
    </row>
    <row r="65">
      <c r="A65" t="inlineStr">
        <is>
          <t>US-A-057</t>
        </is>
      </c>
      <c r="B65" t="n">
        <v>480</v>
      </c>
      <c r="C65" t="inlineStr">
        <is>
          <t>Story</t>
        </is>
      </c>
      <c r="D65" s="5" t="inlineStr">
        <is>
          <t xml:space="preserve">        Wire the platform screens (platform-a, platform-b)</t>
        </is>
      </c>
      <c r="E65" t="inlineStr">
        <is>
          <t>Design docs and UI prototype</t>
        </is>
      </c>
      <c r="F65" t="inlineStr">
        <is>
          <t>Wire the prototype buttons step by step</t>
        </is>
      </c>
      <c r="G65" t="inlineStr">
        <is>
          <t>New</t>
        </is>
      </c>
      <c r="I65">
        <f>IF(H65&lt;&gt;"",H65,G65)</f>
        <v/>
      </c>
      <c r="J65" t="inlineStr">
        <is>
          <t>Step 3</t>
        </is>
      </c>
      <c r="K65" t="n">
        <v>8</v>
      </c>
      <c r="L65" t="n">
        <v>2</v>
      </c>
      <c r="M65" s="5" t="inlineStr">
        <is>
          <t>As an HR admin, I want every button on the platform screens (platform-a, platform-b) to do its real action so that I can use the product, not a demo.</t>
        </is>
      </c>
      <c r="N65" s="5" t="inlineStr">
        <is>
          <t>• Given the Step 3 backend step is merged, when the screens are wired, then each button calls its real API or opens its real page.
• Given the wired screens, when scan-dead-buttons runs, then it finds 0 dead buttons on them.
• Given a button whose feature is not built yet, when shown, then it is hidden or disabled with a reason, never silent.</t>
        </is>
      </c>
      <c r="O65" s="5" t="inlineStr"/>
      <c r="P65" t="inlineStr">
        <is>
          <t>open-work W-007, deferred D-001</t>
        </is>
      </c>
      <c r="Q65" t="inlineStr">
        <is>
          <t>US-A-056</t>
        </is>
      </c>
      <c r="R65" s="5" t="inlineStr"/>
    </row>
    <row r="66">
      <c r="A66" t="inlineStr">
        <is>
          <t>US-A-058</t>
        </is>
      </c>
      <c r="B66" t="n">
        <v>580</v>
      </c>
      <c r="C66" t="inlineStr">
        <is>
          <t>Story</t>
        </is>
      </c>
      <c r="D66" s="5" t="inlineStr">
        <is>
          <t xml:space="preserve">        Wire the service desk and ops screens</t>
        </is>
      </c>
      <c r="E66" t="inlineStr">
        <is>
          <t>Design docs and UI prototype</t>
        </is>
      </c>
      <c r="F66" t="inlineStr">
        <is>
          <t>Wire the prototype buttons step by step</t>
        </is>
      </c>
      <c r="G66" t="inlineStr">
        <is>
          <t>New</t>
        </is>
      </c>
      <c r="I66">
        <f>IF(H66&lt;&gt;"",H66,G66)</f>
        <v/>
      </c>
      <c r="J66" t="inlineStr">
        <is>
          <t>Step 3b</t>
        </is>
      </c>
      <c r="K66" t="n">
        <v>8</v>
      </c>
      <c r="L66" t="n">
        <v>2</v>
      </c>
      <c r="M66" s="5" t="inlineStr">
        <is>
          <t>As an HR admin, I want every button on the service desk and ops screens to do its real action so that I can use the product, not a demo.</t>
        </is>
      </c>
      <c r="N66" s="5" t="inlineStr">
        <is>
          <t>• Given the Step 3b backend step is merged, when the screens are wired, then each button calls its real API or opens its real page.
• Given the wired screens, when scan-dead-buttons runs, then it finds 0 dead buttons on them.
• Given a button whose feature is not built yet, when shown, then it is hidden or disabled with a reason, never silent.</t>
        </is>
      </c>
      <c r="O66" s="5" t="inlineStr"/>
      <c r="P66" t="inlineStr">
        <is>
          <t>open-work W-007, deferred D-001</t>
        </is>
      </c>
      <c r="Q66" t="inlineStr">
        <is>
          <t>US-A-056</t>
        </is>
      </c>
      <c r="R66" s="5" t="inlineStr"/>
    </row>
    <row r="67">
      <c r="A67" t="inlineStr">
        <is>
          <t>US-A-059</t>
        </is>
      </c>
      <c r="B67" t="n">
        <v>680</v>
      </c>
      <c r="C67" t="inlineStr">
        <is>
          <t>Story</t>
        </is>
      </c>
      <c r="D67" s="5" t="inlineStr">
        <is>
          <t xml:space="preserve">        Wire the time and leave screens</t>
        </is>
      </c>
      <c r="E67" t="inlineStr">
        <is>
          <t>Design docs and UI prototype</t>
        </is>
      </c>
      <c r="F67" t="inlineStr">
        <is>
          <t>Wire the prototype buttons step by step</t>
        </is>
      </c>
      <c r="G67" t="inlineStr">
        <is>
          <t>New</t>
        </is>
      </c>
      <c r="I67">
        <f>IF(H67&lt;&gt;"",H67,G67)</f>
        <v/>
      </c>
      <c r="J67" t="inlineStr">
        <is>
          <t>Step 4</t>
        </is>
      </c>
      <c r="K67" t="n">
        <v>8</v>
      </c>
      <c r="L67" t="n">
        <v>2</v>
      </c>
      <c r="M67" s="5" t="inlineStr">
        <is>
          <t>As an HR admin, I want every button on the time and leave screens to do its real action so that I can use the product, not a demo.</t>
        </is>
      </c>
      <c r="N67" s="5" t="inlineStr">
        <is>
          <t>• Given the Step 4 backend step is merged, when the screens are wired, then each button calls its real API or opens its real page.
• Given the wired screens, when scan-dead-buttons runs, then it finds 0 dead buttons on them.
• Given a button whose feature is not built yet, when shown, then it is hidden or disabled with a reason, never silent.</t>
        </is>
      </c>
      <c r="O67" s="5" t="inlineStr"/>
      <c r="P67" t="inlineStr">
        <is>
          <t>open-work W-007, deferred D-001</t>
        </is>
      </c>
      <c r="Q67" t="inlineStr">
        <is>
          <t>US-A-056</t>
        </is>
      </c>
      <c r="R67" s="5" t="inlineStr"/>
    </row>
    <row r="68">
      <c r="A68" t="inlineStr">
        <is>
          <t>US-A-060</t>
        </is>
      </c>
      <c r="B68" t="n">
        <v>780</v>
      </c>
      <c r="C68" t="inlineStr">
        <is>
          <t>Story</t>
        </is>
      </c>
      <c r="D68" s="5" t="inlineStr">
        <is>
          <t xml:space="preserve">        Wire the pay screens</t>
        </is>
      </c>
      <c r="E68" t="inlineStr">
        <is>
          <t>Design docs and UI prototype</t>
        </is>
      </c>
      <c r="F68" t="inlineStr">
        <is>
          <t>Wire the prototype buttons step by step</t>
        </is>
      </c>
      <c r="G68" t="inlineStr">
        <is>
          <t>New</t>
        </is>
      </c>
      <c r="I68">
        <f>IF(H68&lt;&gt;"",H68,G68)</f>
        <v/>
      </c>
      <c r="J68" t="inlineStr">
        <is>
          <t>Step 5</t>
        </is>
      </c>
      <c r="K68" t="n">
        <v>8</v>
      </c>
      <c r="L68" t="n">
        <v>2</v>
      </c>
      <c r="M68" s="5" t="inlineStr">
        <is>
          <t>As an HR admin, I want every button on the pay screens to do its real action so that I can use the product, not a demo.</t>
        </is>
      </c>
      <c r="N68" s="5" t="inlineStr">
        <is>
          <t>• Given the Step 5 backend step is merged, when the screens are wired, then each button calls its real API or opens its real page.
• Given the wired screens, when scan-dead-buttons runs, then it finds 0 dead buttons on them.
• Given a button whose feature is not built yet, when shown, then it is hidden or disabled with a reason, never silent.</t>
        </is>
      </c>
      <c r="O68" s="5" t="inlineStr"/>
      <c r="P68" t="inlineStr">
        <is>
          <t>open-work W-007, deferred D-001</t>
        </is>
      </c>
      <c r="Q68" t="inlineStr">
        <is>
          <t>US-A-056</t>
        </is>
      </c>
      <c r="R68" s="5" t="inlineStr"/>
    </row>
    <row r="69">
      <c r="A69" t="inlineStr">
        <is>
          <t>US-A-061</t>
        </is>
      </c>
      <c r="B69" t="n">
        <v>1480</v>
      </c>
      <c r="C69" t="inlineStr">
        <is>
          <t>Story</t>
        </is>
      </c>
      <c r="D69" s="5" t="inlineStr">
        <is>
          <t xml:space="preserve">        Wire the hiring, proctoring, growth, portals and notification screens</t>
        </is>
      </c>
      <c r="E69" t="inlineStr">
        <is>
          <t>Design docs and UI prototype</t>
        </is>
      </c>
      <c r="F69" t="inlineStr">
        <is>
          <t>Wire the prototype buttons step by step</t>
        </is>
      </c>
      <c r="G69" t="inlineStr">
        <is>
          <t>New</t>
        </is>
      </c>
      <c r="I69">
        <f>IF(H69&lt;&gt;"",H69,G69)</f>
        <v/>
      </c>
      <c r="J69" t="inlineStr">
        <is>
          <t>Step 6+</t>
        </is>
      </c>
      <c r="K69" t="n">
        <v>13</v>
      </c>
      <c r="L69" t="n">
        <v>2</v>
      </c>
      <c r="M69" s="5" t="inlineStr">
        <is>
          <t>As an HR admin, I want every button on the hiring, proctoring, growth, portals and notification screens to do its real action so that I can use the product, not a demo.</t>
        </is>
      </c>
      <c r="N69" s="5" t="inlineStr">
        <is>
          <t>• Given the Step 6+ backend step is merged, when the screens are wired, then each button calls its real API or opens its real page.
• Given the wired screens, when scan-dead-buttons runs, then it finds 0 dead buttons on them.
• Given a button whose feature is not built yet, when shown, then it is hidden or disabled with a reason, never silent.</t>
        </is>
      </c>
      <c r="O69" s="5" t="inlineStr"/>
      <c r="P69" t="inlineStr">
        <is>
          <t>open-work W-007, deferred D-001</t>
        </is>
      </c>
      <c r="Q69" t="inlineStr">
        <is>
          <t>US-A-056</t>
        </is>
      </c>
      <c r="R69" s="5" t="inlineStr"/>
    </row>
    <row r="70">
      <c r="A70" s="7" t="inlineStr">
        <is>
          <t>EP-A-4</t>
        </is>
      </c>
      <c r="B70" s="7" t="n">
        <v>300</v>
      </c>
      <c r="C70" s="7" t="inlineStr">
        <is>
          <t>Epic</t>
        </is>
      </c>
      <c r="D70" s="8" t="inlineStr">
        <is>
          <t>Step 2 · Organisation and employee core</t>
        </is>
      </c>
      <c r="E70" s="7" t="inlineStr">
        <is>
          <t>Step 2 · Organisation and employee core</t>
        </is>
      </c>
      <c r="F70" s="7" t="inlineStr"/>
      <c r="G70" s="7" t="inlineStr">
        <is>
          <t>Active</t>
        </is>
      </c>
      <c r="H70" s="7" t="n"/>
      <c r="I70" s="7">
        <f>IF(H70&lt;&gt;"",H70,G70)</f>
        <v/>
      </c>
      <c r="J70" s="7" t="inlineStr">
        <is>
          <t>Step 2</t>
        </is>
      </c>
      <c r="K70" s="7" t="n"/>
      <c r="L70" s="7" t="n">
        <v>1</v>
      </c>
      <c r="M70" s="8" t="inlineStr"/>
      <c r="N70" s="8" t="inlineStr"/>
      <c r="O70" s="8" t="inlineStr"/>
      <c r="P70" s="7" t="inlineStr">
        <is>
          <t>P01, P02, P06, M01 §3.1–3.4, §3.9–3.10</t>
        </is>
      </c>
      <c r="Q70" s="7" t="inlineStr"/>
      <c r="R70" s="8" t="inlineStr">
        <is>
          <t>branch feat/yukthix-org · 20 commits (3d325fba…95573e26)</t>
        </is>
      </c>
      <c r="S70" s="7" t="n"/>
    </row>
    <row r="71">
      <c r="A71" s="9" t="inlineStr">
        <is>
          <t>FT-A-030</t>
        </is>
      </c>
      <c r="B71" s="9" t="n">
        <v>310</v>
      </c>
      <c r="C71" s="9" t="inlineStr">
        <is>
          <t>Feature</t>
        </is>
      </c>
      <c r="D71" s="10" t="inlineStr">
        <is>
          <t xml:space="preserve">    2a · Organisation structure</t>
        </is>
      </c>
      <c r="E71" s="9" t="inlineStr">
        <is>
          <t>Step 2 · Organisation and employee core</t>
        </is>
      </c>
      <c r="F71" s="9" t="inlineStr">
        <is>
          <t>2a · Organisation structure</t>
        </is>
      </c>
      <c r="G71" s="9" t="inlineStr">
        <is>
          <t>Done</t>
        </is>
      </c>
      <c r="H71" s="9" t="n"/>
      <c r="I71" s="9">
        <f>IF(H71&lt;&gt;"",H71,G71)</f>
        <v/>
      </c>
      <c r="J71" s="9" t="inlineStr">
        <is>
          <t>Step 2a</t>
        </is>
      </c>
      <c r="K71" s="9" t="n"/>
      <c r="L71" s="9" t="n">
        <v>1</v>
      </c>
      <c r="M71" s="10" t="inlineStr"/>
      <c r="N71" s="10" t="inlineStr"/>
      <c r="O71" s="10" t="inlineStr"/>
      <c r="P71" s="9" t="inlineStr">
        <is>
          <t>P01 §4.1–4.3, §4.6</t>
        </is>
      </c>
      <c r="Q71" s="9" t="inlineStr"/>
      <c r="R71" s="10" t="inlineStr">
        <is>
          <t>feat/yukthix-org · 58d87661 · 670ac48a · 10b3cfe4</t>
        </is>
      </c>
      <c r="S71" s="9" t="n"/>
    </row>
    <row r="72">
      <c r="A72" t="inlineStr">
        <is>
          <t>US-A-070</t>
        </is>
      </c>
      <c r="B72" t="n">
        <v>311</v>
      </c>
      <c r="C72" t="inlineStr">
        <is>
          <t>Story</t>
        </is>
      </c>
      <c r="D72" s="5" t="inlineStr">
        <is>
          <t xml:space="preserve">        Legal entities with one default and a fixed data region</t>
        </is>
      </c>
      <c r="E72" t="inlineStr">
        <is>
          <t>Step 2 · Organisation and employee core</t>
        </is>
      </c>
      <c r="F72" t="inlineStr">
        <is>
          <t>2a · Organisation structure</t>
        </is>
      </c>
      <c r="G72" t="inlineStr">
        <is>
          <t>Done</t>
        </is>
      </c>
      <c r="I72">
        <f>IF(H72&lt;&gt;"",H72,G72)</f>
        <v/>
      </c>
      <c r="J72" t="inlineStr">
        <is>
          <t>Step 2a</t>
        </is>
      </c>
      <c r="K72" t="n">
        <v>3</v>
      </c>
      <c r="L72" t="n">
        <v>1</v>
      </c>
      <c r="M72" s="5" t="inlineStr">
        <is>
          <t>As a company admin, I want to add our registered companies so that payroll and statutory work per employer.</t>
        </is>
      </c>
      <c r="N72" s="5" t="inlineStr">
        <is>
          <t>• Given a company, when it is created, then it gets one default legal entity (YX-ORG-01).
• Given several entities, when I mark one default, then exactly one stays default (YX-ORG-01).
• Given a legal entity, when created, then its country and data region are set and cannot be edited later (YX-ORG-30, YX-SEC-19).
• Given PAN, TAN, GSTIN or CIN, when entered, then the format is validated.</t>
        </is>
      </c>
      <c r="O72" s="5" t="inlineStr">
        <is>
          <t>YX-ORG-01, YX-ORG-30, YX-SEC-19</t>
        </is>
      </c>
      <c r="P72" t="inlineStr">
        <is>
          <t>P01 §4.1, P01 Q2</t>
        </is>
      </c>
      <c r="Q72" t="inlineStr"/>
      <c r="R72" s="5" t="inlineStr">
        <is>
          <t>feat/yukthix-org · 58d87661 · 670ac48a · test/org-structure.e2e-spec.ts · org-structure.spec.ts</t>
        </is>
      </c>
    </row>
    <row r="73">
      <c r="A73" t="inlineStr">
        <is>
          <t>US-A-071</t>
        </is>
      </c>
      <c r="B73" t="n">
        <v>312</v>
      </c>
      <c r="C73" t="inlineStr">
        <is>
          <t>Story</t>
        </is>
      </c>
      <c r="D73" s="5" t="inlineStr">
        <is>
          <t xml:space="preserve">        Locations belong to one legal entity</t>
        </is>
      </c>
      <c r="E73" t="inlineStr">
        <is>
          <t>Step 2 · Organisation and employee core</t>
        </is>
      </c>
      <c r="F73" t="inlineStr">
        <is>
          <t>2a · Organisation structure</t>
        </is>
      </c>
      <c r="G73" t="inlineStr">
        <is>
          <t>Done</t>
        </is>
      </c>
      <c r="I73">
        <f>IF(H73&lt;&gt;"",H73,G73)</f>
        <v/>
      </c>
      <c r="J73" t="inlineStr">
        <is>
          <t>Step 2a</t>
        </is>
      </c>
      <c r="K73" t="n">
        <v>2</v>
      </c>
      <c r="L73" t="n">
        <v>1</v>
      </c>
      <c r="M73" s="5" t="inlineStr">
        <is>
          <t>As an HR admin, I want to add work locations with state and time zone so that holidays, PT and times follow the right place.</t>
        </is>
      </c>
      <c r="N73" s="5" t="inlineStr">
        <is>
          <t>• Given a location, when saved without state or time zone, then it is refused (YX-ORG-02).
• Given a location, when saved, then it belongs to exactly one legal entity (YX-ORG-02).
• Given a geofence and network ranges, when entered, then they are stored on the location.</t>
        </is>
      </c>
      <c r="O73" s="5" t="inlineStr">
        <is>
          <t>YX-ORG-02</t>
        </is>
      </c>
      <c r="P73" t="inlineStr">
        <is>
          <t>P01 §4.2</t>
        </is>
      </c>
      <c r="Q73" t="inlineStr"/>
      <c r="R73" s="5" t="inlineStr">
        <is>
          <t>feat/yukthix-org · 58d87661 · 670ac48a · test/org-structure.e2e-spec.ts</t>
        </is>
      </c>
    </row>
    <row r="74">
      <c r="A74" t="inlineStr">
        <is>
          <t>US-A-072</t>
        </is>
      </c>
      <c r="B74" t="n">
        <v>313</v>
      </c>
      <c r="C74" t="inlineStr">
        <is>
          <t>Story</t>
        </is>
      </c>
      <c r="D74" s="5" t="inlineStr">
        <is>
          <t xml:space="preserve">        Department tree with divisions</t>
        </is>
      </c>
      <c r="E74" t="inlineStr">
        <is>
          <t>Step 2 · Organisation and employee core</t>
        </is>
      </c>
      <c r="F74" t="inlineStr">
        <is>
          <t>2a · Organisation structure</t>
        </is>
      </c>
      <c r="G74" t="inlineStr">
        <is>
          <t>Done</t>
        </is>
      </c>
      <c r="I74">
        <f>IF(H74&lt;&gt;"",H74,G74)</f>
        <v/>
      </c>
      <c r="J74" t="inlineStr">
        <is>
          <t>Step 2a</t>
        </is>
      </c>
      <c r="K74" t="n">
        <v>3</v>
      </c>
      <c r="L74" t="n">
        <v>1</v>
      </c>
      <c r="M74" s="5" t="inlineStr">
        <is>
          <t>As an HR admin, I want departments in a tree so that reports and visibility work on a department and its subtree.</t>
        </is>
      </c>
      <c r="N74" s="5" t="inlineStr">
        <is>
          <t>• Given a department move, when it would create a cycle, then it is refused (YX-ORG-03).
• Given a department move, when saved, then its whole subtree moves with it (YX-ORG-03).
• Given a top-level department, when flagged as division, then it is only a label (P01 Q7).</t>
        </is>
      </c>
      <c r="O74" s="5" t="inlineStr">
        <is>
          <t>YX-ORG-03</t>
        </is>
      </c>
      <c r="P74" t="inlineStr">
        <is>
          <t>P01 §4.3, P01 Q7</t>
        </is>
      </c>
      <c r="Q74" t="inlineStr"/>
      <c r="R74" s="5" t="inlineStr">
        <is>
          <t>feat/yukthix-org · 58d87661 · 670ac48a · org-structure.spec.ts</t>
        </is>
      </c>
    </row>
    <row r="75">
      <c r="A75" t="inlineStr">
        <is>
          <t>US-A-073</t>
        </is>
      </c>
      <c r="B75" t="n">
        <v>314</v>
      </c>
      <c r="C75" t="inlineStr">
        <is>
          <t>Story</t>
        </is>
      </c>
      <c r="D75" s="5" t="inlineStr">
        <is>
          <t xml:space="preserve">        Shared or entity-only masters with unique codes</t>
        </is>
      </c>
      <c r="E75" t="inlineStr">
        <is>
          <t>Step 2 · Organisation and employee core</t>
        </is>
      </c>
      <c r="F75" t="inlineStr">
        <is>
          <t>2a · Organisation structure</t>
        </is>
      </c>
      <c r="G75" t="inlineStr">
        <is>
          <t>Done</t>
        </is>
      </c>
      <c r="I75">
        <f>IF(H75&lt;&gt;"",H75,G75)</f>
        <v/>
      </c>
      <c r="J75" t="inlineStr">
        <is>
          <t>Step 2a</t>
        </is>
      </c>
      <c r="K75" t="n">
        <v>3</v>
      </c>
      <c r="L75" t="n">
        <v>1</v>
      </c>
      <c r="M75" s="5" t="inlineStr">
        <is>
          <t>As an HR admin, I want designations, grades and types shared across the group or kept to one entity so that groups keep one structure.</t>
        </is>
      </c>
      <c r="N75" s="5" t="inlineStr">
        <is>
          <t>• Given a shared master, when limited to some entities, then only those entities can use it (YX-ORG-15).
• Given an entity-only master, when used for another entity's employee, then it is refused (YX-ORG-15).
• Given a blank code, when saved, then the system generates one unique in its scope (YX-ORG-05).
• Given a duplicate name or code in the same scope, when saved, then it is refused (YX-ORG-05).</t>
        </is>
      </c>
      <c r="O75" s="5" t="inlineStr">
        <is>
          <t>YX-ORG-15, YX-ORG-05</t>
        </is>
      </c>
      <c r="P75" t="inlineStr">
        <is>
          <t>P01 §4.3, P01 Q3</t>
        </is>
      </c>
      <c r="Q75" t="inlineStr"/>
      <c r="R75" s="5" t="inlineStr">
        <is>
          <t>feat/yukthix-org · 58d87661 · 670ac48a · org-structure.spec.ts</t>
        </is>
      </c>
    </row>
    <row r="76">
      <c r="A76" t="inlineStr">
        <is>
          <t>US-A-074</t>
        </is>
      </c>
      <c r="B76" t="n">
        <v>315</v>
      </c>
      <c r="C76" t="inlineStr">
        <is>
          <t>Story</t>
        </is>
      </c>
      <c r="D76" s="5" t="inlineStr">
        <is>
          <t xml:space="preserve">        Used masters are archived, not deleted</t>
        </is>
      </c>
      <c r="E76" t="inlineStr">
        <is>
          <t>Step 2 · Organisation and employee core</t>
        </is>
      </c>
      <c r="F76" t="inlineStr">
        <is>
          <t>2a · Organisation structure</t>
        </is>
      </c>
      <c r="G76" t="inlineStr">
        <is>
          <t>Done</t>
        </is>
      </c>
      <c r="I76">
        <f>IF(H76&lt;&gt;"",H76,G76)</f>
        <v/>
      </c>
      <c r="J76" t="inlineStr">
        <is>
          <t>Step 2a</t>
        </is>
      </c>
      <c r="K76" t="n">
        <v>2</v>
      </c>
      <c r="L76" t="n">
        <v>1</v>
      </c>
      <c r="M76" s="5" t="inlineStr">
        <is>
          <t>As an HR admin, I want used masters archived instead of deleted so that history stays correct.</t>
        </is>
      </c>
      <c r="N76" s="5" t="inlineStr">
        <is>
          <t>• Given a master used by any record, when I delete it, then it is refused and I can archive it (YX-ORG-04).
• Given an archived master, when someone picks it for a new assignment, then it is not offered (YX-ORG-04).
• Given an archived master, when restored, then it can be used again (YX-ORG-04).</t>
        </is>
      </c>
      <c r="O76" s="5" t="inlineStr">
        <is>
          <t>YX-ORG-04</t>
        </is>
      </c>
      <c r="P76" t="inlineStr">
        <is>
          <t>P01 §4</t>
        </is>
      </c>
      <c r="Q76" t="inlineStr"/>
      <c r="R76" s="5" t="inlineStr">
        <is>
          <t>feat/yukthix-org · 670ac48a · 10b3cfe4 · test/org-structure.e2e-spec.ts</t>
        </is>
      </c>
    </row>
    <row r="77">
      <c r="A77" t="inlineStr">
        <is>
          <t>US-A-075</t>
        </is>
      </c>
      <c r="B77" t="n">
        <v>316</v>
      </c>
      <c r="C77" t="inlineStr">
        <is>
          <t>Story</t>
        </is>
      </c>
      <c r="D77" s="5" t="inlineStr">
        <is>
          <t xml:space="preserve">        Cost centres and dated grade pay ranges</t>
        </is>
      </c>
      <c r="E77" t="inlineStr">
        <is>
          <t>Step 2 · Organisation and employee core</t>
        </is>
      </c>
      <c r="F77" t="inlineStr">
        <is>
          <t>2a · Organisation structure</t>
        </is>
      </c>
      <c r="G77" t="inlineStr">
        <is>
          <t>Done</t>
        </is>
      </c>
      <c r="I77">
        <f>IF(H77&lt;&gt;"",H77,G77)</f>
        <v/>
      </c>
      <c r="J77" t="inlineStr">
        <is>
          <t>Step 2a</t>
        </is>
      </c>
      <c r="K77" t="n">
        <v>3</v>
      </c>
      <c r="L77" t="n">
        <v>1</v>
      </c>
      <c r="M77" s="5" t="inlineStr">
        <is>
          <t>As a payroll admin, I want cost centres per entity and pay ranges per grade by date so that cost and pay checks are correct.</t>
        </is>
      </c>
      <c r="N77" s="5" t="inlineStr">
        <is>
          <t>• Given a cost centre, when its parent is in another entity, then it is refused (YX-ORG-08).
• Given grade pay ranges, when two ranges overlap for the same grade, entity and currency, then it is refused (YX-HIS-02).
• Given a range in force or in the past, when edited, then the past is never rewritten (YX-HIS-07).
• Given a user without pay access, when they open grades, then pay ranges are hidden (YX-SEC-07).</t>
        </is>
      </c>
      <c r="O77" s="5" t="inlineStr">
        <is>
          <t>YX-ORG-08, YX-HIS-02, YX-HIS-07, YX-SEC-07</t>
        </is>
      </c>
      <c r="P77" t="inlineStr">
        <is>
          <t>P01 §4.3</t>
        </is>
      </c>
      <c r="Q77" t="inlineStr"/>
      <c r="R77" s="5" t="inlineStr">
        <is>
          <t>feat/yukthix-org · 58d87661 · 670ac48a · org-structure.spec.ts</t>
        </is>
      </c>
    </row>
    <row r="78">
      <c r="A78" t="inlineStr">
        <is>
          <t>US-A-076</t>
        </is>
      </c>
      <c r="B78" t="n">
        <v>317</v>
      </c>
      <c r="C78" t="inlineStr">
        <is>
          <t>Story</t>
        </is>
      </c>
      <c r="D78" s="5" t="inlineStr">
        <is>
          <t xml:space="preserve">        Entity statutory identifiers are Confidential</t>
        </is>
      </c>
      <c r="E78" t="inlineStr">
        <is>
          <t>Step 2 · Organisation and employee core</t>
        </is>
      </c>
      <c r="F78" t="inlineStr">
        <is>
          <t>2a · Organisation structure</t>
        </is>
      </c>
      <c r="G78" t="inlineStr">
        <is>
          <t>Done</t>
        </is>
      </c>
      <c r="I78">
        <f>IF(H78&lt;&gt;"",H78,G78)</f>
        <v/>
      </c>
      <c r="J78" t="inlineStr">
        <is>
          <t>Step 2a</t>
        </is>
      </c>
      <c r="K78" t="n">
        <v>2</v>
      </c>
      <c r="L78" t="n">
        <v>1</v>
      </c>
      <c r="M78" s="5" t="inlineStr">
        <is>
          <t>As a company admin, I want our entity's statutory numbers protected so that only the right people see them.</t>
        </is>
      </c>
      <c r="N78" s="5" t="inlineStr">
        <is>
          <t>• Given statutory identifiers, when a user without org.entity.statutory.manage opens the entity, then only 'on file / missing' shows (YX-SEC-07).
• Given an allowed user, when they open the identifiers, then step-up is asked (YX-IAM-02).
• Given the identifiers are read, when shown, then the read is audited (YX-SEC-09).</t>
        </is>
      </c>
      <c r="O78" s="5" t="inlineStr">
        <is>
          <t>YX-SEC-07, YX-SEC-09, YX-IAM-02</t>
        </is>
      </c>
      <c r="P78" t="inlineStr">
        <is>
          <t>P02 §4.4</t>
        </is>
      </c>
      <c r="Q78" t="inlineStr"/>
      <c r="R78" s="5" t="inlineStr">
        <is>
          <t>feat/yukthix-org · 3d325fba · 670ac48a · 10b3cfe4</t>
        </is>
      </c>
    </row>
    <row r="79">
      <c r="A79" t="inlineStr">
        <is>
          <t>US-A-077</t>
        </is>
      </c>
      <c r="B79" t="n">
        <v>318</v>
      </c>
      <c r="C79" t="inlineStr">
        <is>
          <t>Story</t>
        </is>
      </c>
      <c r="D79" s="5" t="inlineStr">
        <is>
          <t xml:space="preserve">        Scoped settings show where a value comes from</t>
        </is>
      </c>
      <c r="E79" t="inlineStr">
        <is>
          <t>Step 2 · Organisation and employee core</t>
        </is>
      </c>
      <c r="F79" t="inlineStr">
        <is>
          <t>2a · Organisation structure</t>
        </is>
      </c>
      <c r="G79" t="inlineStr">
        <is>
          <t>Done</t>
        </is>
      </c>
      <c r="I79">
        <f>IF(H79&lt;&gt;"",H79,G79)</f>
        <v/>
      </c>
      <c r="J79" t="inlineStr">
        <is>
          <t>Step 2a</t>
        </is>
      </c>
      <c r="K79" t="n">
        <v>3</v>
      </c>
      <c r="L79" t="n">
        <v>1</v>
      </c>
      <c r="M79" s="5" t="inlineStr">
        <is>
          <t>As an HR admin, I want a setting to resolve from the most specific scope and show its source so that I know why a value applies.</t>
        </is>
      </c>
      <c r="N79" s="5" t="inlineStr">
        <is>
          <t>• Given a value at tenant and entity, when resolved for that entity, then the entity value wins (YX-ORG-12, YX-ORG-18).
• Given an employee, when a setting resolves, then it uses the assignment in force on the as-of date (YX-ORG-18).
• Given a dated setting, when resolved for a past period, then the value in force then is used (YX-ORG-18).
• Given the settings screen, when a value is inherited, then it says from where (YX-ORG-12).</t>
        </is>
      </c>
      <c r="O79" s="5" t="inlineStr">
        <is>
          <t>YX-ORG-12, YX-ORG-18</t>
        </is>
      </c>
      <c r="P79" t="inlineStr">
        <is>
          <t>P01 §4.6</t>
        </is>
      </c>
      <c r="Q79" t="inlineStr"/>
      <c r="R79" s="5" t="inlineStr">
        <is>
          <t>feat/yukthix-org · 670ac48a · 7e8bfb52 · org-settings.service.ts · settings-registry.ts</t>
        </is>
      </c>
    </row>
    <row r="80">
      <c r="A80" t="inlineStr">
        <is>
          <t>US-A-078</t>
        </is>
      </c>
      <c r="B80" t="n">
        <v>319</v>
      </c>
      <c r="C80" t="inlineStr">
        <is>
          <t>Story</t>
        </is>
      </c>
      <c r="D80" s="5" t="inlineStr">
        <is>
          <t xml:space="preserve">        Settings › Organisation screens wired</t>
        </is>
      </c>
      <c r="E80" t="inlineStr">
        <is>
          <t>Step 2 · Organisation and employee core</t>
        </is>
      </c>
      <c r="F80" t="inlineStr">
        <is>
          <t>2a · Organisation structure</t>
        </is>
      </c>
      <c r="G80" t="inlineStr">
        <is>
          <t>Done</t>
        </is>
      </c>
      <c r="I80">
        <f>IF(H80&lt;&gt;"",H80,G80)</f>
        <v/>
      </c>
      <c r="J80" t="inlineStr">
        <is>
          <t>Step 2a</t>
        </is>
      </c>
      <c r="K80" t="n">
        <v>5</v>
      </c>
      <c r="L80" t="n">
        <v>1</v>
      </c>
      <c r="M80" s="5" t="inlineStr">
        <is>
          <t>As a company admin, I want working screens for entities, locations and structure so that I set up the company without support.</t>
        </is>
      </c>
      <c r="N80" s="5" t="inlineStr">
        <is>
          <t>• Given Settings › Organisation, when opened, then legal entities, locations and structure tabs load from the API (YX-ORG-12).
• Given archive, restore and delete, when chosen in a row menu, then each asks to confirm (YX-ORG-04).
• Given my permissions, when navigation renders, then only pages I can open are shown (GET /rbac/me/permissions) (YX-SEC-01).
• Given every structure change, when saved, then an audit entry is written in the same transaction.</t>
        </is>
      </c>
      <c r="O80" s="5" t="inlineStr">
        <is>
          <t>YX-ORG-12, YX-ORG-04, YX-SEC-01</t>
        </is>
      </c>
      <c r="P80" t="inlineStr">
        <is>
          <t>P01 §8</t>
        </is>
      </c>
      <c r="Q80" t="inlineStr"/>
      <c r="R80" s="5" t="inlineStr">
        <is>
          <t>feat/yukthix-org · 10b3cfe4 · b090e49b · ea573922 · org.test.tsx · yx-org-pages.test.tsx · audit.service.spec.ts</t>
        </is>
      </c>
    </row>
    <row r="81">
      <c r="A81" t="inlineStr">
        <is>
          <t>US-A-079</t>
        </is>
      </c>
      <c r="B81" t="n">
        <v>320</v>
      </c>
      <c r="C81" t="inlineStr">
        <is>
          <t>Story</t>
        </is>
      </c>
      <c r="D81" s="5" t="inlineStr">
        <is>
          <t xml:space="preserve">        Pick parents in a tree and set entity-specific settings</t>
        </is>
      </c>
      <c r="E81" t="inlineStr">
        <is>
          <t>Step 2 · Organisation and employee core</t>
        </is>
      </c>
      <c r="F81" t="inlineStr">
        <is>
          <t>2a · Organisation structure</t>
        </is>
      </c>
      <c r="G81" t="inlineStr">
        <is>
          <t>New</t>
        </is>
      </c>
      <c r="I81">
        <f>IF(H81&lt;&gt;"",H81,G81)</f>
        <v/>
      </c>
      <c r="J81" t="inlineStr">
        <is>
          <t>Step 2a follow-up</t>
        </is>
      </c>
      <c r="K81" t="n">
        <v>3</v>
      </c>
      <c r="L81" t="n">
        <v>3</v>
      </c>
      <c r="M81" s="5" t="inlineStr">
        <is>
          <t>As an HR admin, I want to pick a parent department from a tree and set a rule for one entity so that set-up matches how we think.</t>
        </is>
      </c>
      <c r="N81" s="5" t="inlineStr">
        <is>
          <t>• Given the department form, when I choose a parent, then a tree view is shown, not a flat list (YX-ORG-03).
• Given a scoped setting, when I open an entity, then I can set or reset its own value (YX-ORG-12).
• Given an override, when saved, then the screen shows the source changing from tenant to entity (YX-ORG-12).</t>
        </is>
      </c>
      <c r="O81" s="5" t="inlineStr">
        <is>
          <t>YX-ORG-03, YX-ORG-12</t>
        </is>
      </c>
      <c r="P81" t="inlineStr">
        <is>
          <t>P01 §8, deferred D-030, deferred D-031</t>
        </is>
      </c>
      <c r="Q81" t="inlineStr">
        <is>
          <t>US-A-078</t>
        </is>
      </c>
      <c r="R81" s="5" t="inlineStr"/>
    </row>
    <row r="82">
      <c r="A82" s="9" t="inlineStr">
        <is>
          <t>FT-A-031</t>
        </is>
      </c>
      <c r="B82" s="9" t="n">
        <v>330</v>
      </c>
      <c r="C82" s="9" t="inlineStr">
        <is>
          <t>Feature</t>
        </is>
      </c>
      <c r="D82" s="10" t="inlineStr">
        <is>
          <t xml:space="preserve">    2b · Effective-dated history</t>
        </is>
      </c>
      <c r="E82" s="9" t="inlineStr">
        <is>
          <t>Step 2 · Organisation and employee core</t>
        </is>
      </c>
      <c r="F82" s="9" t="inlineStr">
        <is>
          <t>2b · Effective-dated history</t>
        </is>
      </c>
      <c r="G82" s="9" t="inlineStr">
        <is>
          <t>Done</t>
        </is>
      </c>
      <c r="H82" s="9" t="n"/>
      <c r="I82" s="9">
        <f>IF(H82&lt;&gt;"",H82,G82)</f>
        <v/>
      </c>
      <c r="J82" s="9" t="inlineStr">
        <is>
          <t>Step 2b</t>
        </is>
      </c>
      <c r="K82" s="9" t="n"/>
      <c r="L82" s="9" t="n">
        <v>1</v>
      </c>
      <c r="M82" s="10" t="inlineStr"/>
      <c r="N82" s="10" t="inlineStr"/>
      <c r="O82" s="10" t="inlineStr"/>
      <c r="P82" s="9" t="inlineStr">
        <is>
          <t>P06</t>
        </is>
      </c>
      <c r="Q82" s="9" t="inlineStr"/>
      <c r="R82" s="10" t="inlineStr">
        <is>
          <t>feat/yukthix-org · 1c41b543 · 7e8bfb52 · 8bbb7018</t>
        </is>
      </c>
      <c r="S82" s="9" t="n"/>
    </row>
    <row r="83">
      <c r="A83" t="inlineStr">
        <is>
          <t>US-A-080</t>
        </is>
      </c>
      <c r="B83" t="n">
        <v>331</v>
      </c>
      <c r="C83" t="inlineStr">
        <is>
          <t>Story</t>
        </is>
      </c>
      <c r="D83" s="5" t="inlineStr">
        <is>
          <t xml:space="preserve">        Employees join through a join change</t>
        </is>
      </c>
      <c r="E83" t="inlineStr">
        <is>
          <t>Step 2 · Organisation and employee core</t>
        </is>
      </c>
      <c r="F83" t="inlineStr">
        <is>
          <t>2b · Effective-dated history</t>
        </is>
      </c>
      <c r="G83" t="inlineStr">
        <is>
          <t>Done</t>
        </is>
      </c>
      <c r="I83">
        <f>IF(H83&lt;&gt;"",H83,G83)</f>
        <v/>
      </c>
      <c r="J83" t="inlineStr">
        <is>
          <t>Step 2b</t>
        </is>
      </c>
      <c r="K83" t="n">
        <v>3</v>
      </c>
      <c r="L83" t="n">
        <v>1</v>
      </c>
      <c r="M83" s="5" t="inlineStr">
        <is>
          <t>As an HR admin, I want to add an employee with a joining date so that their employment and first assignment start correctly.</t>
        </is>
      </c>
      <c r="N83" s="5" t="inlineStr">
        <is>
          <t>• Given a new joiner, when added, then an employment and first assignment are created by a join change (YX-HIS-01).
• Given an employee code, when blank, then it is generated per entity or per company as set (YX-ORG-16).
• Given an employee with an open employment, when another is opened in the company, then it is refused (YX-ORG-06).
• Given the new rows, when stored, then they carry forced RLS (YX-ORG-14).</t>
        </is>
      </c>
      <c r="O83" s="5" t="inlineStr">
        <is>
          <t>YX-HIS-01, YX-ORG-16, YX-ORG-06, YX-ORG-14</t>
        </is>
      </c>
      <c r="P83" t="inlineStr">
        <is>
          <t>P01 §4.4, P06 §4.3</t>
        </is>
      </c>
      <c r="Q83" t="inlineStr"/>
      <c r="R83" s="5" t="inlineStr">
        <is>
          <t>feat/yukthix-org · 1c41b543 · 7e8bfb52 · test/employee-history.e2e-spec.ts · test/rls-isolation.e2e-spec.ts</t>
        </is>
      </c>
    </row>
    <row r="84">
      <c r="A84" t="inlineStr">
        <is>
          <t>US-A-081</t>
        </is>
      </c>
      <c r="B84" t="n">
        <v>332</v>
      </c>
      <c r="C84" t="inlineStr">
        <is>
          <t>Story</t>
        </is>
      </c>
      <c r="D84" s="5" t="inlineStr">
        <is>
          <t xml:space="preserve">        Job changes are requested and approved by someone else</t>
        </is>
      </c>
      <c r="E84" t="inlineStr">
        <is>
          <t>Step 2 · Organisation and employee core</t>
        </is>
      </c>
      <c r="F84" t="inlineStr">
        <is>
          <t>2b · Effective-dated history</t>
        </is>
      </c>
      <c r="G84" t="inlineStr">
        <is>
          <t>Done</t>
        </is>
      </c>
      <c r="I84">
        <f>IF(H84&lt;&gt;"",H84,G84)</f>
        <v/>
      </c>
      <c r="J84" t="inlineStr">
        <is>
          <t>Step 2b</t>
        </is>
      </c>
      <c r="K84" t="n">
        <v>5</v>
      </c>
      <c r="L84" t="n">
        <v>1</v>
      </c>
      <c r="M84" s="5" t="inlineStr">
        <is>
          <t>As an HR admin, I want every promotion, transfer or revision to be a change approved by another person so that nobody edits history alone.</t>
        </is>
      </c>
      <c r="N84" s="5" t="inlineStr">
        <is>
          <t>• Given a dated fact, when anyone tries to write it outside an approved change, then the database trigger refuses (YX-HIS-01).
• Given a change, when the requester or the subject tries to approve, then it is refused (YX-SEC-11).
• Given an approval, when given, then step-up is asked (YX-IAM-02).
• Given a promotion with a pay change, when approved, then compensation changes in the same change (YX-EMP-05).</t>
        </is>
      </c>
      <c r="O84" s="5" t="inlineStr">
        <is>
          <t>YX-HIS-01, YX-SEC-11, YX-IAM-02, YX-EMP-05</t>
        </is>
      </c>
      <c r="P84" t="inlineStr">
        <is>
          <t>P06 §4.3, M01 §3.3</t>
        </is>
      </c>
      <c r="Q84" t="inlineStr"/>
      <c r="R84" s="5" t="inlineStr">
        <is>
          <t>feat/yukthix-org · 1c41b543 · ddc92a0e · 7e8bfb52 · employee-history.service.spec.ts · test/employee-history.e2e-spec.ts</t>
        </is>
      </c>
    </row>
    <row r="85">
      <c r="A85" t="inlineStr">
        <is>
          <t>US-A-082</t>
        </is>
      </c>
      <c r="B85" t="n">
        <v>333</v>
      </c>
      <c r="C85" t="inlineStr">
        <is>
          <t>Story</t>
        </is>
      </c>
      <c r="D85" s="5" t="inlineStr">
        <is>
          <t xml:space="preserve">        History has no gaps, overlaps or reporting loops</t>
        </is>
      </c>
      <c r="E85" t="inlineStr">
        <is>
          <t>Step 2 · Organisation and employee core</t>
        </is>
      </c>
      <c r="F85" t="inlineStr">
        <is>
          <t>2b · Effective-dated history</t>
        </is>
      </c>
      <c r="G85" t="inlineStr">
        <is>
          <t>Done</t>
        </is>
      </c>
      <c r="I85">
        <f>IF(H85&lt;&gt;"",H85,G85)</f>
        <v/>
      </c>
      <c r="J85" t="inlineStr">
        <is>
          <t>Step 2b</t>
        </is>
      </c>
      <c r="K85" t="n">
        <v>5</v>
      </c>
      <c r="L85" t="n">
        <v>1</v>
      </c>
      <c r="M85" s="5" t="inlineStr">
        <is>
          <t>As an HR admin, I want the system to keep job history clean so that payroll and reports can trust it.</t>
        </is>
      </c>
      <c r="N85" s="5" t="inlineStr">
        <is>
          <t>• Given current rows, when two overlap for the same person, then the GiST constraint refuses (YX-HIS-02).
• Given an employment, when a change would leave a day without an assignment, then it is refused (YX-HIS-03, YX-ORG-07).
• Given a manager, when they are not employed on every day or would create a loop, then it is refused (YX-ORG-09).
• Given a location, cost centre or master, when not live or not open to the employer, then it is refused (YX-ORG-04, YX-ORG-08, YX-ORG-15).</t>
        </is>
      </c>
      <c r="O85" s="5" t="inlineStr">
        <is>
          <t>YX-HIS-02, YX-HIS-03, YX-ORG-07, YX-ORG-09, YX-ORG-04, YX-ORG-08, YX-ORG-15</t>
        </is>
      </c>
      <c r="P85" t="inlineStr">
        <is>
          <t>P06 §4.2, P01 §6</t>
        </is>
      </c>
      <c r="Q85" t="inlineStr"/>
      <c r="R85" s="5" t="inlineStr">
        <is>
          <t>feat/yukthix-org · 1c41b543 · 7e8bfb52 · history-rules.spec.ts · test/employee-history.e2e-spec.ts</t>
        </is>
      </c>
    </row>
    <row r="86">
      <c r="A86" t="inlineStr">
        <is>
          <t>US-A-083</t>
        </is>
      </c>
      <c r="B86" t="n">
        <v>334</v>
      </c>
      <c r="C86" t="inlineStr">
        <is>
          <t>Story</t>
        </is>
      </c>
      <c r="D86" s="5" t="inlineStr">
        <is>
          <t xml:space="preserve">        Scheduled changes apply on their date</t>
        </is>
      </c>
      <c r="E86" t="inlineStr">
        <is>
          <t>Step 2 · Organisation and employee core</t>
        </is>
      </c>
      <c r="F86" t="inlineStr">
        <is>
          <t>2b · Effective-dated history</t>
        </is>
      </c>
      <c r="G86" t="inlineStr">
        <is>
          <t>Done</t>
        </is>
      </c>
      <c r="I86">
        <f>IF(H86&lt;&gt;"",H86,G86)</f>
        <v/>
      </c>
      <c r="J86" t="inlineStr">
        <is>
          <t>Step 2b</t>
        </is>
      </c>
      <c r="K86" t="n">
        <v>3</v>
      </c>
      <c r="L86" t="n">
        <v>1</v>
      </c>
      <c r="M86" s="5" t="inlineStr">
        <is>
          <t>As an HR admin, I want a promotion approved today for 1 Oct to apply by itself on 1 Oct so that I don't need to remember it.</t>
        </is>
      </c>
      <c r="N86" s="5" t="inlineStr">
        <is>
          <t>• Given a future change, when approved, then it shows as scheduled (YX-ORG-10).
• Given the effective date, when 00:00 arrives in the employee's location time zone, then the change becomes effective (YX-HIS-04).
• Given the sweep runs twice, when it re-runs, then no row is applied twice (YX-HIS-05).
• Given applying, when it runs, then rows close and open in one transaction (YX-HIS-05).</t>
        </is>
      </c>
      <c r="O86" s="5" t="inlineStr">
        <is>
          <t>YX-ORG-10, YX-HIS-04, YX-HIS-05</t>
        </is>
      </c>
      <c r="P86" t="inlineStr">
        <is>
          <t>P06 §4.3, P06 Q3</t>
        </is>
      </c>
      <c r="Q86" t="inlineStr"/>
      <c r="R86" s="5" t="inlineStr">
        <is>
          <t>feat/yukthix-org · 7e8bfb52 · scheduled-sweeps.worker.service.spec.ts · test/employee-history.e2e-spec.ts</t>
        </is>
      </c>
    </row>
    <row r="87">
      <c r="A87" t="inlineStr">
        <is>
          <t>US-A-084</t>
        </is>
      </c>
      <c r="B87" t="n">
        <v>335</v>
      </c>
      <c r="C87" t="inlineStr">
        <is>
          <t>Story</t>
        </is>
      </c>
      <c r="D87" s="5" t="inlineStr">
        <is>
          <t xml:space="preserve">        Earlier changes rebase later scheduled ones</t>
        </is>
      </c>
      <c r="E87" t="inlineStr">
        <is>
          <t>Step 2 · Organisation and employee core</t>
        </is>
      </c>
      <c r="F87" t="inlineStr">
        <is>
          <t>2b · Effective-dated history</t>
        </is>
      </c>
      <c r="G87" t="inlineStr">
        <is>
          <t>Done</t>
        </is>
      </c>
      <c r="I87">
        <f>IF(H87&lt;&gt;"",H87,G87)</f>
        <v/>
      </c>
      <c r="J87" t="inlineStr">
        <is>
          <t>Step 2b</t>
        </is>
      </c>
      <c r="K87" t="n">
        <v>3</v>
      </c>
      <c r="L87" t="n">
        <v>1</v>
      </c>
      <c r="M87" s="5" t="inlineStr">
        <is>
          <t>As an HR admin, I want a new transfer dated before a scheduled increment to recalculate that increment so that values stay right.</t>
        </is>
      </c>
      <c r="N87" s="5" t="inlineStr">
        <is>
          <t>• Given a scheduled % increment, when a change is inserted before it, then the increment keeps its % on the new base (YX-HIS-06).
• Given the rebase, when I approve, then I see the recalculated values and confirm first (YX-HIS-06).
• Given a scheduled change, when I move its date or values, then it goes back for approval; cancel needs a reason (YX-HIS-01).</t>
        </is>
      </c>
      <c r="O87" s="5" t="inlineStr">
        <is>
          <t>YX-HIS-06, YX-HIS-01</t>
        </is>
      </c>
      <c r="P87" t="inlineStr">
        <is>
          <t>P06 §4.4, P06 Q7</t>
        </is>
      </c>
      <c r="Q87" t="inlineStr"/>
      <c r="R87" s="5" t="inlineStr">
        <is>
          <t>feat/yukthix-org · 7e8bfb52 · 8bbb7018 · employee-history.service.spec.ts</t>
        </is>
      </c>
    </row>
    <row r="88">
      <c r="A88" t="inlineStr">
        <is>
          <t>US-A-085</t>
        </is>
      </c>
      <c r="B88" t="n">
        <v>336</v>
      </c>
      <c r="C88" t="inlineStr">
        <is>
          <t>Story</t>
        </is>
      </c>
      <c r="D88" s="5" t="inlineStr">
        <is>
          <t xml:space="preserve">        Past corrections supersede, never delete</t>
        </is>
      </c>
      <c r="E88" t="inlineStr">
        <is>
          <t>Step 2 · Organisation and employee core</t>
        </is>
      </c>
      <c r="F88" t="inlineStr">
        <is>
          <t>2b · Effective-dated history</t>
        </is>
      </c>
      <c r="G88" t="inlineStr">
        <is>
          <t>Done</t>
        </is>
      </c>
      <c r="I88">
        <f>IF(H88&lt;&gt;"",H88,G88)</f>
        <v/>
      </c>
      <c r="J88" t="inlineStr">
        <is>
          <t>Step 2b</t>
        </is>
      </c>
      <c r="K88" t="n">
        <v>3</v>
      </c>
      <c r="L88" t="n">
        <v>1</v>
      </c>
      <c r="M88" s="5" t="inlineStr">
        <is>
          <t>As an HR admin, I want to correct a past mistake while keeping what we believed before so that audits stay explainable.</t>
        </is>
      </c>
      <c r="N88" s="5" t="inlineStr">
        <is>
          <t>• Given a past-dated change, when approved, then replaced rows are marked superseded with who, when and why (YX-HIS-07).
• Given recorded and superseded times, when stored, then they come from the database clock (YX-HIS-07).
• Given a change before the company's retro limit, when sent, then only a System Admin override with a reason is allowed (YX-HIS-12, YX-ORG-10).
• Given a past change, when saved, then the affected payroll months are flagged on it (YX-HIS-12).</t>
        </is>
      </c>
      <c r="O88" s="5" t="inlineStr">
        <is>
          <t>YX-HIS-07, YX-HIS-12, YX-ORG-10</t>
        </is>
      </c>
      <c r="P88" t="inlineStr">
        <is>
          <t>P06 §4.5, P06 Q5</t>
        </is>
      </c>
      <c r="Q88" t="inlineStr"/>
      <c r="R88" s="5" t="inlineStr">
        <is>
          <t>feat/yukthix-org · 1c41b543 · 7e8bfb52 · dde92c0b · test/employee-history.e2e-spec.ts</t>
        </is>
      </c>
    </row>
    <row r="89">
      <c r="A89" t="inlineStr">
        <is>
          <t>US-A-086</t>
        </is>
      </c>
      <c r="B89" t="n">
        <v>337</v>
      </c>
      <c r="C89" t="inlineStr">
        <is>
          <t>Story</t>
        </is>
      </c>
      <c r="D89" s="5" t="inlineStr">
        <is>
          <t xml:space="preserve">        Read history as on any date</t>
        </is>
      </c>
      <c r="E89" t="inlineStr">
        <is>
          <t>Step 2 · Organisation and employee core</t>
        </is>
      </c>
      <c r="F89" t="inlineStr">
        <is>
          <t>2b · Effective-dated history</t>
        </is>
      </c>
      <c r="G89" t="inlineStr">
        <is>
          <t>Done</t>
        </is>
      </c>
      <c r="I89">
        <f>IF(H89&lt;&gt;"",H89,G89)</f>
        <v/>
      </c>
      <c r="J89" t="inlineStr">
        <is>
          <t>Step 2b</t>
        </is>
      </c>
      <c r="K89" t="n">
        <v>3</v>
      </c>
      <c r="L89" t="n">
        <v>1</v>
      </c>
      <c r="M89" s="5" t="inlineStr">
        <is>
          <t>As a manager, I want to see my team member's job as on a date so that I can answer 'who was their manager on 1 Jul?'.</t>
        </is>
      </c>
      <c r="N89" s="5" t="inlineStr">
        <is>
          <t>• Given as-of, when asked 'as corrected now' or 'as recorded at T', then the right values return (YX-HIS-10).
• Given a manager, when they read a person's history, then only the periods they managed are visible (YX-SEC-06, YX-HIS-10).
• Given segments(from, to), when called, then each period where a fact changed is returned (YX-HIS-10).
• Given the person or their manager, when they read history, then only approved changes show, without the impact (YX-SEC-06).</t>
        </is>
      </c>
      <c r="O89" s="5" t="inlineStr">
        <is>
          <t>YX-HIS-10, YX-SEC-06</t>
        </is>
      </c>
      <c r="P89" t="inlineStr">
        <is>
          <t>P06 §4.7</t>
        </is>
      </c>
      <c r="Q89" t="inlineStr"/>
      <c r="R89" s="5" t="inlineStr">
        <is>
          <t>feat/yukthix-org · 7e8bfb52 · 63ec5516 · test/employee-history.e2e-spec.ts</t>
        </is>
      </c>
    </row>
    <row r="90">
      <c r="A90" t="inlineStr">
        <is>
          <t>US-A-087</t>
        </is>
      </c>
      <c r="B90" t="n">
        <v>338</v>
      </c>
      <c r="C90" t="inlineStr">
        <is>
          <t>Story</t>
        </is>
      </c>
      <c r="D90" s="5" t="inlineStr">
        <is>
          <t xml:space="preserve">        Impact preview and 'Show pay'</t>
        </is>
      </c>
      <c r="E90" t="inlineStr">
        <is>
          <t>Step 2 · Organisation and employee core</t>
        </is>
      </c>
      <c r="F90" t="inlineStr">
        <is>
          <t>2b · Effective-dated history</t>
        </is>
      </c>
      <c r="G90" t="inlineStr">
        <is>
          <t>Done</t>
        </is>
      </c>
      <c r="I90">
        <f>IF(H90&lt;&gt;"",H90,G90)</f>
        <v/>
      </c>
      <c r="J90" t="inlineStr">
        <is>
          <t>Step 2b</t>
        </is>
      </c>
      <c r="K90" t="n">
        <v>2</v>
      </c>
      <c r="L90" t="n">
        <v>1</v>
      </c>
      <c r="M90" s="5" t="inlineStr">
        <is>
          <t>As an HR admin, I want to see what else a change affects before approving, and see pay only when I ask, so that I approve with care and pay stays private.</t>
        </is>
      </c>
      <c r="N90" s="5" t="inlineStr">
        <is>
          <t>• Given a change, when reviewed, then the impact preview lists derived effects before approval (YX-HIS-11).
• Given job history, when opened, then pay is hidden until 'Show pay' and only for pay access (YX-SEC-07).
• Given someone views another person's pay, when shown, then the view is audited (YX-SEC-09).</t>
        </is>
      </c>
      <c r="O90" s="5" t="inlineStr">
        <is>
          <t>YX-HIS-11, YX-SEC-07, YX-SEC-09</t>
        </is>
      </c>
      <c r="P90" t="inlineStr">
        <is>
          <t>P06 §4.3, P02 §4.4</t>
        </is>
      </c>
      <c r="Q90" t="inlineStr"/>
      <c r="R90" s="5" t="inlineStr">
        <is>
          <t>feat/yukthix-org · 7e8bfb52 · 39c0229c · employee-history.service.spec.ts</t>
        </is>
      </c>
    </row>
    <row r="91">
      <c r="A91" t="inlineStr">
        <is>
          <t>US-A-088</t>
        </is>
      </c>
      <c r="B91" t="n">
        <v>339</v>
      </c>
      <c r="C91" t="inlineStr">
        <is>
          <t>Story</t>
        </is>
      </c>
      <c r="D91" s="5" t="inlineStr">
        <is>
          <t xml:space="preserve">        People › Job history and Job changes screens</t>
        </is>
      </c>
      <c r="E91" t="inlineStr">
        <is>
          <t>Step 2 · Organisation and employee core</t>
        </is>
      </c>
      <c r="F91" t="inlineStr">
        <is>
          <t>2b · Effective-dated history</t>
        </is>
      </c>
      <c r="G91" t="inlineStr">
        <is>
          <t>Done</t>
        </is>
      </c>
      <c r="I91">
        <f>IF(H91&lt;&gt;"",H91,G91)</f>
        <v/>
      </c>
      <c r="J91" t="inlineStr">
        <is>
          <t>Step 2b</t>
        </is>
      </c>
      <c r="K91" t="n">
        <v>5</v>
      </c>
      <c r="L91" t="n">
        <v>1</v>
      </c>
      <c r="M91" s="5" t="inlineStr">
        <is>
          <t>As an HR admin, I want screens to see a timeline and handle waiting, scheduled and done changes so that I can run job changes daily.</t>
        </is>
      </c>
      <c r="N91" s="5" t="inlineStr">
        <is>
          <t>• Given Job history, when I pick a date, then the record as on that date shows, with scheduled changes styled differently (YX-HIS-10).
• Given a change that touches the past, when listed, then it is marked 'Changes the past' (YX-HIS-07).
• Given Review, when opened, then the impact shows and Approve confirms recalculated later changes (YX-HIS-11, YX-HIS-06).
• Given the change form, when before the retro limit, then it asks for the override reason (YX-HIS-12).</t>
        </is>
      </c>
      <c r="O91" s="5" t="inlineStr">
        <is>
          <t>YX-HIS-10, YX-HIS-07, YX-HIS-11, YX-HIS-06, YX-HIS-12</t>
        </is>
      </c>
      <c r="P91" t="inlineStr">
        <is>
          <t>P06 §7</t>
        </is>
      </c>
      <c r="Q91" t="inlineStr"/>
      <c r="R91" s="5" t="inlineStr">
        <is>
          <t>feat/yukthix-org · 8bbb7018 · 7c246268 · history.test.tsx · yx-people-pages.test.tsx</t>
        </is>
      </c>
    </row>
    <row r="92">
      <c r="A92" s="9" t="inlineStr">
        <is>
          <t>FT-A-032</t>
        </is>
      </c>
      <c r="B92" s="9" t="n">
        <v>340</v>
      </c>
      <c r="C92" s="9" t="inlineStr">
        <is>
          <t>Feature</t>
        </is>
      </c>
      <c r="D92" s="10" t="inlineStr">
        <is>
          <t xml:space="preserve">    2c · Employee record, persons, org chart, probation and bulk changes</t>
        </is>
      </c>
      <c r="E92" s="9" t="inlineStr">
        <is>
          <t>Step 2 · Organisation and employee core</t>
        </is>
      </c>
      <c r="F92" s="9" t="inlineStr">
        <is>
          <t>2c · Employee record, persons, org chart, probation and bulk changes</t>
        </is>
      </c>
      <c r="G92" s="9" t="inlineStr">
        <is>
          <t>Active</t>
        </is>
      </c>
      <c r="H92" s="9" t="n"/>
      <c r="I92" s="9">
        <f>IF(H92&lt;&gt;"",H92,G92)</f>
        <v/>
      </c>
      <c r="J92" s="9" t="inlineStr">
        <is>
          <t>Step 2c</t>
        </is>
      </c>
      <c r="K92" s="9" t="n"/>
      <c r="L92" s="9" t="n">
        <v>1</v>
      </c>
      <c r="M92" s="10" t="inlineStr"/>
      <c r="N92" s="10" t="inlineStr"/>
      <c r="O92" s="10" t="inlineStr"/>
      <c r="P92" s="9" t="inlineStr">
        <is>
          <t>P01 §4.4–4.5a, M01 §3.1–3.4, §3.10</t>
        </is>
      </c>
      <c r="Q92" s="9" t="inlineStr"/>
      <c r="R92" s="10" t="inlineStr">
        <is>
          <t>feat/yukthix-org · dde92c0b · 33b18e60 · 0b1f1f94 · 95573e26</t>
        </is>
      </c>
      <c r="S92" s="9" t="n"/>
    </row>
    <row r="93">
      <c r="A93" t="inlineStr">
        <is>
          <t>US-A-090</t>
        </is>
      </c>
      <c r="B93" t="n">
        <v>341</v>
      </c>
      <c r="C93" t="inlineStr">
        <is>
          <t>Story</t>
        </is>
      </c>
      <c r="D93" s="5" t="inlineStr">
        <is>
          <t xml:space="preserve">        One person record per human</t>
        </is>
      </c>
      <c r="E93" t="inlineStr">
        <is>
          <t>Step 2 · Organisation and employee core</t>
        </is>
      </c>
      <c r="F93" t="inlineStr">
        <is>
          <t>2c · Employee record, persons, org chart, probation and bulk changes</t>
        </is>
      </c>
      <c r="G93" t="inlineStr">
        <is>
          <t>Done</t>
        </is>
      </c>
      <c r="I93">
        <f>IF(H93&lt;&gt;"",H93,G93)</f>
        <v/>
      </c>
      <c r="J93" t="inlineStr">
        <is>
          <t>Step 2c</t>
        </is>
      </c>
      <c r="K93" t="n">
        <v>5</v>
      </c>
      <c r="L93" t="n">
        <v>1</v>
      </c>
      <c r="M93" s="5" t="inlineStr">
        <is>
          <t>As an HR admin, I want each human to have one person record in our company so that a candidate who joins keeps one history.</t>
        </is>
      </c>
      <c r="N93" s="5" t="inlineStr">
        <is>
          <t>• Given a hire, when saved, then a person with employee and login roles is created (YX-ORG-26).
• Given an email or phone of an existing person, when a new hire uses it, then it is not linked silently (409 POSSIBLE_SAME_PERSON) (YX-ORG-27).
• Given HR links by personId, when confirmed, then person_link_log records it as confirmed (YX-ORG-27).
• Given persons, when read, then they never cross companies (YX-ORG-26, YX-ORG-14).</t>
        </is>
      </c>
      <c r="O93" s="5" t="inlineStr">
        <is>
          <t>YX-ORG-26, YX-ORG-27, YX-ORG-14</t>
        </is>
      </c>
      <c r="P93" t="inlineStr">
        <is>
          <t>P01 §4.5a</t>
        </is>
      </c>
      <c r="Q93" t="inlineStr"/>
      <c r="R93" s="5" t="inlineStr">
        <is>
          <t>feat/yukthix-org · dde92c0b · 33b18e60 · test/people-core.e2e-spec.ts · test/rls-isolation.e2e-spec.ts</t>
        </is>
      </c>
    </row>
    <row r="94">
      <c r="A94" t="inlineStr">
        <is>
          <t>US-A-091</t>
        </is>
      </c>
      <c r="B94" t="n">
        <v>342</v>
      </c>
      <c r="C94" t="inlineStr">
        <is>
          <t>Story</t>
        </is>
      </c>
      <c r="D94" s="5" t="inlineStr">
        <is>
          <t xml:space="preserve">        'Possible same person' queue with reversible merge</t>
        </is>
      </c>
      <c r="E94" t="inlineStr">
        <is>
          <t>Step 2 · Organisation and employee core</t>
        </is>
      </c>
      <c r="F94" t="inlineStr">
        <is>
          <t>2c · Employee record, persons, org chart, probation and bulk changes</t>
        </is>
      </c>
      <c r="G94" t="inlineStr">
        <is>
          <t>New</t>
        </is>
      </c>
      <c r="I94">
        <f>IF(H94&lt;&gt;"",H94,G94)</f>
        <v/>
      </c>
      <c r="J94" t="inlineStr">
        <is>
          <t>Step 2c</t>
        </is>
      </c>
      <c r="K94" t="n">
        <v>5</v>
      </c>
      <c r="L94" t="n">
        <v>2</v>
      </c>
      <c r="M94" s="5" t="inlineStr">
        <is>
          <t>As an HR admin, I want to confirm or reject possible duplicates and undo a wrong merge so that no two records describe one person.</t>
        </is>
      </c>
      <c r="N94" s="5" t="inlineStr">
        <is>
          <t>• Given verified email, phone, PAN or UAN, when a new role record matches, then it auto-links (YX-ORG-27).
• Given conflicting keys or name + DOB similarity, when found, then a proposal appears in the queue; a name alone never links (YX-ORG-27).
• Given a merge, when undone, then each role and its records go back to the original person (YX-ORG-27).
• Given any link, merge or unmerge, when done, then person_link_log records basis, actor and reason (YX-ORG-27).</t>
        </is>
      </c>
      <c r="O94" s="5" t="inlineStr">
        <is>
          <t>YX-ORG-27</t>
        </is>
      </c>
      <c r="P94" t="inlineStr">
        <is>
          <t>P01 §4.5a</t>
        </is>
      </c>
      <c r="Q94" t="inlineStr">
        <is>
          <t>US-A-090</t>
        </is>
      </c>
      <c r="R94" s="5" t="inlineStr"/>
    </row>
    <row r="95">
      <c r="A95" t="inlineStr">
        <is>
          <t>US-A-092</t>
        </is>
      </c>
      <c r="B95" t="n">
        <v>343</v>
      </c>
      <c r="C95" t="inlineStr">
        <is>
          <t>Story</t>
        </is>
      </c>
      <c r="D95" s="5" t="inlineStr">
        <is>
          <t xml:space="preserve">        Dotted-line managers</t>
        </is>
      </c>
      <c r="E95" t="inlineStr">
        <is>
          <t>Step 2 · Organisation and employee core</t>
        </is>
      </c>
      <c r="F95" t="inlineStr">
        <is>
          <t>2c · Employee record, persons, org chart, probation and bulk changes</t>
        </is>
      </c>
      <c r="G95" t="inlineStr">
        <is>
          <t>Done</t>
        </is>
      </c>
      <c r="I95">
        <f>IF(H95&lt;&gt;"",H95,G95)</f>
        <v/>
      </c>
      <c r="J95" t="inlineStr">
        <is>
          <t>Step 2c</t>
        </is>
      </c>
      <c r="K95" t="n">
        <v>2</v>
      </c>
      <c r="L95" t="n">
        <v>1</v>
      </c>
      <c r="M95" s="5" t="inlineStr">
        <is>
          <t>As an HR admin, I want to add a secondary manager to an assignment so that project leads can see and give feedback.</t>
        </is>
      </c>
      <c r="N95" s="5" t="inlineStr">
        <is>
          <t>• Given a dotted-line manager, when saved with an assignment, then they must be employed on every day (YX-ORG-09).
• Given a dotted-line manager, when approvals route, then they are never in the chain unless a policy names them (YX-EMP-04).
• Given a person, when they are made their own dotted-line manager, then it is refused (YX-ORG-09).</t>
        </is>
      </c>
      <c r="O95" s="5" t="inlineStr">
        <is>
          <t>YX-EMP-04, YX-ORG-09</t>
        </is>
      </c>
      <c r="P95" t="inlineStr">
        <is>
          <t>M01 §3.2, M01 Q5</t>
        </is>
      </c>
      <c r="Q95" t="inlineStr"/>
      <c r="R95" s="5" t="inlineStr">
        <is>
          <t>feat/yukthix-org · dde92c0b · 33b18e60 · test/people-core.e2e-spec.ts</t>
        </is>
      </c>
    </row>
    <row r="96">
      <c r="A96" t="inlineStr">
        <is>
          <t>US-A-093</t>
        </is>
      </c>
      <c r="B96" t="n">
        <v>344</v>
      </c>
      <c r="C96" t="inlineStr">
        <is>
          <t>Story</t>
        </is>
      </c>
      <c r="D96" s="5" t="inlineStr">
        <is>
          <t xml:space="preserve">        Org chart as on any date</t>
        </is>
      </c>
      <c r="E96" t="inlineStr">
        <is>
          <t>Step 2 · Organisation and employee core</t>
        </is>
      </c>
      <c r="F96" t="inlineStr">
        <is>
          <t>2c · Employee record, persons, org chart, probation and bulk changes</t>
        </is>
      </c>
      <c r="G96" t="inlineStr">
        <is>
          <t>Active</t>
        </is>
      </c>
      <c r="I96">
        <f>IF(H96&lt;&gt;"",H96,G96)</f>
        <v/>
      </c>
      <c r="J96" t="inlineStr">
        <is>
          <t>Step 2c</t>
        </is>
      </c>
      <c r="K96" t="n">
        <v>3</v>
      </c>
      <c r="L96" t="n">
        <v>1</v>
      </c>
      <c r="M96" s="5" t="inlineStr">
        <is>
          <t>As an employee, I want an org chart with search and expand so that I know who reports to whom.</t>
        </is>
      </c>
      <c r="N96" s="5" t="inlineStr">
        <is>
          <t>• Given the org chart, when opened, then managers, dotted lines and report counts show (YX-EMP-04).
• Given an HR admin, when they pick a past date, then the chart shows as on that date (YX-HIS-10).
• Given any viewer, when the chart loads, then only Public fields show and no pay (YX-SEC-07).</t>
        </is>
      </c>
      <c r="O96" s="5" t="inlineStr">
        <is>
          <t>YX-EMP-04, YX-HIS-10, YX-SEC-07</t>
        </is>
      </c>
      <c r="P96" t="inlineStr">
        <is>
          <t>M01 §3.2</t>
        </is>
      </c>
      <c r="Q96" t="inlineStr"/>
      <c r="R96" s="5" t="inlineStr">
        <is>
          <t>feat/yukthix-org · 0b1f1f94 (API) · org-chart screen in progress (uncommitted)</t>
        </is>
      </c>
    </row>
    <row r="97">
      <c r="A97" t="inlineStr">
        <is>
          <t>US-A-094</t>
        </is>
      </c>
      <c r="B97" t="n">
        <v>345</v>
      </c>
      <c r="C97" t="inlineStr">
        <is>
          <t>Story</t>
        </is>
      </c>
      <c r="D97" s="5" t="inlineStr">
        <is>
          <t xml:space="preserve">        Colleague directory</t>
        </is>
      </c>
      <c r="E97" t="inlineStr">
        <is>
          <t>Step 2 · Organisation and employee core</t>
        </is>
      </c>
      <c r="F97" t="inlineStr">
        <is>
          <t>2c · Employee record, persons, org chart, probation and bulk changes</t>
        </is>
      </c>
      <c r="G97" t="inlineStr">
        <is>
          <t>Active</t>
        </is>
      </c>
      <c r="I97">
        <f>IF(H97&lt;&gt;"",H97,G97)</f>
        <v/>
      </c>
      <c r="J97" t="inlineStr">
        <is>
          <t>Step 2c</t>
        </is>
      </c>
      <c r="K97" t="n">
        <v>3</v>
      </c>
      <c r="L97" t="n">
        <v>1</v>
      </c>
      <c r="M97" s="5" t="inlineStr">
        <is>
          <t>As an employee, I want to search colleagues by name, entity, location or department so that I can find and contact people.</t>
        </is>
      </c>
      <c r="N97" s="5" t="inlineStr">
        <is>
          <t>• Given the directory, when I search, then only Public fields show (YX-SEC-17).
• Given HR, when they search, then codes and joining dates also show (YX-SEC-07).
• Given a search with % or _, when run, then wildcards are escaped.
• Given a department filter, when chosen, then its whole subtree is included.</t>
        </is>
      </c>
      <c r="O97" s="5" t="inlineStr">
        <is>
          <t>YX-SEC-17, YX-SEC-07</t>
        </is>
      </c>
      <c r="P97" t="inlineStr">
        <is>
          <t>P02 Q4, M01 §1</t>
        </is>
      </c>
      <c r="Q97" t="inlineStr"/>
      <c r="R97" s="5" t="inlineStr">
        <is>
          <t>feat/yukthix-org · 0b1f1f94 (API) · people/directory screen and workforce screens uncommitted</t>
        </is>
      </c>
    </row>
    <row r="98">
      <c r="A98" t="inlineStr">
        <is>
          <t>US-A-095</t>
        </is>
      </c>
      <c r="B98" t="n">
        <v>346</v>
      </c>
      <c r="C98" t="inlineStr">
        <is>
          <t>Story</t>
        </is>
      </c>
      <c r="D98" s="5" t="inlineStr">
        <is>
          <t xml:space="preserve">        Manager Team page</t>
        </is>
      </c>
      <c r="E98" t="inlineStr">
        <is>
          <t>Step 2 · Organisation and employee core</t>
        </is>
      </c>
      <c r="F98" t="inlineStr">
        <is>
          <t>2c · Employee record, persons, org chart, probation and bulk changes</t>
        </is>
      </c>
      <c r="G98" t="inlineStr">
        <is>
          <t>Active</t>
        </is>
      </c>
      <c r="I98">
        <f>IF(H98&lt;&gt;"",H98,G98)</f>
        <v/>
      </c>
      <c r="J98" t="inlineStr">
        <is>
          <t>Step 2c</t>
        </is>
      </c>
      <c r="K98" t="n">
        <v>3</v>
      </c>
      <c r="L98" t="n">
        <v>1</v>
      </c>
      <c r="M98" s="5" t="inlineStr">
        <is>
          <t>As a manager, I want a team page with direct, indirect and dotted-line reports so that I see my people and their probation ends.</t>
        </is>
      </c>
      <c r="N98" s="5" t="inlineStr">
        <is>
          <t>• Given my team, when opened, then direct, indirect and dotted-line reports show (YX-SEC-05).
• Given a report on probation, when listed, then the end date shows (YX-LC-01).
• Given my reports, when listed, then no pay shows without the team-salary grant (YX-SEC-07).</t>
        </is>
      </c>
      <c r="O98" s="5" t="inlineStr">
        <is>
          <t>YX-SEC-05, YX-LC-01, YX-SEC-07</t>
        </is>
      </c>
      <c r="P98" t="inlineStr">
        <is>
          <t>M01 §3.10, P02 Q2</t>
        </is>
      </c>
      <c r="Q98" t="inlineStr"/>
      <c r="R98" s="5" t="inlineStr">
        <is>
          <t>feat/yukthix-org · 0b1f1f94 (API employees/:id/reports, team) · team screen in progress</t>
        </is>
      </c>
    </row>
    <row r="99">
      <c r="A99" t="inlineStr">
        <is>
          <t>US-A-096</t>
        </is>
      </c>
      <c r="B99" t="n">
        <v>347</v>
      </c>
      <c r="C99" t="inlineStr">
        <is>
          <t>Story</t>
        </is>
      </c>
      <c r="D99" s="5" t="inlineStr">
        <is>
          <t xml:space="preserve">        Managers raise job changes for their team</t>
        </is>
      </c>
      <c r="E99" t="inlineStr">
        <is>
          <t>Step 2 · Organisation and employee core</t>
        </is>
      </c>
      <c r="F99" t="inlineStr">
        <is>
          <t>2c · Employee record, persons, org chart, probation and bulk changes</t>
        </is>
      </c>
      <c r="G99" t="inlineStr">
        <is>
          <t>Done</t>
        </is>
      </c>
      <c r="I99">
        <f>IF(H99&lt;&gt;"",H99,G99)</f>
        <v/>
      </c>
      <c r="J99" t="inlineStr">
        <is>
          <t>Step 2c</t>
        </is>
      </c>
      <c r="K99" t="n">
        <v>3</v>
      </c>
      <c r="L99" t="n">
        <v>1</v>
      </c>
      <c r="M99" s="5" t="inlineStr">
        <is>
          <t>As a manager, I want to start a promotion, transfer or manager change for my team so that HR gets a complete request.</t>
        </is>
      </c>
      <c r="N99" s="5" t="inlineStr">
        <is>
          <t>• Given request.raise_on_behalf, when I raise a change, then the subject must be in my current subtree (YX-SEC-27).
• Given a pay field, when I lack the pay grant, then I cannot change it (YX-SEC-27).
• Given a change I raised, when it is up for approval, then I can never approve it (YX-SEC-11, YX-SEC-27).
• Given my raised changes, when listed, then I see and can withdraw only those I raised.</t>
        </is>
      </c>
      <c r="O99" s="5" t="inlineStr">
        <is>
          <t>YX-SEC-27, YX-SEC-11</t>
        </is>
      </c>
      <c r="P99" t="inlineStr">
        <is>
          <t>M01 §3.10, P02 §4.6</t>
        </is>
      </c>
      <c r="Q99" t="inlineStr"/>
      <c r="R99" s="5" t="inlineStr">
        <is>
          <t>feat/yukthix-org · 33b18e60 · 95573e26 (Team Manager profile) · test/people-core.e2e-spec.ts</t>
        </is>
      </c>
    </row>
    <row r="100">
      <c r="A100" t="inlineStr">
        <is>
          <t>US-A-097</t>
        </is>
      </c>
      <c r="B100" t="n">
        <v>348</v>
      </c>
      <c r="C100" t="inlineStr">
        <is>
          <t>Story</t>
        </is>
      </c>
      <c r="D100" s="5" t="inlineStr">
        <is>
          <t xml:space="preserve">        Probation plans, reviews and confirmation</t>
        </is>
      </c>
      <c r="E100" t="inlineStr">
        <is>
          <t>Step 2 · Organisation and employee core</t>
        </is>
      </c>
      <c r="F100" t="inlineStr">
        <is>
          <t>2c · Employee record, persons, org chart, probation and bulk changes</t>
        </is>
      </c>
      <c r="G100" t="inlineStr">
        <is>
          <t>Active</t>
        </is>
      </c>
      <c r="I100">
        <f>IF(H100&lt;&gt;"",H100,G100)</f>
        <v/>
      </c>
      <c r="J100" t="inlineStr">
        <is>
          <t>Step 2c</t>
        </is>
      </c>
      <c r="K100" t="n">
        <v>3</v>
      </c>
      <c r="L100" t="n">
        <v>1</v>
      </c>
      <c r="M100" s="5" t="inlineStr">
        <is>
          <t>As an HR admin, I want probation tracked with reminders so that no confirmation is missed.</t>
        </is>
      </c>
      <c r="N100" s="5" t="inlineStr">
        <is>
          <t>• Given a joiner on probation, when added, then a plan with the default length per type or grade is created (YX-LC-01).
• Given N days before the end, when the sweep runs, then the manager gets a review reminder once (YX-LC-01).
• Given no action by the end date, when the sweep runs, then it escalates to HR; auto-confirm only if switched on (YX-LC-01).
• Given an extension, when beyond the company maximum, then it is refused (YX-LC-01).</t>
        </is>
      </c>
      <c r="O100" s="5" t="inlineStr">
        <is>
          <t>YX-LC-01</t>
        </is>
      </c>
      <c r="P100" t="inlineStr">
        <is>
          <t>M01 §3.4, M01 Q3</t>
        </is>
      </c>
      <c r="Q100" t="inlineStr"/>
      <c r="R100" s="5" t="inlineStr">
        <is>
          <t>feat/yukthix-org · dde92c0b · 33b18e60 · 0b1f1f94 · test/people-core.e2e-spec.ts · probation screen in progress</t>
        </is>
      </c>
    </row>
    <row r="101">
      <c r="A101" t="inlineStr">
        <is>
          <t>US-A-098</t>
        </is>
      </c>
      <c r="B101" t="n">
        <v>349</v>
      </c>
      <c r="C101" t="inlineStr">
        <is>
          <t>Story</t>
        </is>
      </c>
      <c r="D101" s="5" t="inlineStr">
        <is>
          <t xml:space="preserve">        Bulk job changes by CSV or 'reassign reports'</t>
        </is>
      </c>
      <c r="E101" t="inlineStr">
        <is>
          <t>Step 2 · Organisation and employee core</t>
        </is>
      </c>
      <c r="F101" t="inlineStr">
        <is>
          <t>2c · Employee record, persons, org chart, probation and bulk changes</t>
        </is>
      </c>
      <c r="G101" t="inlineStr">
        <is>
          <t>Active</t>
        </is>
      </c>
      <c r="I101">
        <f>IF(H101&lt;&gt;"",H101,G101)</f>
        <v/>
      </c>
      <c r="J101" t="inlineStr">
        <is>
          <t>Step 2c</t>
        </is>
      </c>
      <c r="K101" t="n">
        <v>5</v>
      </c>
      <c r="L101" t="n">
        <v>1</v>
      </c>
      <c r="M101" s="5" t="inlineStr">
        <is>
          <t>As an HR admin, I want to upload many changes or move all of a leaving manager's reports at once so that a reorg takes one approval.</t>
        </is>
      </c>
      <c r="N101" s="5" t="inlineStr">
        <is>
          <t>• Given a CSV, when uploaded, then a dry run shows per-row errors and impact (YX-HIS-11).
• Given errors, when any row fails, then nothing is stored (all or nothing) (YX-HIS-01).
• Given the batch, when approved once with step-up by someone outside it, then all changes apply together (YX-SEC-11, YX-IAM-02).
• Given 'reassign reports', when used, then each report gets a manager-change of type P06 (YX-EMP-05).</t>
        </is>
      </c>
      <c r="O101" s="5" t="inlineStr">
        <is>
          <t>YX-HIS-11, YX-HIS-01, YX-SEC-11, YX-IAM-02, YX-EMP-05</t>
        </is>
      </c>
      <c r="P101" t="inlineStr">
        <is>
          <t>M01 §3.2–3.3, P06 §7</t>
        </is>
      </c>
      <c r="Q101" t="inlineStr"/>
      <c r="R101" s="5" t="inlineStr">
        <is>
          <t>feat/yukthix-org · dde92c0b · 0b1f1f94 · bulk-csv.spec.ts · test/people-core.e2e-spec.ts · bulk-changes screen in progress</t>
        </is>
      </c>
    </row>
    <row r="102">
      <c r="A102" t="inlineStr">
        <is>
          <t>US-A-099</t>
        </is>
      </c>
      <c r="B102" t="n">
        <v>350</v>
      </c>
      <c r="C102" t="inlineStr">
        <is>
          <t>Story</t>
        </is>
      </c>
      <c r="D102" s="5" t="inlineStr">
        <is>
          <t xml:space="preserve">        Employee codes and login links</t>
        </is>
      </c>
      <c r="E102" t="inlineStr">
        <is>
          <t>Step 2 · Organisation and employee core</t>
        </is>
      </c>
      <c r="F102" t="inlineStr">
        <is>
          <t>2c · Employee record, persons, org chart, probation and bulk changes</t>
        </is>
      </c>
      <c r="G102" t="inlineStr">
        <is>
          <t>Done</t>
        </is>
      </c>
      <c r="I102">
        <f>IF(H102&lt;&gt;"",H102,G102)</f>
        <v/>
      </c>
      <c r="J102" t="inlineStr">
        <is>
          <t>Step 2c</t>
        </is>
      </c>
      <c r="K102" t="n">
        <v>2</v>
      </c>
      <c r="L102" t="n">
        <v>1</v>
      </c>
      <c r="M102" s="5" t="inlineStr">
        <is>
          <t>As an HR admin, I want to correct an employee code with a reason and link a login so that the record stays right.</t>
        </is>
      </c>
      <c r="N102" s="5" t="inlineStr">
        <is>
          <t>• Given a code correction, when saved, then a reason is required and audited (YX-ORG-16).
• Given a switch to company-wide codes, when clashes exist, then they are listed and the switch is refused (YX-ORG-16).
• Given linking a login, when the email is not the record's work email or is my own login, then it is refused (YX-ORG-16).
• Given link or unlink, when done, then step-up is asked (YX-IAM-02).</t>
        </is>
      </c>
      <c r="O102" s="5" t="inlineStr">
        <is>
          <t>YX-ORG-16, YX-IAM-02</t>
        </is>
      </c>
      <c r="P102" t="inlineStr">
        <is>
          <t>P01 Q4</t>
        </is>
      </c>
      <c r="Q102" t="inlineStr"/>
      <c r="R102" s="5" t="inlineStr">
        <is>
          <t>feat/yukthix-org · 33b18e60 · 0b1f1f94 · 63ec5516 · test/people-core.e2e-spec.ts</t>
        </is>
      </c>
    </row>
    <row r="103">
      <c r="A103" t="inlineStr">
        <is>
          <t>US-A-100</t>
        </is>
      </c>
      <c r="B103" t="n">
        <v>351</v>
      </c>
      <c r="C103" t="inlineStr">
        <is>
          <t>Story</t>
        </is>
      </c>
      <c r="D103" s="5" t="inlineStr">
        <is>
          <t xml:space="preserve">        Structured names, addresses and phones</t>
        </is>
      </c>
      <c r="E103" t="inlineStr">
        <is>
          <t>Step 2 · Organisation and employee core</t>
        </is>
      </c>
      <c r="F103" t="inlineStr">
        <is>
          <t>2c · Employee record, persons, org chart, probation and bulk changes</t>
        </is>
      </c>
      <c r="G103" t="inlineStr">
        <is>
          <t>New</t>
        </is>
      </c>
      <c r="I103">
        <f>IF(H103&lt;&gt;"",H103,G103)</f>
        <v/>
      </c>
      <c r="J103" t="inlineStr">
        <is>
          <t>Step 2c</t>
        </is>
      </c>
      <c r="K103" t="n">
        <v>3</v>
      </c>
      <c r="L103" t="n">
        <v>2</v>
      </c>
      <c r="M103" s="5" t="inlineStr">
        <is>
          <t>As an HR admin, I want names in parts and structured addresses so that letters and statutory files use the right form.</t>
        </is>
      </c>
      <c r="N103" s="5" t="inlineStr">
        <is>
          <t>• Given a name, when saved, then given, family, optional patronymic and grandfather's name, name order and native-script legal name are kept (YX-ORG-28).
• Given an address, when saved, then it uses ISO 3166 country and subdivision and the country's postal-code pattern (YX-ORG-28).
• Given a phone, when saved, then it is validated and stored in E.164 and shown in national format (YX-ORG-28).
• Given search, when I type the native-script name, then the person is found (YX-ORG-28).</t>
        </is>
      </c>
      <c r="O103" s="5" t="inlineStr">
        <is>
          <t>YX-ORG-28</t>
        </is>
      </c>
      <c r="P103" t="inlineStr">
        <is>
          <t>P01 §4.4, P21</t>
        </is>
      </c>
      <c r="Q103" t="inlineStr"/>
      <c r="R103" s="5" t="inlineStr"/>
    </row>
    <row r="104">
      <c r="A104" t="inlineStr">
        <is>
          <t>US-A-101</t>
        </is>
      </c>
      <c r="B104" t="n">
        <v>352</v>
      </c>
      <c r="C104" t="inlineStr">
        <is>
          <t>Story</t>
        </is>
      </c>
      <c r="D104" s="5" t="inlineStr">
        <is>
          <t xml:space="preserve">        Company gender list; gender and marital status by date</t>
        </is>
      </c>
      <c r="E104" t="inlineStr">
        <is>
          <t>Step 2 · Organisation and employee core</t>
        </is>
      </c>
      <c r="F104" t="inlineStr">
        <is>
          <t>2c · Employee record, persons, org chart, probation and bulk changes</t>
        </is>
      </c>
      <c r="G104" t="inlineStr">
        <is>
          <t>New</t>
        </is>
      </c>
      <c r="I104">
        <f>IF(H104&lt;&gt;"",H104,G104)</f>
        <v/>
      </c>
      <c r="J104" t="inlineStr">
        <is>
          <t>Step 2c</t>
        </is>
      </c>
      <c r="K104" t="n">
        <v>3</v>
      </c>
      <c r="L104" t="n">
        <v>2</v>
      </c>
      <c r="M104" s="5" t="inlineStr">
        <is>
          <t>As an employee, I want to self-declare my gender from an inclusive list so that my record is right and reports stay private.</t>
        </is>
      </c>
      <c r="N104" s="5" t="inlineStr">
        <is>
          <t>• Given the tenant gender list, when first set up, then it has female, male, transgender, non-binary and prefer not to say (YX-ORG-29).
• Given a gender or marital-status change, when made, then it is a dated change with an impact preview (YX-HIS-14).
• Given headcount by gender, when a group is small, then it is suppressed (YX-SEC-14).
• Given each value, when mapped, then it maps to the categories statutory reports need (YX-ORG-29).</t>
        </is>
      </c>
      <c r="O104" s="5" t="inlineStr">
        <is>
          <t>YX-ORG-29, YX-HIS-14, YX-SEC-14</t>
        </is>
      </c>
      <c r="P104" t="inlineStr">
        <is>
          <t>P01 §4.4, P06 §4.1</t>
        </is>
      </c>
      <c r="Q104" t="inlineStr"/>
      <c r="R104" s="5" t="inlineStr"/>
    </row>
    <row r="105">
      <c r="A105" t="inlineStr">
        <is>
          <t>US-A-102</t>
        </is>
      </c>
      <c r="B105" t="n">
        <v>353</v>
      </c>
      <c r="C105" t="inlineStr">
        <is>
          <t>Story</t>
        </is>
      </c>
      <c r="D105" s="5" t="inlineStr">
        <is>
          <t xml:space="preserve">        Full employee record with sections</t>
        </is>
      </c>
      <c r="E105" t="inlineStr">
        <is>
          <t>Step 2 · Organisation and employee core</t>
        </is>
      </c>
      <c r="F105" t="inlineStr">
        <is>
          <t>2c · Employee record, persons, org chart, probation and bulk changes</t>
        </is>
      </c>
      <c r="G105" t="inlineStr">
        <is>
          <t>New</t>
        </is>
      </c>
      <c r="I105">
        <f>IF(H105&lt;&gt;"",H105,G105)</f>
        <v/>
      </c>
      <c r="J105" t="inlineStr">
        <is>
          <t>Step 2c</t>
        </is>
      </c>
      <c r="K105" t="n">
        <v>5</v>
      </c>
      <c r="L105" t="n">
        <v>1</v>
      </c>
      <c r="M105" s="5" t="inlineStr">
        <is>
          <t>As an HR admin, I want one employee record with overview, personal, family and nominees, emergency contacts and activity so that everything about a person is in one place.</t>
        </is>
      </c>
      <c r="N105" s="5" t="inlineStr">
        <is>
          <t>• Given the record, when opened, then Overview shows photo, role, location, manager and status badges like 'On probation · ends 1 Apr'.
• Given the Personal section, when the employee edits it, then the change saves directly and the old value stays in history (YX-SEC-07).
• Given family and nominees, when shares are entered, then they must total 100 % per nomination type.
• Given each field, when shown, then its sensitivity class decides who sees it (YX-SEC-07).</t>
        </is>
      </c>
      <c r="O105" s="5" t="inlineStr">
        <is>
          <t>YX-SEC-07</t>
        </is>
      </c>
      <c r="P105" t="inlineStr">
        <is>
          <t>M01 §3.1, P02 §4.5</t>
        </is>
      </c>
      <c r="Q105" t="inlineStr"/>
      <c r="R105" s="5" t="inlineStr"/>
    </row>
    <row r="106">
      <c r="A106" t="inlineStr">
        <is>
          <t>US-A-103</t>
        </is>
      </c>
      <c r="B106" t="n">
        <v>354</v>
      </c>
      <c r="C106" t="inlineStr">
        <is>
          <t>Story</t>
        </is>
      </c>
      <c r="D106" s="5" t="inlineStr">
        <is>
          <t xml:space="preserve">        India identity fields, validated and masked</t>
        </is>
      </c>
      <c r="E106" t="inlineStr">
        <is>
          <t>Step 2 · Organisation and employee core</t>
        </is>
      </c>
      <c r="F106" t="inlineStr">
        <is>
          <t>2c · Employee record, persons, org chart, probation and bulk changes</t>
        </is>
      </c>
      <c r="G106" t="inlineStr">
        <is>
          <t>New</t>
        </is>
      </c>
      <c r="I106">
        <f>IF(H106&lt;&gt;"",H106,G106)</f>
        <v/>
      </c>
      <c r="J106" t="inlineStr">
        <is>
          <t>Step 2c</t>
        </is>
      </c>
      <c r="K106" t="n">
        <v>5</v>
      </c>
      <c r="L106" t="n">
        <v>1</v>
      </c>
      <c r="M106" s="5" t="inlineStr">
        <is>
          <t>As an HR admin, I want PAN, Aadhaar, UAN, ESIC and IFSC checked on entry so that statutory filings don't fail later.</t>
        </is>
      </c>
      <c r="N106" s="5" t="inlineStr">
        <is>
          <t>• Given PAN, UAN, ESIC or IFSC, when entered, then the format is validated (YX-EMP-01).
• Given Aadhaar, when entered, then the Verhoeff checksum is checked and it is stored encrypted, shown as last 4 (YX-EMP-01, YX-SEC-08).
• Given an unmasked Aadhaar view by an allowed role, when shown, then it is audited (YX-SEC-08).
• Given the same PAN, Aadhaar or salary bank account on another active employee, when saved, then a blocking warning names that record; HR may override with a reason (YX-EMP-02).</t>
        </is>
      </c>
      <c r="O106" s="5" t="inlineStr">
        <is>
          <t>YX-EMP-01, YX-EMP-02, YX-SEC-08</t>
        </is>
      </c>
      <c r="P106" t="inlineStr">
        <is>
          <t>M01 §3.1, P01 §4.4</t>
        </is>
      </c>
      <c r="Q106" t="inlineStr">
        <is>
          <t>US-A-102</t>
        </is>
      </c>
      <c r="R106" s="5" t="inlineStr"/>
    </row>
    <row r="107">
      <c r="A107" t="inlineStr">
        <is>
          <t>US-A-104</t>
        </is>
      </c>
      <c r="B107" t="n">
        <v>355</v>
      </c>
      <c r="C107" t="inlineStr">
        <is>
          <t>Story</t>
        </is>
      </c>
      <c r="D107" s="5" t="inlineStr">
        <is>
          <t xml:space="preserve">        Custom fields on the employee</t>
        </is>
      </c>
      <c r="E107" t="inlineStr">
        <is>
          <t>Step 2 · Organisation and employee core</t>
        </is>
      </c>
      <c r="F107" t="inlineStr">
        <is>
          <t>2c · Employee record, persons, org chart, probation and bulk changes</t>
        </is>
      </c>
      <c r="G107" t="inlineStr">
        <is>
          <t>New</t>
        </is>
      </c>
      <c r="I107">
        <f>IF(H107&lt;&gt;"",H107,G107)</f>
        <v/>
      </c>
      <c r="J107" t="inlineStr">
        <is>
          <t>Step 2c</t>
        </is>
      </c>
      <c r="K107" t="n">
        <v>3</v>
      </c>
      <c r="L107" t="n">
        <v>2</v>
      </c>
      <c r="M107" s="5" t="inlineStr">
        <is>
          <t>As an HR admin, I want to add our own fields to the employee record so that we capture what our company needs.</t>
        </is>
      </c>
      <c r="N107" s="5" t="inlineStr">
        <is>
          <t>• Given a custom field, when created, then it has a type, validation, section, sensitivity class and self-edit flag (YX-EMP-03).
• Given a Confidential custom field, when a user without access reads the record, then it is hidden (YX-EMP-03, YX-SEC-07).
• Given a self-edit field, when the employee changes it, then it saves directly; otherwise only HR can edit (YX-EMP-03).</t>
        </is>
      </c>
      <c r="O107" s="5" t="inlineStr">
        <is>
          <t>YX-EMP-03, YX-SEC-07</t>
        </is>
      </c>
      <c r="P107" t="inlineStr">
        <is>
          <t>M01 §3.1</t>
        </is>
      </c>
      <c r="Q107" t="inlineStr">
        <is>
          <t>US-A-102</t>
        </is>
      </c>
      <c r="R107" s="5" t="inlineStr"/>
    </row>
    <row r="108">
      <c r="A108" t="inlineStr">
        <is>
          <t>US-A-105</t>
        </is>
      </c>
      <c r="B108" t="n">
        <v>356</v>
      </c>
      <c r="C108" t="inlineStr">
        <is>
          <t>Story</t>
        </is>
      </c>
      <c r="D108" s="5" t="inlineStr">
        <is>
          <t xml:space="preserve">        Salary and reimbursement bank accounts</t>
        </is>
      </c>
      <c r="E108" t="inlineStr">
        <is>
          <t>Step 2 · Organisation and employee core</t>
        </is>
      </c>
      <c r="F108" t="inlineStr">
        <is>
          <t>2c · Employee record, persons, org chart, probation and bulk changes</t>
        </is>
      </c>
      <c r="G108" t="inlineStr">
        <is>
          <t>New</t>
        </is>
      </c>
      <c r="I108">
        <f>IF(H108&lt;&gt;"",H108,G108)</f>
        <v/>
      </c>
      <c r="J108" t="inlineStr">
        <is>
          <t>Step 2c</t>
        </is>
      </c>
      <c r="K108" t="n">
        <v>3</v>
      </c>
      <c r="L108" t="n">
        <v>1</v>
      </c>
      <c r="M108" s="5" t="inlineStr">
        <is>
          <t>As an employee, I want my salary bank account on my record so that pay goes to the right account from the right date.</t>
        </is>
      </c>
      <c r="N108" s="5" t="inlineStr">
        <is>
          <t>• Given a salary account, when changed, then it is a dated fact effective from the approved date (YX-HIS-01).
• Given an optional reimbursement account, when added, then it is kept apart from the salary account.
• Given the account number, when shown, then it is masked (••••6789) except to allowed roles (YX-SEC-07, YX-SEC-09).</t>
        </is>
      </c>
      <c r="O108" s="5" t="inlineStr">
        <is>
          <t>YX-HIS-01, YX-SEC-07, YX-SEC-09</t>
        </is>
      </c>
      <c r="P108" t="inlineStr">
        <is>
          <t>M01 §3.1, M01 Q4, P06 §4.1</t>
        </is>
      </c>
      <c r="Q108" t="inlineStr">
        <is>
          <t>US-A-102</t>
        </is>
      </c>
      <c r="R108" s="5" t="inlineStr"/>
    </row>
    <row r="109">
      <c r="A109" t="inlineStr">
        <is>
          <t>US-A-106</t>
        </is>
      </c>
      <c r="B109" t="n">
        <v>357</v>
      </c>
      <c r="C109" t="inlineStr">
        <is>
          <t>Story</t>
        </is>
      </c>
      <c r="D109" s="5" t="inlineStr">
        <is>
          <t xml:space="preserve">        Transfer to another legal entity</t>
        </is>
      </c>
      <c r="E109" t="inlineStr">
        <is>
          <t>Step 2 · Organisation and employee core</t>
        </is>
      </c>
      <c r="F109" t="inlineStr">
        <is>
          <t>2c · Employee record, persons, org chart, probation and bulk changes</t>
        </is>
      </c>
      <c r="G109" t="inlineStr">
        <is>
          <t>New</t>
        </is>
      </c>
      <c r="I109">
        <f>IF(H109&lt;&gt;"",H109,G109)</f>
        <v/>
      </c>
      <c r="J109" t="inlineStr">
        <is>
          <t>Step 2c</t>
        </is>
      </c>
      <c r="K109" t="n">
        <v>5</v>
      </c>
      <c r="L109" t="n">
        <v>2</v>
      </c>
      <c r="M109" s="5" t="inlineStr">
        <is>
          <t>As an HR admin, I want to move a person to another entity with clear options so that PF, ESI and TDS move to the new employer.</t>
        </is>
      </c>
      <c r="N109" s="5" t="inlineStr">
        <is>
          <t>• Given an inter-entity transfer, when approved, then the old employment closes and a new one opens on the same employee (YX-ORG-11).
• Given the five transfer options, when the form opens, then they are pre-filled from company defaults and can be changed (YX-ORG-17).
• Given the chosen options, when previewed, then the impact shows them before confirmation (YX-ORG-17).
• Given the transfer, when done, then person, documents and history stay one employee (YX-ORG-11).</t>
        </is>
      </c>
      <c r="O109" s="5" t="inlineStr">
        <is>
          <t>YX-ORG-11, YX-ORG-17</t>
        </is>
      </c>
      <c r="P109" t="inlineStr">
        <is>
          <t>P01 Q5, M01 §3.3, deferred D-037</t>
        </is>
      </c>
      <c r="Q109" t="inlineStr"/>
      <c r="R109" s="5" t="inlineStr"/>
    </row>
    <row r="110">
      <c r="A110" t="inlineStr">
        <is>
          <t>US-A-107</t>
        </is>
      </c>
      <c r="B110" t="n">
        <v>358</v>
      </c>
      <c r="C110" t="inlineStr">
        <is>
          <t>Story</t>
        </is>
      </c>
      <c r="D110" s="5" t="inlineStr">
        <is>
          <t xml:space="preserve">        Org and employee events reach other parts</t>
        </is>
      </c>
      <c r="E110" t="inlineStr">
        <is>
          <t>Step 2 · Organisation and employee core</t>
        </is>
      </c>
      <c r="F110" t="inlineStr">
        <is>
          <t>2c · Employee record, persons, org chart, probation and bulk changes</t>
        </is>
      </c>
      <c r="G110" t="inlineStr">
        <is>
          <t>New</t>
        </is>
      </c>
      <c r="I110">
        <f>IF(H110&lt;&gt;"",H110,G110)</f>
        <v/>
      </c>
      <c r="J110" t="inlineStr">
        <is>
          <t>Step 2c</t>
        </is>
      </c>
      <c r="K110" t="n">
        <v>5</v>
      </c>
      <c r="L110" t="n">
        <v>1</v>
      </c>
      <c r="M110" s="5" t="inlineStr">
        <is>
          <t>As an HR admin, I want hires and job changes to update logins, managers and access at once so that nobody keeps old access.</t>
        </is>
      </c>
      <c r="N110" s="5" t="inlineStr">
        <is>
          <t>• Given a change becomes effective, when committed, then employee.change.effective goes through an outbox, never for a rolled-back change (YX-HIS-05).
• Given an assignment change, when effective, then implicit Employee, Manager and Department-head grants are recomputed (YX-SEC-04).
• Given an employee with a login, when the manager changes, then User.managerId is derived from the assignment.
• Given a master change, when saved, then org.master.changed is emitted.</t>
        </is>
      </c>
      <c r="O110" s="5" t="inlineStr">
        <is>
          <t>YX-HIS-05, YX-SEC-04</t>
        </is>
      </c>
      <c r="P110" t="inlineStr">
        <is>
          <t>P01 §7, P06 §4.3, deferred D-029, deferred D-035</t>
        </is>
      </c>
      <c r="Q110" t="inlineStr"/>
      <c r="R110" s="5" t="inlineStr"/>
    </row>
    <row r="111">
      <c r="A111" s="9" t="inlineStr">
        <is>
          <t>FT-A-033</t>
        </is>
      </c>
      <c r="B111" s="9" t="n">
        <v>360</v>
      </c>
      <c r="C111" s="9" t="inlineStr">
        <is>
          <t>Feature</t>
        </is>
      </c>
      <c r="D111" s="10" t="inlineStr">
        <is>
          <t xml:space="preserve">    2d · Access, roles, record scopes and field sensitivity</t>
        </is>
      </c>
      <c r="E111" s="9" t="inlineStr">
        <is>
          <t>Step 2 · Organisation and employee core</t>
        </is>
      </c>
      <c r="F111" s="9" t="inlineStr">
        <is>
          <t>2d · Access, roles, record scopes and field sensitivity</t>
        </is>
      </c>
      <c r="G111" s="9" t="inlineStr">
        <is>
          <t>New</t>
        </is>
      </c>
      <c r="H111" s="9" t="n"/>
      <c r="I111" s="9">
        <f>IF(H111&lt;&gt;"",H111,G111)</f>
        <v/>
      </c>
      <c r="J111" s="9" t="inlineStr">
        <is>
          <t>Step 2d</t>
        </is>
      </c>
      <c r="K111" s="9" t="n"/>
      <c r="L111" s="9" t="n">
        <v>1</v>
      </c>
      <c r="M111" s="10" t="inlineStr"/>
      <c r="N111" s="10" t="inlineStr"/>
      <c r="O111" s="10" t="inlineStr"/>
      <c r="P111" s="9" t="inlineStr">
        <is>
          <t>P02</t>
        </is>
      </c>
      <c r="Q111" s="9" t="inlineStr"/>
      <c r="R111" s="10" t="inlineStr"/>
      <c r="S111" s="9" t="n"/>
    </row>
    <row r="112">
      <c r="A112" t="inlineStr">
        <is>
          <t>US-A-110</t>
        </is>
      </c>
      <c r="B112" t="n">
        <v>361</v>
      </c>
      <c r="C112" t="inlineStr">
        <is>
          <t>Story</t>
        </is>
      </c>
      <c r="D112" s="5" t="inlineStr">
        <is>
          <t xml:space="preserve">        Every HR endpoint declares a permission</t>
        </is>
      </c>
      <c r="E112" t="inlineStr">
        <is>
          <t>Step 2 · Organisation and employee core</t>
        </is>
      </c>
      <c r="F112" t="inlineStr">
        <is>
          <t>2d · Access, roles, record scopes and field sensitivity</t>
        </is>
      </c>
      <c r="G112" t="inlineStr">
        <is>
          <t>New</t>
        </is>
      </c>
      <c r="I112">
        <f>IF(H112&lt;&gt;"",H112,G112)</f>
        <v/>
      </c>
      <c r="J112" t="inlineStr">
        <is>
          <t>Step 2d</t>
        </is>
      </c>
      <c r="K112" t="n">
        <v>2</v>
      </c>
      <c r="L112" t="n">
        <v>1</v>
      </c>
      <c r="M112" s="5" t="inlineStr">
        <is>
          <t>As a company admin, I want every HR API to check a permission so that no endpoint is open by mistake.</t>
        </is>
      </c>
      <c r="N112" s="5" t="inlineStr">
        <is>
          <t>• Given a new HR endpoint without a permission, when CI runs, then the build fails (YX-SEC-01).
• Given every report column and export, when defined, then it declares its permission and field class (YX-SEC-01).
• Given the permission catalogue, when listed, then keys follow domain.object.action (YX-SEC-01).</t>
        </is>
      </c>
      <c r="O112" s="5" t="inlineStr">
        <is>
          <t>YX-SEC-01</t>
        </is>
      </c>
      <c r="P112" t="inlineStr">
        <is>
          <t>P02 §4.1</t>
        </is>
      </c>
      <c r="Q112" t="inlineStr"/>
      <c r="R112" s="5" t="inlineStr"/>
    </row>
    <row r="113">
      <c r="A113" t="inlineStr">
        <is>
          <t>US-A-111</t>
        </is>
      </c>
      <c r="B113" t="n">
        <v>362</v>
      </c>
      <c r="C113" t="inlineStr">
        <is>
          <t>Story</t>
        </is>
      </c>
      <c r="D113" s="5" t="inlineStr">
        <is>
          <t xml:space="preserve">        Roles as data, templates and custom roles</t>
        </is>
      </c>
      <c r="E113" t="inlineStr">
        <is>
          <t>Step 2 · Organisation and employee core</t>
        </is>
      </c>
      <c r="F113" t="inlineStr">
        <is>
          <t>2d · Access, roles, record scopes and field sensitivity</t>
        </is>
      </c>
      <c r="G113" t="inlineStr">
        <is>
          <t>New</t>
        </is>
      </c>
      <c r="I113">
        <f>IF(H113&lt;&gt;"",H113,G113)</f>
        <v/>
      </c>
      <c r="J113" t="inlineStr">
        <is>
          <t>Step 2d</t>
        </is>
      </c>
      <c r="K113" t="n">
        <v>5</v>
      </c>
      <c r="L113" t="n">
        <v>1</v>
      </c>
      <c r="M113" s="5" t="inlineStr">
        <is>
          <t>As a company admin, I want to clone a role template or build a custom role so that roles fit our company.</t>
        </is>
      </c>
      <c r="N113" s="5" t="inlineStr">
        <is>
          <t>• Given role templates, when a company starts, then Employee, Manager, HR Admin, HR Executive, Payroll Admin and the others exist (YX-SEC-02).
• Given business logic, when it checks access, then it checks permissions only, never role names (YX-SEC-02).
• Given a template, when edited, then it can be restored to the YukthiX version (YX-SEC-02).
• Given exam-app users, when migrated, then org_admin maps to System Admin + HR Admin and profiles become custom roles (YX-SEC-02).</t>
        </is>
      </c>
      <c r="O113" s="5" t="inlineStr">
        <is>
          <t>YX-SEC-02</t>
        </is>
      </c>
      <c r="P113" t="inlineStr">
        <is>
          <t>P02 §4.2, P02 §8</t>
        </is>
      </c>
      <c r="Q113" t="inlineStr">
        <is>
          <t>US-A-110</t>
        </is>
      </c>
      <c r="R113" s="5" t="inlineStr"/>
    </row>
    <row r="114">
      <c r="A114" t="inlineStr">
        <is>
          <t>US-A-112</t>
        </is>
      </c>
      <c r="B114" t="n">
        <v>363</v>
      </c>
      <c r="C114" t="inlineStr">
        <is>
          <t>Story</t>
        </is>
      </c>
      <c r="D114" s="5" t="inlineStr">
        <is>
          <t xml:space="preserve">        Several role grants per user, each with a scope</t>
        </is>
      </c>
      <c r="E114" t="inlineStr">
        <is>
          <t>Step 2 · Organisation and employee core</t>
        </is>
      </c>
      <c r="F114" t="inlineStr">
        <is>
          <t>2d · Access, roles, record scopes and field sensitivity</t>
        </is>
      </c>
      <c r="G114" t="inlineStr">
        <is>
          <t>New</t>
        </is>
      </c>
      <c r="I114">
        <f>IF(H114&lt;&gt;"",H114,G114)</f>
        <v/>
      </c>
      <c r="J114" t="inlineStr">
        <is>
          <t>Step 2d</t>
        </is>
      </c>
      <c r="K114" t="n">
        <v>5</v>
      </c>
      <c r="L114" t="n">
        <v>1</v>
      </c>
      <c r="M114" s="5" t="inlineStr">
        <is>
          <t>As a company admin, I want to give one person HR Admin for one entity and Payroll for another so that access matches their job.</t>
        </is>
      </c>
      <c r="N114" s="5" t="inlineStr">
        <is>
          <t>• Given a user, when granted several roles, then each grant has its own scope and optional dates (YX-SEC-03).
• Given several grants, when access is checked, then rights are the union of grants (YX-SEC-03).
• Given an auditor grant, when its end date passes, then it expires on its own (YX-SEC-15).
• Given the User.role string, when grants exist, then guards use grants (YX-SEC-03).</t>
        </is>
      </c>
      <c r="O114" s="5" t="inlineStr">
        <is>
          <t>YX-SEC-03, YX-SEC-15</t>
        </is>
      </c>
      <c r="P114" t="inlineStr">
        <is>
          <t>P02 §3, P02 §4.2</t>
        </is>
      </c>
      <c r="Q114" t="inlineStr">
        <is>
          <t>US-A-111</t>
        </is>
      </c>
      <c r="R114" s="5" t="inlineStr"/>
    </row>
    <row r="115">
      <c r="A115" t="inlineStr">
        <is>
          <t>US-A-113</t>
        </is>
      </c>
      <c r="B115" t="n">
        <v>364</v>
      </c>
      <c r="C115" t="inlineStr">
        <is>
          <t>Story</t>
        </is>
      </c>
      <c r="D115" s="5" t="inlineStr">
        <is>
          <t xml:space="preserve">        Implicit Employee, Manager and Department-head grants</t>
        </is>
      </c>
      <c r="E115" t="inlineStr">
        <is>
          <t>Step 2 · Organisation and employee core</t>
        </is>
      </c>
      <c r="F115" t="inlineStr">
        <is>
          <t>2d · Access, roles, record scopes and field sensitivity</t>
        </is>
      </c>
      <c r="G115" t="inlineStr">
        <is>
          <t>New</t>
        </is>
      </c>
      <c r="I115">
        <f>IF(H115&lt;&gt;"",H115,G115)</f>
        <v/>
      </c>
      <c r="J115" t="inlineStr">
        <is>
          <t>Step 2d</t>
        </is>
      </c>
      <c r="K115" t="n">
        <v>3</v>
      </c>
      <c r="L115" t="n">
        <v>1</v>
      </c>
      <c r="M115" s="5" t="inlineStr">
        <is>
          <t>As a manager, I want my access to follow my team automatically so that HR doesn't assign it by hand.</t>
        </is>
      </c>
      <c r="N115" s="5" t="inlineStr">
        <is>
          <t>• Given an employee, when active, then they hold Employee @ self (YX-SEC-04).
• Given anyone with reports, when the assignment changes, then Manager @ team is recomputed (YX-SEC-04).
• Given a department head, when set, then they get Department head @ department subtree (YX-SEC-04).
• Given view vs approve, when defaults apply, then view covers the whole subtree and approve only direct reports (P02 Q2) (YX-SEC-04).</t>
        </is>
      </c>
      <c r="O115" s="5" t="inlineStr">
        <is>
          <t>YX-SEC-04</t>
        </is>
      </c>
      <c r="P115" t="inlineStr">
        <is>
          <t>P02 §3, P02 Q2</t>
        </is>
      </c>
      <c r="Q115" t="inlineStr">
        <is>
          <t>US-A-112, US-A-107</t>
        </is>
      </c>
      <c r="R115" s="5" t="inlineStr"/>
    </row>
    <row r="116">
      <c r="A116" t="inlineStr">
        <is>
          <t>US-A-114</t>
        </is>
      </c>
      <c r="B116" t="n">
        <v>365</v>
      </c>
      <c r="C116" t="inlineStr">
        <is>
          <t>Story</t>
        </is>
      </c>
      <c r="D116" s="5" t="inlineStr">
        <is>
          <t xml:space="preserve">        One visibility service for every read</t>
        </is>
      </c>
      <c r="E116" t="inlineStr">
        <is>
          <t>Step 2 · Organisation and employee core</t>
        </is>
      </c>
      <c r="F116" t="inlineStr">
        <is>
          <t>2d · Access, roles, record scopes and field sensitivity</t>
        </is>
      </c>
      <c r="G116" t="inlineStr">
        <is>
          <t>New</t>
        </is>
      </c>
      <c r="I116">
        <f>IF(H116&lt;&gt;"",H116,G116)</f>
        <v/>
      </c>
      <c r="J116" t="inlineStr">
        <is>
          <t>Step 2d</t>
        </is>
      </c>
      <c r="K116" t="n">
        <v>5</v>
      </c>
      <c r="L116" t="n">
        <v>1</v>
      </c>
      <c r="M116" s="5" t="inlineStr">
        <is>
          <t>As an employee, I want nobody to reach my record by guessing an id so that my data is safe.</t>
        </is>
      </c>
      <c r="N116" s="5" t="inlineStr">
        <is>
          <t>• Given any list, record, report or export, when read, then it passes through the visibility service (YX-SEC-05).
• Given an employee, when they fetch another employee's record by id, then they get nothing (YX-SEC-05).
• Given counts and charts, when shown, then they include only visible records (YX-SEC-05).
• Given a manager transferred out, when the next day comes, then they lose access to the team's new records (YX-SEC-06).</t>
        </is>
      </c>
      <c r="O116" s="5" t="inlineStr">
        <is>
          <t>YX-SEC-05, YX-SEC-06</t>
        </is>
      </c>
      <c r="P116" t="inlineStr">
        <is>
          <t>P02 §4.3</t>
        </is>
      </c>
      <c r="Q116" t="inlineStr">
        <is>
          <t>US-A-113</t>
        </is>
      </c>
      <c r="R116" s="5" t="inlineStr"/>
    </row>
    <row r="117">
      <c r="A117" t="inlineStr">
        <is>
          <t>US-A-115</t>
        </is>
      </c>
      <c r="B117" t="n">
        <v>366</v>
      </c>
      <c r="C117" t="inlineStr">
        <is>
          <t>Story</t>
        </is>
      </c>
      <c r="D117" s="5" t="inlineStr">
        <is>
          <t xml:space="preserve">        Field registry with sensitivity classes</t>
        </is>
      </c>
      <c r="E117" t="inlineStr">
        <is>
          <t>Step 2 · Organisation and employee core</t>
        </is>
      </c>
      <c r="F117" t="inlineStr">
        <is>
          <t>2d · Access, roles, record scopes and field sensitivity</t>
        </is>
      </c>
      <c r="G117" t="inlineStr">
        <is>
          <t>New</t>
        </is>
      </c>
      <c r="I117">
        <f>IF(H117&lt;&gt;"",H117,G117)</f>
        <v/>
      </c>
      <c r="J117" t="inlineStr">
        <is>
          <t>Step 2d</t>
        </is>
      </c>
      <c r="K117" t="n">
        <v>5</v>
      </c>
      <c r="L117" t="n">
        <v>1</v>
      </c>
      <c r="M117" s="5" t="inlineStr">
        <is>
          <t>As an HR admin, I want each field labelled Public to Special so that the server hides or masks what a role may not see.</t>
        </is>
      </c>
      <c r="N117" s="5" t="inlineStr">
        <is>
          <t>• Given every personal field, when registered, then it has a class: Public, Internal, Personal, Confidential or Special (YX-SEC-07).
• Given a role × class level hidden, masked, read, edit or edit_with_approval, when a read happens, then the server redacts (YX-SEC-07).
• Given a write to a field the role cannot edit, when sent, then the server rejects it (YX-SEC-07).
• Given exports and API responses, when produced, then the same rules apply (YX-SEC-07).</t>
        </is>
      </c>
      <c r="O117" s="5" t="inlineStr">
        <is>
          <t>YX-SEC-07</t>
        </is>
      </c>
      <c r="P117" t="inlineStr">
        <is>
          <t>P02 §4.4</t>
        </is>
      </c>
      <c r="Q117" t="inlineStr">
        <is>
          <t>US-A-111</t>
        </is>
      </c>
      <c r="R117" s="5" t="inlineStr"/>
    </row>
    <row r="118">
      <c r="A118" t="inlineStr">
        <is>
          <t>US-A-116</t>
        </is>
      </c>
      <c r="B118" t="n">
        <v>367</v>
      </c>
      <c r="C118" t="inlineStr">
        <is>
          <t>Story</t>
        </is>
      </c>
      <c r="D118" s="5" t="inlineStr">
        <is>
          <t xml:space="preserve">        Masked values with an audited reveal</t>
        </is>
      </c>
      <c r="E118" t="inlineStr">
        <is>
          <t>Step 2 · Organisation and employee core</t>
        </is>
      </c>
      <c r="F118" t="inlineStr">
        <is>
          <t>2d · Access, roles, record scopes and field sensitivity</t>
        </is>
      </c>
      <c r="G118" t="inlineStr">
        <is>
          <t>New</t>
        </is>
      </c>
      <c r="I118">
        <f>IF(H118&lt;&gt;"",H118,G118)</f>
        <v/>
      </c>
      <c r="J118" t="inlineStr">
        <is>
          <t>Step 2d</t>
        </is>
      </c>
      <c r="K118" t="n">
        <v>2</v>
      </c>
      <c r="L118" t="n">
        <v>1</v>
      </c>
      <c r="M118" s="5" t="inlineStr">
        <is>
          <t>As a payroll admin, I want to reveal a masked bank account when needed so that I can work, with a record of each look.</t>
        </is>
      </c>
      <c r="N118" s="5" t="inlineStr">
        <is>
          <t>• Given a masked value, when I have reveal rights and click 'Show', then it is shown (YX-SEC-07).
• Given the reveal, when done, then the audit records who, whose, which field and when (YX-SEC-09).
• Given Aadhaar, when shown to anyone without employee.aadhaar.view, then only the last 4 show (YX-SEC-08).</t>
        </is>
      </c>
      <c r="O118" s="5" t="inlineStr">
        <is>
          <t>YX-SEC-09, YX-SEC-08, YX-SEC-07</t>
        </is>
      </c>
      <c r="P118" t="inlineStr">
        <is>
          <t>P02 §4.4, P02 §7</t>
        </is>
      </c>
      <c r="Q118" t="inlineStr">
        <is>
          <t>US-A-115</t>
        </is>
      </c>
      <c r="R118" s="5" t="inlineStr"/>
    </row>
    <row r="119">
      <c r="A119" t="inlineStr">
        <is>
          <t>US-A-117</t>
        </is>
      </c>
      <c r="B119" t="n">
        <v>368</v>
      </c>
      <c r="C119" t="inlineStr">
        <is>
          <t>Story</t>
        </is>
      </c>
      <c r="D119" s="5" t="inlineStr">
        <is>
          <t xml:space="preserve">        Role risk check and effective-access preview</t>
        </is>
      </c>
      <c r="E119" t="inlineStr">
        <is>
          <t>Step 2 · Organisation and employee core</t>
        </is>
      </c>
      <c r="F119" t="inlineStr">
        <is>
          <t>2d · Access, roles, record scopes and field sensitivity</t>
        </is>
      </c>
      <c r="G119" t="inlineStr">
        <is>
          <t>New</t>
        </is>
      </c>
      <c r="I119">
        <f>IF(H119&lt;&gt;"",H119,G119)</f>
        <v/>
      </c>
      <c r="J119" t="inlineStr">
        <is>
          <t>Step 2d</t>
        </is>
      </c>
      <c r="K119" t="n">
        <v>3</v>
      </c>
      <c r="L119" t="n">
        <v>2</v>
      </c>
      <c r="M119" s="5" t="inlineStr">
        <is>
          <t>As a company admin, I want a warning before I save a risky role so that I don't give too much access by mistake.</t>
        </is>
      </c>
      <c r="N119" s="5" t="inlineStr">
        <is>
          <t>• Given a role with Confidential access over many people or prepare + approve, when saved, then warnings show with an effective-access preview (YX-SEC-18).
• Given I save past the warnings, when confirmed, then it is audited and other admins are notified (YX-SEC-18).
• Given hard limits (restricted areas, self-approval, Aadhaar audit, directory limits), when someone tries to grant past them, then it is not possible (YX-SEC-18).
• Given a System Admin who grants themselves an HR role, when saved, then other admins are notified (YX-SEC-18).</t>
        </is>
      </c>
      <c r="O119" s="5" t="inlineStr">
        <is>
          <t>YX-SEC-18</t>
        </is>
      </c>
      <c r="P119" t="inlineStr">
        <is>
          <t>P02 Q5, P02 Q1, P02 §7</t>
        </is>
      </c>
      <c r="Q119" t="inlineStr">
        <is>
          <t>US-A-112</t>
        </is>
      </c>
      <c r="R119" s="5" t="inlineStr"/>
    </row>
    <row r="120">
      <c r="A120" t="inlineStr">
        <is>
          <t>US-A-118</t>
        </is>
      </c>
      <c r="B120" t="n">
        <v>369</v>
      </c>
      <c r="C120" t="inlineStr">
        <is>
          <t>Story</t>
        </is>
      </c>
      <c r="D120" s="5" t="inlineStr">
        <is>
          <t xml:space="preserve">        Approval for bank, PAN and legal-name changes</t>
        </is>
      </c>
      <c r="E120" t="inlineStr">
        <is>
          <t>Step 2 · Organisation and employee core</t>
        </is>
      </c>
      <c r="F120" t="inlineStr">
        <is>
          <t>2d · Access, roles, record scopes and field sensitivity</t>
        </is>
      </c>
      <c r="G120" t="inlineStr">
        <is>
          <t>New</t>
        </is>
      </c>
      <c r="I120">
        <f>IF(H120&lt;&gt;"",H120,G120)</f>
        <v/>
      </c>
      <c r="J120" t="inlineStr">
        <is>
          <t>Step 2d</t>
        </is>
      </c>
      <c r="K120" t="n">
        <v>3</v>
      </c>
      <c r="L120" t="n">
        <v>1</v>
      </c>
      <c r="M120" s="5" t="inlineStr">
        <is>
          <t>As an employee, I want to request a change of bank account, PAN or legal name with proof so that it is checked before payroll uses it.</t>
        </is>
      </c>
      <c r="N120" s="5" t="inlineStr">
        <is>
          <t>• Given a change to bank account, PAN, legal name or statutory address, when I submit it, then it needs approval with an old → new diff and proof (YX-SEC-13).
• Given the change is approved, when it applies, then the old contact is notified (YX-SEC-13).
• Given a new bank account, when approved, then payouts use it only after the cooling period (YX-SEC-13).
• Given Personal fields like personal phone, when I edit them, then they save directly (YX-SEC-07).</t>
        </is>
      </c>
      <c r="O120" s="5" t="inlineStr">
        <is>
          <t>YX-SEC-13, YX-SEC-07</t>
        </is>
      </c>
      <c r="P120" t="inlineStr">
        <is>
          <t>P02 §4.5, M01 §3.1</t>
        </is>
      </c>
      <c r="Q120" t="inlineStr">
        <is>
          <t>US-A-105, US-A-103</t>
        </is>
      </c>
      <c r="R120" s="5" t="inlineStr"/>
    </row>
    <row r="121">
      <c r="A121" t="inlineStr">
        <is>
          <t>US-A-119</t>
        </is>
      </c>
      <c r="B121" t="n">
        <v>370</v>
      </c>
      <c r="C121" t="inlineStr">
        <is>
          <t>Story</t>
        </is>
      </c>
      <c r="D121" s="5" t="inlineStr">
        <is>
          <t xml:space="preserve">        No self-approval anywhere</t>
        </is>
      </c>
      <c r="E121" t="inlineStr">
        <is>
          <t>Step 2 · Organisation and employee core</t>
        </is>
      </c>
      <c r="F121" t="inlineStr">
        <is>
          <t>2d · Access, roles, record scopes and field sensitivity</t>
        </is>
      </c>
      <c r="G121" t="inlineStr">
        <is>
          <t>New</t>
        </is>
      </c>
      <c r="I121">
        <f>IF(H121&lt;&gt;"",H121,G121)</f>
        <v/>
      </c>
      <c r="J121" t="inlineStr">
        <is>
          <t>Step 2d</t>
        </is>
      </c>
      <c r="K121" t="n">
        <v>2</v>
      </c>
      <c r="L121" t="n">
        <v>1</v>
      </c>
      <c r="M121" s="5" t="inlineStr">
        <is>
          <t>As a company admin, I want nobody to approve their own request or role grant so that there is always a second pair of eyes.</t>
        </is>
      </c>
      <c r="N121" s="5" t="inlineStr">
        <is>
          <t>• Given any request, when the requester or a proxy who raised it tries to approve, then it is refused (YX-SEC-11, YX-SEC-27).
• Given a role grant, when the grantee tries to approve it, then it is refused (YX-SEC-11).
• Given a role grant with Confidential access, when made, then it is an approvable change (YX-SEC-11).</t>
        </is>
      </c>
      <c r="O121" s="5" t="inlineStr">
        <is>
          <t>YX-SEC-11, YX-SEC-27</t>
        </is>
      </c>
      <c r="P121" t="inlineStr">
        <is>
          <t>P02 §4.6</t>
        </is>
      </c>
      <c r="Q121" t="inlineStr">
        <is>
          <t>US-A-112</t>
        </is>
      </c>
      <c r="R121" s="5" t="inlineStr"/>
    </row>
    <row r="122">
      <c r="A122" t="inlineStr">
        <is>
          <t>US-A-120</t>
        </is>
      </c>
      <c r="B122" t="n">
        <v>371</v>
      </c>
      <c r="C122" t="inlineStr">
        <is>
          <t>Story</t>
        </is>
      </c>
      <c r="D122" s="5" t="inlineStr">
        <is>
          <t xml:space="preserve">        Exports and breakdowns hide small groups</t>
        </is>
      </c>
      <c r="E122" t="inlineStr">
        <is>
          <t>Step 2 · Organisation and employee core</t>
        </is>
      </c>
      <c r="F122" t="inlineStr">
        <is>
          <t>2d · Access, roles, record scopes and field sensitivity</t>
        </is>
      </c>
      <c r="G122" t="inlineStr">
        <is>
          <t>New</t>
        </is>
      </c>
      <c r="I122">
        <f>IF(H122&lt;&gt;"",H122,G122)</f>
        <v/>
      </c>
      <c r="J122" t="inlineStr">
        <is>
          <t>Step 2d</t>
        </is>
      </c>
      <c r="K122" t="n">
        <v>3</v>
      </c>
      <c r="L122" t="n">
        <v>2</v>
      </c>
      <c r="M122" s="5" t="inlineStr">
        <is>
          <t>As an employee, I want salary breakdowns of tiny groups hidden so that my pay can't be worked out from a report.</t>
        </is>
      </c>
      <c r="N122" s="5" t="inlineStr">
        <is>
          <t>• Given a breakdown of Confidential or Special data with fewer than the threshold (default 5), when a viewer without individual access opens it, then it shows 'suppressed' (YX-SEC-14).
• Given the threshold, when an admin sets it, then it must be between 3 and 10 (YX-SEC-14).
• Given a viewer with individual-level access, when they open it, then the figures show (YX-SEC-14).</t>
        </is>
      </c>
      <c r="O122" s="5" t="inlineStr">
        <is>
          <t>YX-SEC-14</t>
        </is>
      </c>
      <c r="P122" t="inlineStr">
        <is>
          <t>P02 §4.4, P09 Q2</t>
        </is>
      </c>
      <c r="Q122" t="inlineStr">
        <is>
          <t>US-A-115</t>
        </is>
      </c>
      <c r="R122" s="5" t="inlineStr"/>
    </row>
    <row r="123">
      <c r="A123" s="9" t="inlineStr">
        <is>
          <t>FT-A-034</t>
        </is>
      </c>
      <c r="B123" s="9" t="n">
        <v>380</v>
      </c>
      <c r="C123" s="9" t="inlineStr">
        <is>
          <t>Feature</t>
        </is>
      </c>
      <c r="D123" s="10" t="inlineStr">
        <is>
          <t xml:space="preserve">    2e · People and Settings screens wired</t>
        </is>
      </c>
      <c r="E123" s="9" t="inlineStr">
        <is>
          <t>Step 2 · Organisation and employee core</t>
        </is>
      </c>
      <c r="F123" s="9" t="inlineStr">
        <is>
          <t>2e · People and Settings screens wired</t>
        </is>
      </c>
      <c r="G123" s="9" t="inlineStr">
        <is>
          <t>Active</t>
        </is>
      </c>
      <c r="H123" s="9" t="n"/>
      <c r="I123" s="9">
        <f>IF(H123&lt;&gt;"",H123,G123)</f>
        <v/>
      </c>
      <c r="J123" s="9" t="inlineStr">
        <is>
          <t>Step 2e</t>
        </is>
      </c>
      <c r="K123" s="9" t="n"/>
      <c r="L123" s="9" t="n">
        <v>1</v>
      </c>
      <c r="M123" s="10" t="inlineStr"/>
      <c r="N123" s="10" t="inlineStr"/>
      <c r="O123" s="10" t="inlineStr"/>
      <c r="P123" s="9" t="inlineStr">
        <is>
          <t>APX-D, P01 §8, P02 §7</t>
        </is>
      </c>
      <c r="Q123" s="9" t="inlineStr"/>
      <c r="R123" s="10" t="inlineStr">
        <is>
          <t>feat/yukthix-org · 7c246268 · b090e49b · uncommitted people screens</t>
        </is>
      </c>
      <c r="S123" s="9" t="n"/>
    </row>
    <row r="124">
      <c r="A124" t="inlineStr">
        <is>
          <t>US-A-125</t>
        </is>
      </c>
      <c r="B124" t="n">
        <v>381</v>
      </c>
      <c r="C124" t="inlineStr">
        <is>
          <t>Story</t>
        </is>
      </c>
      <c r="D124" s="5" t="inlineStr">
        <is>
          <t xml:space="preserve">        People screens wired: directory, org chart, team, probation, bulk changes</t>
        </is>
      </c>
      <c r="E124" t="inlineStr">
        <is>
          <t>Step 2 · Organisation and employee core</t>
        </is>
      </c>
      <c r="F124" t="inlineStr">
        <is>
          <t>2e · People and Settings screens wired</t>
        </is>
      </c>
      <c r="G124" t="inlineStr">
        <is>
          <t>Active</t>
        </is>
      </c>
      <c r="I124">
        <f>IF(H124&lt;&gt;"",H124,G124)</f>
        <v/>
      </c>
      <c r="J124" t="inlineStr">
        <is>
          <t>Step 2e</t>
        </is>
      </c>
      <c r="K124" t="n">
        <v>5</v>
      </c>
      <c r="L124" t="n">
        <v>1</v>
      </c>
      <c r="M124" s="5" t="inlineStr">
        <is>
          <t>As an HR admin, I want the People screens to use real data so that I can run day-to-day HR in YukthiX.</t>
        </is>
      </c>
      <c r="N124" s="5" t="inlineStr">
        <is>
          <t>• Given each People page, when opened, then it loads from the /api/v1/people routes (YX-SEC-05).
• Given a user without the permission, when navigation renders, then the page is not shown and the API still refuses (YX-SEC-01).
• Given each wired page, when scan-dead-buttons runs, then it finds 0 dead buttons.</t>
        </is>
      </c>
      <c r="O124" s="5" t="inlineStr">
        <is>
          <t>YX-SEC-05, YX-SEC-01</t>
        </is>
      </c>
      <c r="P124" t="inlineStr">
        <is>
          <t>APX-D, M01 §6</t>
        </is>
      </c>
      <c r="Q124" t="inlineStr"/>
      <c r="R124" s="5" t="inlineStr">
        <is>
          <t>feat/yukthix-org · 7c246268 (history, changes) · uncommitted: people/directory, screens/workforce, orgchart.tsx, history-kit.tsx</t>
        </is>
      </c>
    </row>
    <row r="125">
      <c r="A125" t="inlineStr">
        <is>
          <t>US-A-126</t>
        </is>
      </c>
      <c r="B125" t="n">
        <v>382</v>
      </c>
      <c r="C125" t="inlineStr">
        <is>
          <t>Story</t>
        </is>
      </c>
      <c r="D125" s="5" t="inlineStr">
        <is>
          <t xml:space="preserve">        Employee record workspace screen</t>
        </is>
      </c>
      <c r="E125" t="inlineStr">
        <is>
          <t>Step 2 · Organisation and employee core</t>
        </is>
      </c>
      <c r="F125" t="inlineStr">
        <is>
          <t>2e · People and Settings screens wired</t>
        </is>
      </c>
      <c r="G125" t="inlineStr">
        <is>
          <t>New</t>
        </is>
      </c>
      <c r="I125">
        <f>IF(H125&lt;&gt;"",H125,G125)</f>
        <v/>
      </c>
      <c r="J125" t="inlineStr">
        <is>
          <t>Step 2e</t>
        </is>
      </c>
      <c r="K125" t="n">
        <v>5</v>
      </c>
      <c r="L125" t="n">
        <v>1</v>
      </c>
      <c r="M125" s="5" t="inlineStr">
        <is>
          <t>As an HR admin, I want the employee record screen wired so that I can open any person and see every section I may see.</t>
        </is>
      </c>
      <c r="N125" s="5" t="inlineStr">
        <is>
          <t>• Given the record, when opened, then each section loads and hides what my role may not see (YX-SEC-07).
• Given the Job section, when opened, then it shows the P06 timeline with a 'Change' action (YX-HIS-11).
• Given masked fields, when I may reveal, then 'Show' is offered and audited (YX-SEC-09).</t>
        </is>
      </c>
      <c r="O125" s="5" t="inlineStr">
        <is>
          <t>YX-SEC-07, YX-HIS-11, YX-SEC-09</t>
        </is>
      </c>
      <c r="P125" t="inlineStr">
        <is>
          <t>M01 §3.1, P01 §8</t>
        </is>
      </c>
      <c r="Q125" t="inlineStr">
        <is>
          <t>US-A-102, US-A-115</t>
        </is>
      </c>
      <c r="R125" s="5" t="inlineStr"/>
    </row>
    <row r="126">
      <c r="A126" t="inlineStr">
        <is>
          <t>US-A-127</t>
        </is>
      </c>
      <c r="B126" t="n">
        <v>383</v>
      </c>
      <c r="C126" t="inlineStr">
        <is>
          <t>Story</t>
        </is>
      </c>
      <c r="D126" s="5" t="inlineStr">
        <is>
          <t xml:space="preserve">        Settings › Roles &amp; access screens</t>
        </is>
      </c>
      <c r="E126" t="inlineStr">
        <is>
          <t>Step 2 · Organisation and employee core</t>
        </is>
      </c>
      <c r="F126" t="inlineStr">
        <is>
          <t>2e · People and Settings screens wired</t>
        </is>
      </c>
      <c r="G126" t="inlineStr">
        <is>
          <t>New</t>
        </is>
      </c>
      <c r="I126">
        <f>IF(H126&lt;&gt;"",H126,G126)</f>
        <v/>
      </c>
      <c r="J126" t="inlineStr">
        <is>
          <t>Step 2e</t>
        </is>
      </c>
      <c r="K126" t="n">
        <v>5</v>
      </c>
      <c r="L126" t="n">
        <v>1</v>
      </c>
      <c r="M126" s="5" t="inlineStr">
        <is>
          <t>As a company admin, I want screens to manage roles and grants so that I control access without support.</t>
        </is>
      </c>
      <c r="N126" s="5" t="inlineStr">
        <is>
          <t>• Given Roles &amp; access, when opened, then templates, permissions by module and a field-class matrix show (YX-SEC-02).
• Given a user's access tab, when opened, then grants with scope and dates and an effective-access preview show (YX-SEC-03, YX-SEC-18).
• Given 'who has this role', when clicked, then holders are listed.</t>
        </is>
      </c>
      <c r="O126" s="5" t="inlineStr">
        <is>
          <t>YX-SEC-02, YX-SEC-03, YX-SEC-18</t>
        </is>
      </c>
      <c r="P126" t="inlineStr">
        <is>
          <t>P02 §7</t>
        </is>
      </c>
      <c r="Q126" t="inlineStr">
        <is>
          <t>US-A-111, US-A-117</t>
        </is>
      </c>
      <c r="R126" s="5" t="inlineStr"/>
    </row>
    <row r="127">
      <c r="A127" t="inlineStr">
        <is>
          <t>US-A-128</t>
        </is>
      </c>
      <c r="B127" t="n">
        <v>384</v>
      </c>
      <c r="C127" t="inlineStr">
        <is>
          <t>Story</t>
        </is>
      </c>
      <c r="D127" s="5" t="inlineStr">
        <is>
          <t xml:space="preserve">        Entity and period switcher on every aggregate screen</t>
        </is>
      </c>
      <c r="E127" t="inlineStr">
        <is>
          <t>Step 2 · Organisation and employee core</t>
        </is>
      </c>
      <c r="F127" t="inlineStr">
        <is>
          <t>2e · People and Settings screens wired</t>
        </is>
      </c>
      <c r="G127" t="inlineStr">
        <is>
          <t>New</t>
        </is>
      </c>
      <c r="I127">
        <f>IF(H127&lt;&gt;"",H127,G127)</f>
        <v/>
      </c>
      <c r="J127" t="inlineStr">
        <is>
          <t>Step 2e</t>
        </is>
      </c>
      <c r="K127" t="n">
        <v>3</v>
      </c>
      <c r="L127" t="n">
        <v>1</v>
      </c>
      <c r="M127" s="5" t="inlineStr">
        <is>
          <t>As an HR admin in a group company, I want every summary to say which entities and period it covers so that I never read the wrong company's numbers.</t>
        </is>
      </c>
      <c r="N127" s="5" t="inlineStr">
        <is>
          <t>• Given the app shell, when it loads, then the entity switcher defaults to all entities I may see, never a hidden default (YX-ORG-13).
• Given any aggregate screen, when shown, then it states its scope: entity · location · period (YX-ORG-13).
• Given I narrow the scope, when I move to another aggregate screen, then the same scope applies and is shown (YX-ORG-13).</t>
        </is>
      </c>
      <c r="O127" s="5" t="inlineStr">
        <is>
          <t>YX-ORG-13</t>
        </is>
      </c>
      <c r="P127" t="inlineStr">
        <is>
          <t>P01 §8</t>
        </is>
      </c>
      <c r="Q127" t="inlineStr"/>
      <c r="R127" s="5" t="inlineStr"/>
    </row>
    <row r="128">
      <c r="A128" t="inlineStr">
        <is>
          <t>US-A-129</t>
        </is>
      </c>
      <c r="B128" t="n">
        <v>385</v>
      </c>
      <c r="C128" t="inlineStr">
        <is>
          <t>Story</t>
        </is>
      </c>
      <c r="D128" s="5" t="inlineStr">
        <is>
          <t xml:space="preserve">        Company chooses directory fields</t>
        </is>
      </c>
      <c r="E128" t="inlineStr">
        <is>
          <t>Step 2 · Organisation and employee core</t>
        </is>
      </c>
      <c r="F128" t="inlineStr">
        <is>
          <t>2e · People and Settings screens wired</t>
        </is>
      </c>
      <c r="G128" t="inlineStr">
        <is>
          <t>New</t>
        </is>
      </c>
      <c r="I128">
        <f>IF(H128&lt;&gt;"",H128,G128)</f>
        <v/>
      </c>
      <c r="J128" t="inlineStr">
        <is>
          <t>Step 2e</t>
        </is>
      </c>
      <c r="K128" t="n">
        <v>2</v>
      </c>
      <c r="L128" t="n">
        <v>2</v>
      </c>
      <c r="M128" s="5" t="inlineStr">
        <is>
          <t>As a company admin, I want to choose which fields colleagues see in the directory so that it fits our culture and privacy.</t>
        </is>
      </c>
      <c r="N128" s="5" t="inlineStr">
        <is>
          <t>• Given directory settings, when opened, then only Public, Internal and allow-listed Personal fields can be chosen (YX-SEC-17).
• Given Confidential or Special fields, when listed, then they cannot be selected (YX-SEC-17).
• Given an employee hides their birthday or personal phone, when colleagues search, then it is hidden whatever the company setting (YX-SEC-17).</t>
        </is>
      </c>
      <c r="O128" s="5" t="inlineStr">
        <is>
          <t>YX-SEC-17</t>
        </is>
      </c>
      <c r="P128" t="inlineStr">
        <is>
          <t>P02 Q4</t>
        </is>
      </c>
      <c r="Q128" t="inlineStr">
        <is>
          <t>US-A-094</t>
        </is>
      </c>
      <c r="R128" s="5" t="inlineStr"/>
    </row>
    <row r="129">
      <c r="A129" s="9" t="inlineStr">
        <is>
          <t>FT-A-035</t>
        </is>
      </c>
      <c r="B129" s="9" t="n">
        <v>390</v>
      </c>
      <c r="C129" s="9" t="inlineStr">
        <is>
          <t>Feature</t>
        </is>
      </c>
      <c r="D129" s="10" t="inlineStr">
        <is>
          <t xml:space="preserve">    Step 2 independent security review</t>
        </is>
      </c>
      <c r="E129" s="9" t="inlineStr">
        <is>
          <t>Step 2 · Organisation and employee core</t>
        </is>
      </c>
      <c r="F129" s="9" t="inlineStr">
        <is>
          <t>Step 2 independent security review</t>
        </is>
      </c>
      <c r="G129" s="9" t="inlineStr">
        <is>
          <t>New</t>
        </is>
      </c>
      <c r="H129" s="9" t="n"/>
      <c r="I129" s="9">
        <f>IF(H129&lt;&gt;"",H129,G129)</f>
        <v/>
      </c>
      <c r="J129" s="9" t="inlineStr">
        <is>
          <t>Step 2 review</t>
        </is>
      </c>
      <c r="K129" s="9" t="n"/>
      <c r="L129" s="9" t="n">
        <v>1</v>
      </c>
      <c r="M129" s="10" t="inlineStr"/>
      <c r="N129" s="10" t="inlineStr"/>
      <c r="O129" s="10" t="inlineStr"/>
      <c r="P129" s="9" t="inlineStr">
        <is>
          <t>P01, P02, P06</t>
        </is>
      </c>
      <c r="Q129" s="9" t="inlineStr"/>
      <c r="R129" s="10" t="inlineStr"/>
      <c r="S129" s="9" t="n"/>
    </row>
    <row r="130">
      <c r="A130" t="inlineStr">
        <is>
          <t>US-A-130</t>
        </is>
      </c>
      <c r="B130" t="n">
        <v>391</v>
      </c>
      <c r="C130" t="inlineStr">
        <is>
          <t>Story</t>
        </is>
      </c>
      <c r="D130" s="5" t="inlineStr">
        <is>
          <t xml:space="preserve">        Independent security review of step 2 and fixes</t>
        </is>
      </c>
      <c r="E130" t="inlineStr">
        <is>
          <t>Step 2 · Organisation and employee core</t>
        </is>
      </c>
      <c r="F130" t="inlineStr">
        <is>
          <t>Step 2 independent security review</t>
        </is>
      </c>
      <c r="G130" t="inlineStr">
        <is>
          <t>New</t>
        </is>
      </c>
      <c r="I130">
        <f>IF(H130&lt;&gt;"",H130,G130)</f>
        <v/>
      </c>
      <c r="J130" t="inlineStr">
        <is>
          <t>Step 2 review</t>
        </is>
      </c>
      <c r="K130" t="n">
        <v>5</v>
      </c>
      <c r="L130" t="n">
        <v>1</v>
      </c>
      <c r="M130" s="5" t="inlineStr">
        <is>
          <t>As the founder, I want an independent review of step 2 with every finding fixed so that the people core is safe before the PR.</t>
        </is>
      </c>
      <c r="N130" s="5" t="inlineStr">
        <is>
          <t>• Given the step 2 branch, when reviewed, then cross-company access, id guessing and field leaks are tested (YX-ORG-14, YX-SEC-05, YX-SEC-07).
• Given each finding, when fixed, then a test proves it and the full test run is green.
• Given the review is done, when the PR opens stacked on #130, then the report lists what was fixed and what was accepted.</t>
        </is>
      </c>
      <c r="O130" s="5" t="inlineStr">
        <is>
          <t>YX-ORG-14, YX-SEC-05, YX-SEC-07</t>
        </is>
      </c>
      <c r="P130" t="inlineStr">
        <is>
          <t>BACKEND-ROADMAP.md</t>
        </is>
      </c>
      <c r="Q130" t="inlineStr">
        <is>
          <t>US-A-114, US-A-115, US-A-125</t>
        </is>
      </c>
      <c r="R130" s="5" t="inlineStr"/>
    </row>
    <row r="131">
      <c r="A131" s="7" t="inlineStr">
        <is>
          <t>EP-E-03</t>
        </is>
      </c>
      <c r="B131" s="7" t="n">
        <v>300</v>
      </c>
      <c r="C131" s="7" t="inlineStr">
        <is>
          <t>Epic</t>
        </is>
      </c>
      <c r="D131" s="8" t="inlineStr">
        <is>
          <t>Platform services</t>
        </is>
      </c>
      <c r="E131" s="7" t="inlineStr">
        <is>
          <t>Platform services</t>
        </is>
      </c>
      <c r="F131" s="7" t="inlineStr"/>
      <c r="G131" s="7" t="inlineStr">
        <is>
          <t>New</t>
        </is>
      </c>
      <c r="H131" s="7" t="n"/>
      <c r="I131" s="7">
        <f>IF(H131&lt;&gt;"",H131,G131)</f>
        <v/>
      </c>
      <c r="J131" s="7" t="inlineStr">
        <is>
          <t>Step 2 →</t>
        </is>
      </c>
      <c r="K131" s="7" t="n"/>
      <c r="L131" s="7" t="n"/>
      <c r="M131" s="8" t="inlineStr"/>
      <c r="N131" s="8" t="inlineStr"/>
      <c r="O131" s="8" t="inlineStr"/>
      <c r="P131" s="7" t="inlineStr">
        <is>
          <t>P09, P10, P11, P13, P15, P16, P17, P18, P19, P21, P22, P23, APX-A, APX-B, APX-C, APX-D, APX-E, APX-F, APX-G</t>
        </is>
      </c>
      <c r="Q131" s="7" t="inlineStr"/>
      <c r="R131" s="8" t="inlineStr"/>
      <c r="S131" s="7" t="n"/>
    </row>
    <row r="132">
      <c r="A132" s="9" t="inlineStr">
        <is>
          <t>FT-E-30</t>
        </is>
      </c>
      <c r="B132" s="9" t="n">
        <v>300</v>
      </c>
      <c r="C132" s="9" t="inlineStr">
        <is>
          <t>Feature</t>
        </is>
      </c>
      <c r="D132" s="10" t="inlineStr">
        <is>
          <t xml:space="preserve">    Infrastructure and operations (parked for the engineering team)</t>
        </is>
      </c>
      <c r="E132" s="9" t="inlineStr">
        <is>
          <t>Platform services</t>
        </is>
      </c>
      <c r="F132" s="9" t="inlineStr">
        <is>
          <t>Infrastructure and operations (parked for the engineering team)</t>
        </is>
      </c>
      <c r="G132" s="9" t="inlineStr">
        <is>
          <t>New</t>
        </is>
      </c>
      <c r="H132" s="9" t="n"/>
      <c r="I132" s="9">
        <f>IF(H132&lt;&gt;"",H132,G132)</f>
        <v/>
      </c>
      <c r="J132" s="9" t="inlineStr">
        <is>
          <t>Step 2 · infra decisions</t>
        </is>
      </c>
      <c r="K132" s="9" t="n"/>
      <c r="L132" s="9" t="n"/>
      <c r="M132" s="10" t="inlineStr"/>
      <c r="N132" s="10" t="inlineStr"/>
      <c r="O132" s="10" t="inlineStr"/>
      <c r="P132" s="9" t="inlineStr">
        <is>
          <t>P13</t>
        </is>
      </c>
      <c r="Q132" s="9" t="inlineStr"/>
      <c r="R132" s="10" t="inlineStr"/>
      <c r="S132" s="9" t="n"/>
    </row>
    <row r="133">
      <c r="A133" t="inlineStr">
        <is>
          <t>US-E-206</t>
        </is>
      </c>
      <c r="B133" t="n">
        <v>300</v>
      </c>
      <c r="C133" t="inlineStr">
        <is>
          <t>Story</t>
        </is>
      </c>
      <c r="D133" s="5" t="inlineStr">
        <is>
          <t xml:space="preserve">        CI builds, tests, dependency audit and secret scan</t>
        </is>
      </c>
      <c r="E133" t="inlineStr">
        <is>
          <t>Platform services</t>
        </is>
      </c>
      <c r="F133" t="inlineStr">
        <is>
          <t>Infrastructure and operations (parked for the engineering team)</t>
        </is>
      </c>
      <c r="G133" t="inlineStr">
        <is>
          <t>Done</t>
        </is>
      </c>
      <c r="I133">
        <f>IF(H133&lt;&gt;"",H133,G133)</f>
        <v/>
      </c>
      <c r="J133" t="inlineStr">
        <is>
          <t>Exam app (existing)</t>
        </is>
      </c>
      <c r="K133" t="n">
        <v>3</v>
      </c>
      <c r="L133" t="n">
        <v>1</v>
      </c>
      <c r="M133" s="5" t="inlineStr">
        <is>
          <t>As an engineer, I want every push built, tested and scanned so that broken or unsafe code does not merge.</t>
        </is>
      </c>
      <c r="N133" s="5" t="inlineStr">
        <is>
          <t>• Given a push, when CI runs, then each app builds and unit tests run.
• Given a High or Critical dependency advisory, when CI runs, then it fails.
• Given a committed secret, when CI runs, then the secret scan fails.</t>
        </is>
      </c>
      <c r="O133" s="5" t="inlineStr"/>
      <c r="P133" t="inlineStr">
        <is>
          <t>P13</t>
        </is>
      </c>
      <c r="Q133" t="inlineStr"/>
      <c r="R133" s="5" t="inlineStr">
        <is>
          <t>.github/workflows/ci.yml · Dockerfile · docker-compose.yml</t>
        </is>
      </c>
    </row>
    <row r="134">
      <c r="A134" t="inlineStr">
        <is>
          <t>US-E-207</t>
        </is>
      </c>
      <c r="B134" t="n">
        <v>300</v>
      </c>
      <c r="C134" t="inlineStr">
        <is>
          <t>Story</t>
        </is>
      </c>
      <c r="D134" s="5" t="inlineStr">
        <is>
          <t xml:space="preserve">        Team decides cloud, compute, availability and regions</t>
        </is>
      </c>
      <c r="E134" t="inlineStr">
        <is>
          <t>Platform services</t>
        </is>
      </c>
      <c r="F134" t="inlineStr">
        <is>
          <t>Infrastructure and operations (parked for the engineering team)</t>
        </is>
      </c>
      <c r="G134" t="inlineStr">
        <is>
          <t>New</t>
        </is>
      </c>
      <c r="I134">
        <f>IF(H134&lt;&gt;"",H134,G134)</f>
        <v/>
      </c>
      <c r="J134" t="inlineStr">
        <is>
          <t>Step 2 · infra decisions</t>
        </is>
      </c>
      <c r="K134" t="n">
        <v>3</v>
      </c>
      <c r="L134" t="n">
        <v>1</v>
      </c>
      <c r="M134" s="5" t="inlineStr">
        <is>
          <t>As the founder, I want the engineering team to record infra decisions so that other designs can rely on them.</t>
        </is>
      </c>
      <c r="N134" s="5" t="inlineStr">
        <is>
          <t>• Given P13 questions 1–8, when the team decides, then a full P13 doc is written with YX-OPS rules.
• Given the decision, when recorded, then cloud, compute, SLA / SLO, RPO / RTO and regions are stated.
• Given the cost estimate, when recorded, then pilot and launch monthly costs are listed.</t>
        </is>
      </c>
      <c r="O134" s="5" t="inlineStr"/>
      <c r="P134" t="inlineStr">
        <is>
          <t>P13</t>
        </is>
      </c>
      <c r="Q134" t="inlineStr"/>
      <c r="R134" s="5" t="inlineStr"/>
    </row>
    <row r="135">
      <c r="A135" t="inlineStr">
        <is>
          <t>US-E-208</t>
        </is>
      </c>
      <c r="B135" t="n">
        <v>450</v>
      </c>
      <c r="C135" t="inlineStr">
        <is>
          <t>Story</t>
        </is>
      </c>
      <c r="D135" s="5" t="inlineStr">
        <is>
          <t xml:space="preserve">        Split workers from the API on managed containers</t>
        </is>
      </c>
      <c r="E135" t="inlineStr">
        <is>
          <t>Platform services</t>
        </is>
      </c>
      <c r="F135" t="inlineStr">
        <is>
          <t>Infrastructure and operations (parked for the engineering team)</t>
        </is>
      </c>
      <c r="G135" t="inlineStr">
        <is>
          <t>New</t>
        </is>
      </c>
      <c r="I135">
        <f>IF(H135&lt;&gt;"",H135,G135)</f>
        <v/>
      </c>
      <c r="J135" t="inlineStr">
        <is>
          <t>Step 3 · infra</t>
        </is>
      </c>
      <c r="K135" t="n">
        <v>8</v>
      </c>
      <c r="L135" t="n">
        <v>1</v>
      </c>
      <c r="M135" s="5" t="inlineStr">
        <is>
          <t>As an engineer, I want payroll, PDF, notifications, analytics and proctoring workers separate so that one load spike does not stop the others.</t>
        </is>
      </c>
      <c r="N135" s="5" t="inlineStr">
        <is>
          <t>• Given the chosen platform, when deployed, then API and each worker type run as separate services.
• Given a worker crash, when it happens, then the API keeps serving.
• Given infrastructure as code, when applied, then drift is detected.</t>
        </is>
      </c>
      <c r="O135" s="5" t="inlineStr"/>
      <c r="P135" t="inlineStr">
        <is>
          <t>P13</t>
        </is>
      </c>
      <c r="Q135" t="inlineStr"/>
      <c r="R135" s="5" t="inlineStr"/>
    </row>
    <row r="136">
      <c r="A136" t="inlineStr">
        <is>
          <t>US-E-209</t>
        </is>
      </c>
      <c r="B136" t="n">
        <v>460</v>
      </c>
      <c r="C136" t="inlineStr">
        <is>
          <t>Story</t>
        </is>
      </c>
      <c r="D136" s="5" t="inlineStr">
        <is>
          <t xml:space="preserve">        Release process with feature flags and zero-downtime deploys</t>
        </is>
      </c>
      <c r="E136" t="inlineStr">
        <is>
          <t>Platform services</t>
        </is>
      </c>
      <c r="F136" t="inlineStr">
        <is>
          <t>Infrastructure and operations (parked for the engineering team)</t>
        </is>
      </c>
      <c r="G136" t="inlineStr">
        <is>
          <t>New</t>
        </is>
      </c>
      <c r="I136">
        <f>IF(H136&lt;&gt;"",H136,G136)</f>
        <v/>
      </c>
      <c r="J136" t="inlineStr">
        <is>
          <t>Step 3 · infra</t>
        </is>
      </c>
      <c r="K136" t="n">
        <v>5</v>
      </c>
      <c r="L136" t="n">
        <v>1</v>
      </c>
      <c r="M136" s="5" t="inlineStr">
        <is>
          <t>As an engineer, I want flags and safe deploys so that we release often without breaking payroll days.</t>
        </is>
      </c>
      <c r="N136" s="5" t="inlineStr">
        <is>
          <t>• Given a wave or beta group, when a flag is set, then only that tenant group sees the feature.
• Given a deploy, when it runs, then it is blue-green or rolling with expand-then-contract migrations.
• Given a tenant payroll cut-off, when near, then deploys are frozen for it.</t>
        </is>
      </c>
      <c r="O136" s="5" t="inlineStr"/>
      <c r="P136" t="inlineStr">
        <is>
          <t>P13</t>
        </is>
      </c>
      <c r="Q136" t="inlineStr"/>
      <c r="R136" s="5" t="inlineStr"/>
    </row>
    <row r="137">
      <c r="A137" t="inlineStr">
        <is>
          <t>US-E-210</t>
        </is>
      </c>
      <c r="B137" t="n">
        <v>740</v>
      </c>
      <c r="C137" t="inlineStr">
        <is>
          <t>Story</t>
        </is>
      </c>
      <c r="D137" s="5" t="inlineStr">
        <is>
          <t xml:space="preserve">        Backups, point-in-time recovery and DR in-country</t>
        </is>
      </c>
      <c r="E137" t="inlineStr">
        <is>
          <t>Platform services</t>
        </is>
      </c>
      <c r="F137" t="inlineStr">
        <is>
          <t>Infrastructure and operations (parked for the engineering team)</t>
        </is>
      </c>
      <c r="G137" t="inlineStr">
        <is>
          <t>New</t>
        </is>
      </c>
      <c r="I137">
        <f>IF(H137&lt;&gt;"",H137,G137)</f>
        <v/>
      </c>
      <c r="J137" t="inlineStr">
        <is>
          <t>Step 5 · before payroll pilot</t>
        </is>
      </c>
      <c r="K137" t="n">
        <v>8</v>
      </c>
      <c r="L137" t="n">
        <v>1</v>
      </c>
      <c r="M137" s="5" t="inlineStr">
        <is>
          <t>As an operations owner, I want backups and DR tested so that we can recover from disaster.</t>
        </is>
      </c>
      <c r="N137" s="5" t="inlineStr">
        <is>
          <t>• Given Postgres, when configured, then point-in-time recovery meets RPO ≤ 15 min.
• Given DR, when set up, then it is in a second region inside the same country.
• Given a quarter, when the drill runs, then a full restore and a single-tenant restore succeed within RTO ≤ 4 h.</t>
        </is>
      </c>
      <c r="O137" s="5" t="inlineStr"/>
      <c r="P137" t="inlineStr">
        <is>
          <t>P13</t>
        </is>
      </c>
      <c r="Q137" t="inlineStr"/>
      <c r="R137" s="5" t="inlineStr"/>
    </row>
    <row r="138">
      <c r="A138" t="inlineStr">
        <is>
          <t>US-E-211</t>
        </is>
      </c>
      <c r="B138" t="n">
        <v>745</v>
      </c>
      <c r="C138" t="inlineStr">
        <is>
          <t>Story</t>
        </is>
      </c>
      <c r="D138" s="5" t="inlineStr">
        <is>
          <t xml:space="preserve">        Monitoring, logs, alerts and on-call</t>
        </is>
      </c>
      <c r="E138" t="inlineStr">
        <is>
          <t>Platform services</t>
        </is>
      </c>
      <c r="F138" t="inlineStr">
        <is>
          <t>Infrastructure and operations (parked for the engineering team)</t>
        </is>
      </c>
      <c r="G138" t="inlineStr">
        <is>
          <t>New</t>
        </is>
      </c>
      <c r="I138">
        <f>IF(H138&lt;&gt;"",H138,G138)</f>
        <v/>
      </c>
      <c r="J138" t="inlineStr">
        <is>
          <t>Step 5 · before payroll pilot</t>
        </is>
      </c>
      <c r="K138" t="n">
        <v>8</v>
      </c>
      <c r="L138" t="n">
        <v>1</v>
      </c>
      <c r="M138" s="5" t="inlineStr">
        <is>
          <t>As an on-call engineer, I want traces, logs and alerts so that I find problems before customers do.</t>
        </is>
      </c>
      <c r="N138" s="5" t="inlineStr">
        <is>
          <t>• Given services, when instrumented, then OpenTelemetry traces and metrics are collected.
• Given logs, when stored, then PII is redacted per P02 classes and kept at least 1 year.
• Given an alert, when fired, then the on-call rota is paged; runbooks exist for payroll day, statutory deadline, drive day, DR and key rotation.</t>
        </is>
      </c>
      <c r="O138" s="5" t="inlineStr"/>
      <c r="P138" t="inlineStr">
        <is>
          <t>P13</t>
        </is>
      </c>
      <c r="Q138" t="inlineStr"/>
      <c r="R138" s="5" t="inlineStr"/>
    </row>
    <row r="139">
      <c r="A139" t="inlineStr">
        <is>
          <t>US-E-212</t>
        </is>
      </c>
      <c r="B139" t="n">
        <v>748</v>
      </c>
      <c r="C139" t="inlineStr">
        <is>
          <t>Story</t>
        </is>
      </c>
      <c r="D139" s="5" t="inlineStr">
        <is>
          <t xml:space="preserve">        End-to-end tests in CI and the payroll regression pack</t>
        </is>
      </c>
      <c r="E139" t="inlineStr">
        <is>
          <t>Platform services</t>
        </is>
      </c>
      <c r="F139" t="inlineStr">
        <is>
          <t>Infrastructure and operations (parked for the engineering team)</t>
        </is>
      </c>
      <c r="G139" t="inlineStr">
        <is>
          <t>New</t>
        </is>
      </c>
      <c r="I139">
        <f>IF(H139&lt;&gt;"",H139,G139)</f>
        <v/>
      </c>
      <c r="J139" t="inlineStr">
        <is>
          <t>Step 5 · before payroll pilot</t>
        </is>
      </c>
      <c r="K139" t="n">
        <v>5</v>
      </c>
      <c r="L139" t="n">
        <v>1</v>
      </c>
      <c r="M139" s="5" t="inlineStr">
        <is>
          <t>As an engineer, I want e2e tests on Postgres and golden payslips in CI so that payroll never regresses.</t>
        </is>
      </c>
      <c r="N139" s="5" t="inlineStr">
        <is>
          <t>• Given CI, when it runs, then e2e tests run against Postgres.
• Given the payroll regression pack, when a release is cut, then golden payslips per rule-pack version must match.
• Given a big drive or release, when planned, then load tests run first.</t>
        </is>
      </c>
      <c r="O139" s="5" t="inlineStr"/>
      <c r="P139" t="inlineStr">
        <is>
          <t>P13</t>
        </is>
      </c>
      <c r="Q139" t="inlineStr"/>
      <c r="R139" s="5" t="inlineStr"/>
    </row>
    <row r="140">
      <c r="A140" t="inlineStr">
        <is>
          <t>US-E-213</t>
        </is>
      </c>
      <c r="B140" t="n">
        <v>795</v>
      </c>
      <c r="C140" t="inlineStr">
        <is>
          <t>Story</t>
        </is>
      </c>
      <c r="D140" s="5" t="inlineStr">
        <is>
          <t xml:space="preserve">        Synthetic probes and public status page</t>
        </is>
      </c>
      <c r="E140" t="inlineStr">
        <is>
          <t>Platform services</t>
        </is>
      </c>
      <c r="F140" t="inlineStr">
        <is>
          <t>Infrastructure and operations (parked for the engineering team)</t>
        </is>
      </c>
      <c r="G140" t="inlineStr">
        <is>
          <t>New</t>
        </is>
      </c>
      <c r="I140">
        <f>IF(H140&lt;&gt;"",H140,G140)</f>
        <v/>
      </c>
      <c r="J140" t="inlineStr">
        <is>
          <t>Before public launch</t>
        </is>
      </c>
      <c r="K140" t="n">
        <v>5</v>
      </c>
      <c r="L140" t="n">
        <v>1</v>
      </c>
      <c r="M140" s="5" t="inlineStr">
        <is>
          <t>As a customer, I want a status page fed by real checks so that I trust the service.</t>
        </is>
      </c>
      <c r="N140" s="5" t="inlineStr">
        <is>
          <t>• Given probe tenants, when probes run every few minutes from each region, then OTP login, payslip view, bank-file (sandbox), test start and careers apply are checked.
• Given a failure confirmed from two locations, when found, then on-call is paged and the status page component is updated.
• Given probe tenants, when billing or product analytics run, then they are excluded.</t>
        </is>
      </c>
      <c r="O140" s="5" t="inlineStr"/>
      <c r="P140" t="inlineStr">
        <is>
          <t>P13</t>
        </is>
      </c>
      <c r="Q140" t="inlineStr"/>
      <c r="R140" s="5" t="inlineStr"/>
    </row>
    <row r="141">
      <c r="A141" s="9" t="inlineStr">
        <is>
          <t>FT-E-31</t>
        </is>
      </c>
      <c r="B141" s="9" t="n">
        <v>300</v>
      </c>
      <c r="C141" s="9" t="inlineStr">
        <is>
          <t>Feature</t>
        </is>
      </c>
      <c r="D141" s="10" t="inlineStr">
        <is>
          <t xml:space="preserve">    Screens, navigation and help shell</t>
        </is>
      </c>
      <c r="E141" s="9" t="inlineStr">
        <is>
          <t>Platform services</t>
        </is>
      </c>
      <c r="F141" s="9" t="inlineStr">
        <is>
          <t>Screens, navigation and help shell</t>
        </is>
      </c>
      <c r="G141" s="9" t="inlineStr">
        <is>
          <t>New</t>
        </is>
      </c>
      <c r="H141" s="9" t="n"/>
      <c r="I141" s="9">
        <f>IF(H141&lt;&gt;"",H141,G141)</f>
        <v/>
      </c>
      <c r="J141" s="9" t="inlineStr">
        <is>
          <t>Step 2</t>
        </is>
      </c>
      <c r="K141" s="9" t="n"/>
      <c r="L141" s="9" t="n"/>
      <c r="M141" s="10" t="inlineStr"/>
      <c r="N141" s="10" t="inlineStr"/>
      <c r="O141" s="10" t="inlineStr"/>
      <c r="P141" s="9" t="inlineStr">
        <is>
          <t>APX-D</t>
        </is>
      </c>
      <c r="Q141" s="9" t="inlineStr"/>
      <c r="R141" s="10" t="inlineStr"/>
      <c r="S141" s="9" t="n"/>
    </row>
    <row r="142">
      <c r="A142" t="inlineStr">
        <is>
          <t>US-E-214</t>
        </is>
      </c>
      <c r="B142" t="n">
        <v>300</v>
      </c>
      <c r="C142" t="inlineStr">
        <is>
          <t>Story</t>
        </is>
      </c>
      <c r="D142" s="5" t="inlineStr">
        <is>
          <t xml:space="preserve">        Desktop navigation, module menus and screen registry</t>
        </is>
      </c>
      <c r="E142" t="inlineStr">
        <is>
          <t>Platform services</t>
        </is>
      </c>
      <c r="F142" t="inlineStr">
        <is>
          <t>Screens, navigation and help shell</t>
        </is>
      </c>
      <c r="G142" t="inlineStr">
        <is>
          <t>Active</t>
        </is>
      </c>
      <c r="I142">
        <f>IF(H142&lt;&gt;"",H142,G142)</f>
        <v/>
      </c>
      <c r="J142" t="inlineStr">
        <is>
          <t>Step 2</t>
        </is>
      </c>
      <c r="K142" t="n">
        <v>5</v>
      </c>
      <c r="L142" t="n">
        <v>1</v>
      </c>
      <c r="M142" s="5" t="inlineStr">
        <is>
          <t>As a user, I want one clear navigation for all modules so that I find screens quickly.</t>
        </is>
      </c>
      <c r="N142" s="5" t="inlineStr">
        <is>
          <t>• Given my products and roles, when I open the app, then only menus I can use are shown (APX-D §1).
• Given each screen in APX-D §2, when built, then it is registered with its ID, audience and wave.
• Given a registered screen without a route, when CI runs, then it is listed as a gap.</t>
        </is>
      </c>
      <c r="O142" s="5" t="inlineStr"/>
      <c r="P142" t="inlineStr">
        <is>
          <t>APX-D</t>
        </is>
      </c>
      <c r="Q142" t="inlineStr"/>
      <c r="R142" s="5" t="inlineStr">
        <is>
          <t>apps/web/app/yx/(app) · packages/yx-ui/src/screens (UI prototype for all groups)</t>
        </is>
      </c>
    </row>
    <row r="143">
      <c r="A143" t="inlineStr">
        <is>
          <t>US-E-215</t>
        </is>
      </c>
      <c r="B143" t="n">
        <v>300</v>
      </c>
      <c r="C143" t="inlineStr">
        <is>
          <t>Story</t>
        </is>
      </c>
      <c r="D143" s="5" t="inlineStr">
        <is>
          <t xml:space="preserve">        Settings map and settings search</t>
        </is>
      </c>
      <c r="E143" t="inlineStr">
        <is>
          <t>Platform services</t>
        </is>
      </c>
      <c r="F143" t="inlineStr">
        <is>
          <t>Screens, navigation and help shell</t>
        </is>
      </c>
      <c r="G143" t="inlineStr">
        <is>
          <t>New</t>
        </is>
      </c>
      <c r="I143">
        <f>IF(H143&lt;&gt;"",H143,G143)</f>
        <v/>
      </c>
      <c r="J143" t="inlineStr">
        <is>
          <t>Step 2</t>
        </is>
      </c>
      <c r="K143" t="n">
        <v>3</v>
      </c>
      <c r="L143" t="n">
        <v>1</v>
      </c>
      <c r="M143" s="5" t="inlineStr">
        <is>
          <t>As an admin, I want settings grouped by owner with search so that I find any setting fast.</t>
        </is>
      </c>
      <c r="N143" s="5" t="inlineStr">
        <is>
          <t>• Given the APX-D §3 settings map, when I open Settings, then groups and pages follow it.
• Given a setting name or synonym, when I search, then the right page opens (P17 settings source).
• Given a setting I cannot edit, when shown, then it is read-only.</t>
        </is>
      </c>
      <c r="O143" s="5" t="inlineStr"/>
      <c r="P143" t="inlineStr">
        <is>
          <t>APX-D</t>
        </is>
      </c>
      <c r="Q143" t="inlineStr">
        <is>
          <t>US-E-214</t>
        </is>
      </c>
      <c r="R143" s="5" t="inlineStr"/>
    </row>
    <row r="144">
      <c r="A144" t="inlineStr">
        <is>
          <t>US-E-216</t>
        </is>
      </c>
      <c r="B144" t="n">
        <v>300</v>
      </c>
      <c r="C144" t="inlineStr">
        <is>
          <t>Story</t>
        </is>
      </c>
      <c r="D144" s="5" t="inlineStr">
        <is>
          <t xml:space="preserve">        In-app help and onboarding tips</t>
        </is>
      </c>
      <c r="E144" t="inlineStr">
        <is>
          <t>Platform services</t>
        </is>
      </c>
      <c r="F144" t="inlineStr">
        <is>
          <t>Screens, navigation and help shell</t>
        </is>
      </c>
      <c r="G144" t="inlineStr">
        <is>
          <t>New</t>
        </is>
      </c>
      <c r="I144">
        <f>IF(H144&lt;&gt;"",H144,G144)</f>
        <v/>
      </c>
      <c r="J144" t="inlineStr">
        <is>
          <t>Step 2</t>
        </is>
      </c>
      <c r="K144" t="n">
        <v>3</v>
      </c>
      <c r="L144" t="n">
        <v>2</v>
      </c>
      <c r="M144" s="5" t="inlineStr">
        <is>
          <t>As a new user, I want short help and first-use tips so that I learn the app without training.</t>
        </is>
      </c>
      <c r="N144" s="5" t="inlineStr">
        <is>
          <t>• Given a screen, when I open help, then the help topic for that screen ID is shown.
• Given my first visit, when I open a module, then a short tour is offered and can be skipped.
• Given help topics, when searched, then they appear in global search.</t>
        </is>
      </c>
      <c r="O144" s="5" t="inlineStr"/>
      <c r="P144" t="inlineStr">
        <is>
          <t>APX-D</t>
        </is>
      </c>
      <c r="Q144" t="inlineStr">
        <is>
          <t>US-E-214</t>
        </is>
      </c>
      <c r="R144" s="5" t="inlineStr"/>
    </row>
    <row r="145">
      <c r="A145" s="9" t="inlineStr">
        <is>
          <t>FT-E-32</t>
        </is>
      </c>
      <c r="B145" s="9" t="n">
        <v>302</v>
      </c>
      <c r="C145" s="9" t="inlineStr">
        <is>
          <t>Feature</t>
        </is>
      </c>
      <c r="D145" s="10" t="inlineStr">
        <is>
          <t xml:space="preserve">    API-first and headless platform</t>
        </is>
      </c>
      <c r="E145" s="9" t="inlineStr">
        <is>
          <t>Platform services</t>
        </is>
      </c>
      <c r="F145" s="9" t="inlineStr">
        <is>
          <t>API-first and headless platform</t>
        </is>
      </c>
      <c r="G145" s="9" t="inlineStr">
        <is>
          <t>New</t>
        </is>
      </c>
      <c r="H145" s="9" t="n"/>
      <c r="I145" s="9">
        <f>IF(H145&lt;&gt;"",H145,G145)</f>
        <v/>
      </c>
      <c r="J145" s="9" t="inlineStr">
        <is>
          <t>Step 2</t>
        </is>
      </c>
      <c r="K145" s="9" t="n"/>
      <c r="L145" s="9" t="n"/>
      <c r="M145" s="10" t="inlineStr"/>
      <c r="N145" s="10" t="inlineStr"/>
      <c r="O145" s="10" t="inlineStr">
        <is>
          <t>YX-API-01, YX-API-02, YX-API-03, YX-API-04, YX-API-05, YX-API-06, YX-API-07, YX-API-08, YX-API-09, YX-API-10, YX-API-11, YX-API-12, YX-API-13, YX-API-14, YX-API-15, YX-INT-04</t>
        </is>
      </c>
      <c r="P145" s="9" t="inlineStr">
        <is>
          <t>P11</t>
        </is>
      </c>
      <c r="Q145" s="9" t="inlineStr"/>
      <c r="R145" s="10" t="inlineStr"/>
      <c r="S145" s="9" t="n"/>
    </row>
    <row r="146">
      <c r="A146" t="inlineStr">
        <is>
          <t>US-E-217</t>
        </is>
      </c>
      <c r="B146" t="n">
        <v>302</v>
      </c>
      <c r="C146" t="inlineStr">
        <is>
          <t>Story</t>
        </is>
      </c>
      <c r="D146" s="5" t="inlineStr">
        <is>
          <t xml:space="preserve">        All business rules in the API; our apps use the same API</t>
        </is>
      </c>
      <c r="E146" t="inlineStr">
        <is>
          <t>Platform services</t>
        </is>
      </c>
      <c r="F146" t="inlineStr">
        <is>
          <t>API-first and headless platform</t>
        </is>
      </c>
      <c r="G146" t="inlineStr">
        <is>
          <t>New</t>
        </is>
      </c>
      <c r="I146">
        <f>IF(H146&lt;&gt;"",H146,G146)</f>
        <v/>
      </c>
      <c r="J146" t="inlineStr">
        <is>
          <t>Step 2</t>
        </is>
      </c>
      <c r="K146" t="n">
        <v>3</v>
      </c>
      <c r="L146" t="n">
        <v>1</v>
      </c>
      <c r="M146" s="5" t="inlineStr">
        <is>
          <t>As an architect, I want every rule enforced in the API so that web, mobile and partners get the same behaviour.</t>
        </is>
      </c>
      <c r="N146" s="5" t="inlineStr">
        <is>
          <t>• Given any figure in the web or mobile app, when computed, then the API also enforces it (YX-API-01).
• Given an action in our apps, when performed, then it goes through an API route (YX-API-02).
• Given public-class routes, when called by our apps or by external clients, then they behave the same; first-party routes add no extra rights (YX-API-02).</t>
        </is>
      </c>
      <c r="O146" s="5" t="inlineStr">
        <is>
          <t>YX-API-01, YX-API-02</t>
        </is>
      </c>
      <c r="P146" t="inlineStr">
        <is>
          <t>P11</t>
        </is>
      </c>
      <c r="Q146" t="inlineStr"/>
      <c r="R146" s="5" t="inlineStr"/>
    </row>
    <row r="147">
      <c r="A147" t="inlineStr">
        <is>
          <t>US-E-218</t>
        </is>
      </c>
      <c r="B147" t="n">
        <v>302</v>
      </c>
      <c r="C147" t="inlineStr">
        <is>
          <t>Story</t>
        </is>
      </c>
      <c r="D147" s="5" t="inlineStr">
        <is>
          <t xml:space="preserve">        Named, scoped, rotatable API keys and OAuth apps</t>
        </is>
      </c>
      <c r="E147" t="inlineStr">
        <is>
          <t>Platform services</t>
        </is>
      </c>
      <c r="F147" t="inlineStr">
        <is>
          <t>API-first and headless platform</t>
        </is>
      </c>
      <c r="G147" t="inlineStr">
        <is>
          <t>Active</t>
        </is>
      </c>
      <c r="I147">
        <f>IF(H147&lt;&gt;"",H147,G147)</f>
        <v/>
      </c>
      <c r="J147" t="inlineStr">
        <is>
          <t>Step 2</t>
        </is>
      </c>
      <c r="K147" t="n">
        <v>5</v>
      </c>
      <c r="L147" t="n">
        <v>1</v>
      </c>
      <c r="M147" s="5" t="inlineStr">
        <is>
          <t>As an admin, I want several named keys with scopes so that each integration has only the access it needs.</t>
        </is>
      </c>
      <c r="N147" s="5" t="inlineStr">
        <is>
          <t>• Given a request with a key or token, when handled, then it is tenant-scoped by RLS and checked by P02 incl. field classes (YX-API-03).
• Given a key, when created, then it can never exceed its owner’s or grant’s rights (YX-API-03).
• Given a key, when rotated, then the old one stops after the overlap period.
• Given public API and webhooks, when used, then they apply the same scopes and field classes as the app (YX-INT-04).</t>
        </is>
      </c>
      <c r="O147" s="5" t="inlineStr">
        <is>
          <t>YX-API-03, YX-INT-04</t>
        </is>
      </c>
      <c r="P147" t="inlineStr">
        <is>
          <t>P11</t>
        </is>
      </c>
      <c r="Q147" t="inlineStr">
        <is>
          <t>US-E-217</t>
        </is>
      </c>
      <c r="R147" s="5" t="inlineStr">
        <is>
          <t>apps/api/src/public-api (api-key-auth.guard.ts) — one key per org today; named scoped keys and OAuth are new</t>
        </is>
      </c>
    </row>
    <row r="148">
      <c r="A148" t="inlineStr">
        <is>
          <t>US-E-219</t>
        </is>
      </c>
      <c r="B148" t="n">
        <v>302</v>
      </c>
      <c r="C148" t="inlineStr">
        <is>
          <t>Story</t>
        </is>
      </c>
      <c r="D148" s="5" t="inlineStr">
        <is>
          <t xml:space="preserve">        OpenAPI 3.1 generated in CI with breaking-change check</t>
        </is>
      </c>
      <c r="E148" t="inlineStr">
        <is>
          <t>Platform services</t>
        </is>
      </c>
      <c r="F148" t="inlineStr">
        <is>
          <t>API-first and headless platform</t>
        </is>
      </c>
      <c r="G148" t="inlineStr">
        <is>
          <t>New</t>
        </is>
      </c>
      <c r="I148">
        <f>IF(H148&lt;&gt;"",H148,G148)</f>
        <v/>
      </c>
      <c r="J148" t="inlineStr">
        <is>
          <t>Step 2</t>
        </is>
      </c>
      <c r="K148" t="n">
        <v>5</v>
      </c>
      <c r="L148" t="n">
        <v>1</v>
      </c>
      <c r="M148" s="5" t="inlineStr">
        <is>
          <t>As a developer, I want accurate API docs so that I integrate without guessing.</t>
        </is>
      </c>
      <c r="N148" s="5" t="inlineStr">
        <is>
          <t>• Given a public route, when it is undocumented, then the CI build fails (YX-API-04).
• Given a change that breaks the published contract, when no new major version exists, then CI fails (YX-API-04).
• Given a deprecated route or field, when called, then Deprecation and Sunset headers are sent and users are emailed (YX-API-13).</t>
        </is>
      </c>
      <c r="O148" s="5" t="inlineStr">
        <is>
          <t>YX-API-04, YX-API-13</t>
        </is>
      </c>
      <c r="P148" t="inlineStr">
        <is>
          <t>P11</t>
        </is>
      </c>
      <c r="Q148" t="inlineStr">
        <is>
          <t>US-E-217</t>
        </is>
      </c>
      <c r="R148" s="5" t="inlineStr"/>
    </row>
    <row r="149">
      <c r="A149" t="inlineStr">
        <is>
          <t>US-E-220</t>
        </is>
      </c>
      <c r="B149" t="n">
        <v>302</v>
      </c>
      <c r="C149" t="inlineStr">
        <is>
          <t>Story</t>
        </is>
      </c>
      <c r="D149" s="5" t="inlineStr">
        <is>
          <t xml:space="preserve">        Idempotency keys on writes</t>
        </is>
      </c>
      <c r="E149" t="inlineStr">
        <is>
          <t>Platform services</t>
        </is>
      </c>
      <c r="F149" t="inlineStr">
        <is>
          <t>API-first and headless platform</t>
        </is>
      </c>
      <c r="G149" t="inlineStr">
        <is>
          <t>New</t>
        </is>
      </c>
      <c r="I149">
        <f>IF(H149&lt;&gt;"",H149,G149)</f>
        <v/>
      </c>
      <c r="J149" t="inlineStr">
        <is>
          <t>Step 2</t>
        </is>
      </c>
      <c r="K149" t="n">
        <v>3</v>
      </c>
      <c r="L149" t="n">
        <v>1</v>
      </c>
      <c r="M149" s="5" t="inlineStr">
        <is>
          <t>As a developer, I want to retry writes safely so that network errors do not create duplicates.</t>
        </is>
      </c>
      <c r="N149" s="5" t="inlineStr">
        <is>
          <t>• Given the same Idempotency-Key and body, when replayed, then the original result is returned (YX-API-05).
• Given the same key with a different body, when sent, then 409 is returned (YX-API-05).
• Given an expired key, when sent, then it is treated as new.</t>
        </is>
      </c>
      <c r="O149" s="5" t="inlineStr">
        <is>
          <t>YX-API-05</t>
        </is>
      </c>
      <c r="P149" t="inlineStr">
        <is>
          <t>P11</t>
        </is>
      </c>
      <c r="Q149" t="inlineStr">
        <is>
          <t>US-E-217</t>
        </is>
      </c>
      <c r="R149" s="5" t="inlineStr"/>
    </row>
    <row r="150">
      <c r="A150" t="inlineStr">
        <is>
          <t>US-E-221</t>
        </is>
      </c>
      <c r="B150" t="n">
        <v>302</v>
      </c>
      <c r="C150" t="inlineStr">
        <is>
          <t>Story</t>
        </is>
      </c>
      <c r="D150" s="5" t="inlineStr">
        <is>
          <t xml:space="preserve">        Cursor pagination, filters, sorting and sparse fields</t>
        </is>
      </c>
      <c r="E150" t="inlineStr">
        <is>
          <t>Platform services</t>
        </is>
      </c>
      <c r="F150" t="inlineStr">
        <is>
          <t>API-first and headless platform</t>
        </is>
      </c>
      <c r="G150" t="inlineStr">
        <is>
          <t>New</t>
        </is>
      </c>
      <c r="I150">
        <f>IF(H150&lt;&gt;"",H150,G150)</f>
        <v/>
      </c>
      <c r="J150" t="inlineStr">
        <is>
          <t>Step 2</t>
        </is>
      </c>
      <c r="K150" t="n">
        <v>3</v>
      </c>
      <c r="L150" t="n">
        <v>1</v>
      </c>
      <c r="M150" s="5" t="inlineStr">
        <is>
          <t>As a developer, I want consistent list APIs so that I can page and filter large data.</t>
        </is>
      </c>
      <c r="N150" s="5" t="inlineStr">
        <is>
          <t>• Given a list, when called, then cursor pagination, documented filters and sorts work (YX-API-06).
• Given fields=, when used, then only those fields return (YX-API-06).
• Given a field class the caller lacks, when returned, then the field is omitted, not nulled (YX-API-06).</t>
        </is>
      </c>
      <c r="O150" s="5" t="inlineStr">
        <is>
          <t>YX-API-06</t>
        </is>
      </c>
      <c r="P150" t="inlineStr">
        <is>
          <t>P11</t>
        </is>
      </c>
      <c r="Q150" t="inlineStr">
        <is>
          <t>US-E-218</t>
        </is>
      </c>
      <c r="R150" s="5" t="inlineStr"/>
    </row>
    <row r="151">
      <c r="A151" t="inlineStr">
        <is>
          <t>US-E-222</t>
        </is>
      </c>
      <c r="B151" t="n">
        <v>302</v>
      </c>
      <c r="C151" t="inlineStr">
        <is>
          <t>Story</t>
        </is>
      </c>
      <c r="D151" s="5" t="inlineStr">
        <is>
          <t xml:space="preserve">        One error format (RFC 9457)</t>
        </is>
      </c>
      <c r="E151" t="inlineStr">
        <is>
          <t>Platform services</t>
        </is>
      </c>
      <c r="F151" t="inlineStr">
        <is>
          <t>API-first and headless platform</t>
        </is>
      </c>
      <c r="G151" t="inlineStr">
        <is>
          <t>New</t>
        </is>
      </c>
      <c r="I151">
        <f>IF(H151&lt;&gt;"",H151,G151)</f>
        <v/>
      </c>
      <c r="J151" t="inlineStr">
        <is>
          <t>Step 2</t>
        </is>
      </c>
      <c r="K151" t="n">
        <v>2</v>
      </c>
      <c r="L151" t="n">
        <v>1</v>
      </c>
      <c r="M151" s="5" t="inlineStr">
        <is>
          <t>As a developer, I want one error shape so that I handle errors in one place.</t>
        </is>
      </c>
      <c r="N151" s="5" t="inlineStr">
        <is>
          <t>• Given any error, when returned, then it is RFC 9457 problem details with a stable code (YX-API-07).
• Given a validation error, when returned, then field errors are listed (YX-API-07).
• Given the same validation, when shown in the UI, then the message matches (YX-API-07).</t>
        </is>
      </c>
      <c r="O151" s="5" t="inlineStr">
        <is>
          <t>YX-API-07</t>
        </is>
      </c>
      <c r="P151" t="inlineStr">
        <is>
          <t>P11</t>
        </is>
      </c>
      <c r="Q151" t="inlineStr">
        <is>
          <t>US-E-217</t>
        </is>
      </c>
      <c r="R151" s="5" t="inlineStr"/>
    </row>
    <row r="152">
      <c r="A152" t="inlineStr">
        <is>
          <t>US-E-223</t>
        </is>
      </c>
      <c r="B152" t="n">
        <v>302</v>
      </c>
      <c r="C152" t="inlineStr">
        <is>
          <t>Story</t>
        </is>
      </c>
      <c r="D152" s="5" t="inlineStr">
        <is>
          <t xml:space="preserve">        Rate limits per key and tenant with headers</t>
        </is>
      </c>
      <c r="E152" t="inlineStr">
        <is>
          <t>Platform services</t>
        </is>
      </c>
      <c r="F152" t="inlineStr">
        <is>
          <t>API-first and headless platform</t>
        </is>
      </c>
      <c r="G152" t="inlineStr">
        <is>
          <t>Active</t>
        </is>
      </c>
      <c r="I152">
        <f>IF(H152&lt;&gt;"",H152,G152)</f>
        <v/>
      </c>
      <c r="J152" t="inlineStr">
        <is>
          <t>Step 2</t>
        </is>
      </c>
      <c r="K152" t="n">
        <v>3</v>
      </c>
      <c r="L152" t="n">
        <v>1</v>
      </c>
      <c r="M152" s="5" t="inlineStr">
        <is>
          <t>As a platform owner, I want fair-use limits so that one client cannot slow others.</t>
        </is>
      </c>
      <c r="N152" s="5" t="inlineStr">
        <is>
          <t>• Given a key, token, user or tenant, when the plan limit is passed, then requests are limited (YX-API-08).
• Given a response, when sent, then RateLimit-* headers are included (YX-API-08).
• Given our own apps, when used interactively below the tenant quota, then they are never blocked (YX-API-08).</t>
        </is>
      </c>
      <c r="O152" s="5" t="inlineStr">
        <is>
          <t>YX-API-08</t>
        </is>
      </c>
      <c r="P152" t="inlineStr">
        <is>
          <t>P11</t>
        </is>
      </c>
      <c r="Q152" t="inlineStr">
        <is>
          <t>US-E-218</t>
        </is>
      </c>
      <c r="R152" s="5" t="inlineStr">
        <is>
          <t>apps/api/src/public-api/public-api-throttler.guard.ts · apps/api/src/rate-limit-tiers.ts — Redis throttler exists; per-plan limits and headers are new</t>
        </is>
      </c>
    </row>
    <row r="153">
      <c r="A153" t="inlineStr">
        <is>
          <t>US-E-224</t>
        </is>
      </c>
      <c r="B153" t="n">
        <v>302</v>
      </c>
      <c r="C153" t="inlineStr">
        <is>
          <t>Story</t>
        </is>
      </c>
      <c r="D153" s="5" t="inlineStr">
        <is>
          <t xml:space="preserve">        Multiple signed webhook endpoints with replay</t>
        </is>
      </c>
      <c r="E153" t="inlineStr">
        <is>
          <t>Platform services</t>
        </is>
      </c>
      <c r="F153" t="inlineStr">
        <is>
          <t>API-first and headless platform</t>
        </is>
      </c>
      <c r="G153" t="inlineStr">
        <is>
          <t>Active</t>
        </is>
      </c>
      <c r="I153">
        <f>IF(H153&lt;&gt;"",H153,G153)</f>
        <v/>
      </c>
      <c r="J153" t="inlineStr">
        <is>
          <t>Step 2</t>
        </is>
      </c>
      <c r="K153" t="n">
        <v>5</v>
      </c>
      <c r="L153" t="n">
        <v>1</v>
      </c>
      <c r="M153" s="5" t="inlineStr">
        <is>
          <t>As a developer, I want several webhook endpoints with signed events and replay so that my systems stay in sync.</t>
        </is>
      </c>
      <c r="N153" s="5" t="inlineStr">
        <is>
          <t>• Given an event, when delivered, then it is signed HMAC-SHA256 with a timestamp and replay window ≤ 5 min (YX-API-09).
• Given failures, when retried, then backoff runs for up to 24 h, then the endpoint is disabled and admins are notified (YX-API-09).
• Given a past delivery, when I replay it, then it is sent again (YX-API-09).
• Given a Confidential or Special entity, when the payload is built, then it has ids and change type only (YX-API-10).</t>
        </is>
      </c>
      <c r="O153" s="5" t="inlineStr">
        <is>
          <t>YX-API-09, YX-API-10</t>
        </is>
      </c>
      <c r="P153" t="inlineStr">
        <is>
          <t>P11</t>
        </is>
      </c>
      <c r="Q153" t="inlineStr">
        <is>
          <t>US-E-218</t>
        </is>
      </c>
      <c r="R153" s="5" t="inlineStr">
        <is>
          <t>apps/api/src/jobs/webhook-delivery.worker.service.ts (createHmac) · WebhookDelivery — one signed URL per org exists; multiple endpoints and replay are new</t>
        </is>
      </c>
    </row>
    <row r="154">
      <c r="A154" t="inlineStr">
        <is>
          <t>US-E-225</t>
        </is>
      </c>
      <c r="B154" t="n">
        <v>302</v>
      </c>
      <c r="C154" t="inlineStr">
        <is>
          <t>Story</t>
        </is>
      </c>
      <c r="D154" s="5" t="inlineStr">
        <is>
          <t xml:space="preserve">        Every API write audited with caller identity</t>
        </is>
      </c>
      <c r="E154" t="inlineStr">
        <is>
          <t>Platform services</t>
        </is>
      </c>
      <c r="F154" t="inlineStr">
        <is>
          <t>API-first and headless platform</t>
        </is>
      </c>
      <c r="G154" t="inlineStr">
        <is>
          <t>New</t>
        </is>
      </c>
      <c r="I154">
        <f>IF(H154&lt;&gt;"",H154,G154)</f>
        <v/>
      </c>
      <c r="J154" t="inlineStr">
        <is>
          <t>Step 2</t>
        </is>
      </c>
      <c r="K154" t="n">
        <v>3</v>
      </c>
      <c r="L154" t="n">
        <v>1</v>
      </c>
      <c r="M154" s="5" t="inlineStr">
        <is>
          <t>As a DPO, I want API writes audited with who called so that "who accessed my data" includes apps.</t>
        </is>
      </c>
      <c r="N154" s="5" t="inlineStr">
        <is>
          <t>• Given any API write, when done, then it is audited with user, key name or OAuth app + user (YX-API-11).
• Given "who accessed my data", when an employee opens it, then API access by apps and keys is included (YX-API-11).
• Given an audit query, when run, then API entries can be filtered by key.</t>
        </is>
      </c>
      <c r="O154" s="5" t="inlineStr">
        <is>
          <t>YX-API-11</t>
        </is>
      </c>
      <c r="P154" t="inlineStr">
        <is>
          <t>P11</t>
        </is>
      </c>
      <c r="Q154" t="inlineStr">
        <is>
          <t>US-E-218</t>
        </is>
      </c>
      <c r="R154" s="5" t="inlineStr"/>
    </row>
    <row r="155">
      <c r="A155" t="inlineStr">
        <is>
          <t>US-E-227</t>
        </is>
      </c>
      <c r="B155" t="n">
        <v>480</v>
      </c>
      <c r="C155" t="inlineStr">
        <is>
          <t>Story</t>
        </is>
      </c>
      <c r="D155" s="5" t="inlineStr">
        <is>
          <t xml:space="preserve">        GraphQL over the same service layer, safely limited</t>
        </is>
      </c>
      <c r="E155" t="inlineStr">
        <is>
          <t>Platform services</t>
        </is>
      </c>
      <c r="F155" t="inlineStr">
        <is>
          <t>API-first and headless platform</t>
        </is>
      </c>
      <c r="G155" t="inlineStr">
        <is>
          <t>New</t>
        </is>
      </c>
      <c r="I155">
        <f>IF(H155&lt;&gt;"",H155,G155)</f>
        <v/>
      </c>
      <c r="J155" t="inlineStr">
        <is>
          <t>Step 3</t>
        </is>
      </c>
      <c r="K155" t="n">
        <v>8</v>
      </c>
      <c r="L155" t="n">
        <v>2</v>
      </c>
      <c r="M155" s="5" t="inlineStr">
        <is>
          <t>As a developer, I want GraphQL that matches REST so that I can choose either.</t>
        </is>
      </c>
      <c r="N155" s="5" t="inlineStr">
        <is>
          <t>• Given the same call by REST or GraphQL, when made, then data, errors, permissions and audit match (YX-API-14).
• Given a deep or costly query, when sent, then depth and complexity limits refuse it (YX-API-15).
• Given an unauthorised field, when requested, then it resolves to an error, never a silent leak (YX-API-15).
• Given production, when a non-developer key asks for introspection, then it is disabled; our apps use persisted queries (YX-API-15).</t>
        </is>
      </c>
      <c r="O155" s="5" t="inlineStr">
        <is>
          <t>YX-API-14, YX-API-15</t>
        </is>
      </c>
      <c r="P155" t="inlineStr">
        <is>
          <t>P11</t>
        </is>
      </c>
      <c r="Q155" t="inlineStr">
        <is>
          <t>US-E-221</t>
        </is>
      </c>
      <c r="R155" s="5" t="inlineStr"/>
    </row>
    <row r="156">
      <c r="A156" t="inlineStr">
        <is>
          <t>US-E-226</t>
        </is>
      </c>
      <c r="B156" t="n">
        <v>730</v>
      </c>
      <c r="C156" t="inlineStr">
        <is>
          <t>Story</t>
        </is>
      </c>
      <c r="D156" s="5" t="inlineStr">
        <is>
          <t xml:space="preserve">        Payroll writes need a payroll-write scope and approvals</t>
        </is>
      </c>
      <c r="E156" t="inlineStr">
        <is>
          <t>Platform services</t>
        </is>
      </c>
      <c r="F156" t="inlineStr">
        <is>
          <t>API-first and headless platform</t>
        </is>
      </c>
      <c r="G156" t="inlineStr">
        <is>
          <t>New</t>
        </is>
      </c>
      <c r="I156">
        <f>IF(H156&lt;&gt;"",H156,G156)</f>
        <v/>
      </c>
      <c r="J156" t="inlineStr">
        <is>
          <t>Step 5</t>
        </is>
      </c>
      <c r="K156" t="n">
        <v>3</v>
      </c>
      <c r="L156" t="n">
        <v>1</v>
      </c>
      <c r="M156" s="5" t="inlineStr">
        <is>
          <t>As a payroll admin, I want API payroll actions to follow the same approvals so that the API is not a back door.</t>
        </is>
      </c>
      <c r="N156" s="5" t="inlineStr">
        <is>
          <t>• Given a payroll or statutory write, when the key lacks payroll-write scope, then it is refused (YX-API-12).
• Given a run approval through the API, when made, then P03 approvals and maker ≠ checker still apply (YX-API-12).
• Given a locked period, when an API write targets it, then it is refused (YX-API-12).</t>
        </is>
      </c>
      <c r="O156" s="5" t="inlineStr">
        <is>
          <t>YX-API-12</t>
        </is>
      </c>
      <c r="P156" t="inlineStr">
        <is>
          <t>P11</t>
        </is>
      </c>
      <c r="Q156" t="inlineStr">
        <is>
          <t>US-E-218</t>
        </is>
      </c>
      <c r="R156" s="5" t="inlineStr"/>
    </row>
    <row r="157">
      <c r="A157" s="9" t="inlineStr">
        <is>
          <t>FT-E-33</t>
        </is>
      </c>
      <c r="B157" s="9" t="n">
        <v>305</v>
      </c>
      <c r="C157" s="9" t="inlineStr">
        <is>
          <t>Feature</t>
        </is>
      </c>
      <c r="D157" s="10" t="inlineStr">
        <is>
          <t xml:space="preserve">    Notification and event catalogues</t>
        </is>
      </c>
      <c r="E157" s="9" t="inlineStr">
        <is>
          <t>Platform services</t>
        </is>
      </c>
      <c r="F157" s="9" t="inlineStr">
        <is>
          <t>Notification and event catalogues</t>
        </is>
      </c>
      <c r="G157" s="9" t="inlineStr">
        <is>
          <t>New</t>
        </is>
      </c>
      <c r="H157" s="9" t="n"/>
      <c r="I157" s="9">
        <f>IF(H157&lt;&gt;"",H157,G157)</f>
        <v/>
      </c>
      <c r="J157" s="9" t="inlineStr">
        <is>
          <t>Step 2</t>
        </is>
      </c>
      <c r="K157" s="9" t="n"/>
      <c r="L157" s="9" t="n"/>
      <c r="M157" s="10" t="inlineStr"/>
      <c r="N157" s="10" t="inlineStr"/>
      <c r="O157" s="10" t="inlineStr"/>
      <c r="P157" s="9" t="inlineStr">
        <is>
          <t>APX-A, APX-B</t>
        </is>
      </c>
      <c r="Q157" s="9" t="inlineStr"/>
      <c r="R157" s="10" t="inlineStr"/>
      <c r="S157" s="9" t="n"/>
    </row>
    <row r="158">
      <c r="A158" t="inlineStr">
        <is>
          <t>US-E-228</t>
        </is>
      </c>
      <c r="B158" t="n">
        <v>305</v>
      </c>
      <c r="C158" t="inlineStr">
        <is>
          <t>Story</t>
        </is>
      </c>
      <c r="D158" s="5" t="inlineStr">
        <is>
          <t xml:space="preserve">        Notification catalogue registered in code</t>
        </is>
      </c>
      <c r="E158" t="inlineStr">
        <is>
          <t>Platform services</t>
        </is>
      </c>
      <c r="F158" t="inlineStr">
        <is>
          <t>Notification and event catalogues</t>
        </is>
      </c>
      <c r="G158" t="inlineStr">
        <is>
          <t>Active</t>
        </is>
      </c>
      <c r="I158">
        <f>IF(H158&lt;&gt;"",H158,G158)</f>
        <v/>
      </c>
      <c r="J158" t="inlineStr">
        <is>
          <t>Step 2</t>
        </is>
      </c>
      <c r="K158" t="n">
        <v>3</v>
      </c>
      <c r="L158" t="n">
        <v>1</v>
      </c>
      <c r="M158" s="5" t="inlineStr">
        <is>
          <t>As a product owner, I want every APX-A notification registered in code so that nothing is sent that is not in the catalogue.</t>
        </is>
      </c>
      <c r="N158" s="5" t="inlineStr">
        <is>
          <t>• Given an APX-A row, when built, then it is registered with key, category, audience, channels and default on / off.
• Given code that sends a key not in the registry, when CI runs, then it fails.
• Given the registry, when exported, then it matches APX-A row for row.</t>
        </is>
      </c>
      <c r="O158" s="5" t="inlineStr"/>
      <c r="P158" t="inlineStr">
        <is>
          <t>APX-A, APX-B</t>
        </is>
      </c>
      <c r="Q158" t="inlineStr"/>
      <c r="R158" s="5" t="inlineStr">
        <is>
          <t>apps/api/src/notifications/notification-types.ts · NotificationDelivery, TenantNotificationPolicy models — exam-app types exist; full APX-A registry is new</t>
        </is>
      </c>
    </row>
    <row r="159">
      <c r="A159" t="inlineStr">
        <is>
          <t>US-E-229</t>
        </is>
      </c>
      <c r="B159" t="n">
        <v>305</v>
      </c>
      <c r="C159" t="inlineStr">
        <is>
          <t>Story</t>
        </is>
      </c>
      <c r="D159" s="5" t="inlineStr">
        <is>
          <t xml:space="preserve">        Event catalogue and outbox</t>
        </is>
      </c>
      <c r="E159" t="inlineStr">
        <is>
          <t>Platform services</t>
        </is>
      </c>
      <c r="F159" t="inlineStr">
        <is>
          <t>Notification and event catalogues</t>
        </is>
      </c>
      <c r="G159" t="inlineStr">
        <is>
          <t>Active</t>
        </is>
      </c>
      <c r="I159">
        <f>IF(H159&lt;&gt;"",H159,G159)</f>
        <v/>
      </c>
      <c r="J159" t="inlineStr">
        <is>
          <t>Step 2</t>
        </is>
      </c>
      <c r="K159" t="n">
        <v>5</v>
      </c>
      <c r="L159" t="n">
        <v>1</v>
      </c>
      <c r="M159" s="5" t="inlineStr">
        <is>
          <t>As an integration owner, I want every APX-B event registered and published after commit so that consumers can rely on it.</t>
        </is>
      </c>
      <c r="N159" s="5" t="inlineStr">
        <is>
          <t>• Given an APX-B event, when built, then it is registered with name, version, payload schema and data class.
• Given a domain change, when committed, then the event goes to the outbox and is published after commit.
• Given an event not in the registry, when emitted, then CI fails.</t>
        </is>
      </c>
      <c r="O159" s="5" t="inlineStr"/>
      <c r="P159" t="inlineStr">
        <is>
          <t>APX-A, APX-B</t>
        </is>
      </c>
      <c r="Q159" t="inlineStr"/>
      <c r="R159" s="5" t="inlineStr">
        <is>
          <t>apps/api/src/integrations/integration-events.service.ts (post-commit emit, retries) — outbound events exist; APX-B registry and outbox are new</t>
        </is>
      </c>
    </row>
    <row r="160">
      <c r="A160" s="9" t="inlineStr">
        <is>
          <t>FT-E-34</t>
        </is>
      </c>
      <c r="B160" s="9" t="n">
        <v>320</v>
      </c>
      <c r="C160" s="9" t="inlineStr">
        <is>
          <t>Feature</t>
        </is>
      </c>
      <c r="D160" s="10" t="inlineStr">
        <is>
          <t xml:space="preserve">    Setup hub, go-live readiness and policy editors</t>
        </is>
      </c>
      <c r="E160" s="9" t="inlineStr">
        <is>
          <t>Platform services</t>
        </is>
      </c>
      <c r="F160" s="9" t="inlineStr">
        <is>
          <t>Setup hub, go-live readiness and policy editors</t>
        </is>
      </c>
      <c r="G160" s="9" t="inlineStr">
        <is>
          <t>New</t>
        </is>
      </c>
      <c r="H160" s="9" t="n"/>
      <c r="I160" s="9">
        <f>IF(H160&lt;&gt;"",H160,G160)</f>
        <v/>
      </c>
      <c r="J160" s="9" t="inlineStr">
        <is>
          <t>Step 2</t>
        </is>
      </c>
      <c r="K160" s="9" t="n"/>
      <c r="L160" s="9" t="n"/>
      <c r="M160" s="10" t="inlineStr"/>
      <c r="N160" s="10" t="inlineStr"/>
      <c r="O160" s="10" t="inlineStr">
        <is>
          <t>YX-ORG-23, YX-ORG-24, YX-ORG-25</t>
        </is>
      </c>
      <c r="P160" s="9" t="inlineStr">
        <is>
          <t>APX-E</t>
        </is>
      </c>
      <c r="Q160" s="9" t="inlineStr"/>
      <c r="R160" s="10" t="inlineStr"/>
      <c r="S160" s="9" t="n"/>
    </row>
    <row r="161">
      <c r="A161" t="inlineStr">
        <is>
          <t>US-E-230</t>
        </is>
      </c>
      <c r="B161" t="n">
        <v>320</v>
      </c>
      <c r="C161" t="inlineStr">
        <is>
          <t>Story</t>
        </is>
      </c>
      <c r="D161" s="5" t="inlineStr">
        <is>
          <t xml:space="preserve">        Setup hub with cards and starter templates</t>
        </is>
      </c>
      <c r="E161" t="inlineStr">
        <is>
          <t>Platform services</t>
        </is>
      </c>
      <c r="F161" t="inlineStr">
        <is>
          <t>Setup hub, go-live readiness and policy editors</t>
        </is>
      </c>
      <c r="G161" t="inlineStr">
        <is>
          <t>New</t>
        </is>
      </c>
      <c r="I161">
        <f>IF(H161&lt;&gt;"",H161,G161)</f>
        <v/>
      </c>
      <c r="J161" t="inlineStr">
        <is>
          <t>Step 2</t>
        </is>
      </c>
      <c r="K161" t="n">
        <v>5</v>
      </c>
      <c r="L161" t="n">
        <v>1</v>
      </c>
      <c r="M161" s="5" t="inlineStr">
        <is>
          <t>As a system admin, I want one setup hub with a card per area so that I know what to set up next.</t>
        </is>
      </c>
      <c r="N161" s="5" t="inlineStr">
        <is>
          <t>• Given modules register setup steps in code, when I open the hub, then I see one card per area for my products (YX-ORG-23).
• Given a step, when shown, then it has required / optional flag, dependencies and a computed completion check (YX-ORG-23).
• Given a product is switched on, when the hub applies starters, then each starter has the starter badge and ⚑ items list "Review before go-live" (YX-ORG-23).
• Given a newer YukthiX starter, when published, then company values are not overwritten; a diff is offered (YX-ORG-23).</t>
        </is>
      </c>
      <c r="O161" s="5" t="inlineStr">
        <is>
          <t>YX-ORG-23</t>
        </is>
      </c>
      <c r="P161" t="inlineStr">
        <is>
          <t>APX-E</t>
        </is>
      </c>
      <c r="Q161" t="inlineStr">
        <is>
          <t>US-E-214</t>
        </is>
      </c>
      <c r="R161" s="5" t="inlineStr"/>
    </row>
    <row r="162">
      <c r="A162" t="inlineStr">
        <is>
          <t>US-E-231</t>
        </is>
      </c>
      <c r="B162" t="n">
        <v>320</v>
      </c>
      <c r="C162" t="inlineStr">
        <is>
          <t>Story</t>
        </is>
      </c>
      <c r="D162" s="5" t="inlineStr">
        <is>
          <t xml:space="preserve">        Go-live readiness checks per module and entity</t>
        </is>
      </c>
      <c r="E162" t="inlineStr">
        <is>
          <t>Platform services</t>
        </is>
      </c>
      <c r="F162" t="inlineStr">
        <is>
          <t>Setup hub, go-live readiness and policy editors</t>
        </is>
      </c>
      <c r="G162" t="inlineStr">
        <is>
          <t>New</t>
        </is>
      </c>
      <c r="I162">
        <f>IF(H162&lt;&gt;"",H162,G162)</f>
        <v/>
      </c>
      <c r="J162" t="inlineStr">
        <is>
          <t>Step 2</t>
        </is>
      </c>
      <c r="K162" t="n">
        <v>5</v>
      </c>
      <c r="L162" t="n">
        <v>1</v>
      </c>
      <c r="M162" s="5" t="inlineStr">
        <is>
          <t>As an HR admin, I want readiness checks before employees see a module so that we go live safely.</t>
        </is>
      </c>
      <c r="N162" s="5" t="inlineStr">
        <is>
          <t>• Given registered checks, when run, then each is blocking or advisory (YX-ORG-24).
• Given a blocking check failing for a legal entity, when we try to go live, then employee-facing features for that module stay off (YX-ORG-24).
• Given all blocking checks pass, when signed off, then the module goes live for that entity and the sign-off is audited (YX-ORG-24).</t>
        </is>
      </c>
      <c r="O162" s="5" t="inlineStr">
        <is>
          <t>YX-ORG-24</t>
        </is>
      </c>
      <c r="P162" t="inlineStr">
        <is>
          <t>APX-E</t>
        </is>
      </c>
      <c r="Q162" t="inlineStr">
        <is>
          <t>US-E-230</t>
        </is>
      </c>
      <c r="R162" s="5" t="inlineStr"/>
    </row>
    <row r="163">
      <c r="A163" t="inlineStr">
        <is>
          <t>US-E-232</t>
        </is>
      </c>
      <c r="B163" t="n">
        <v>320</v>
      </c>
      <c r="C163" t="inlineStr">
        <is>
          <t>Story</t>
        </is>
      </c>
      <c r="D163" s="5" t="inlineStr">
        <is>
          <t xml:space="preserve">        Every company policy has a registered editor</t>
        </is>
      </c>
      <c r="E163" t="inlineStr">
        <is>
          <t>Platform services</t>
        </is>
      </c>
      <c r="F163" t="inlineStr">
        <is>
          <t>Setup hub, go-live readiness and policy editors</t>
        </is>
      </c>
      <c r="G163" t="inlineStr">
        <is>
          <t>New</t>
        </is>
      </c>
      <c r="I163">
        <f>IF(H163&lt;&gt;"",H163,G163)</f>
        <v/>
      </c>
      <c r="J163" t="inlineStr">
        <is>
          <t>Step 2</t>
        </is>
      </c>
      <c r="K163" t="n">
        <v>3</v>
      </c>
      <c r="L163" t="n">
        <v>1</v>
      </c>
      <c r="M163" s="5" t="inlineStr">
        <is>
          <t>As a product owner, I want every setting to have an editor so that admins can change any policy themselves.</t>
        </is>
      </c>
      <c r="N163" s="5" t="inlineStr">
        <is>
          <t>• Given a setting key or policy record, when registered, then it declares editor screen, Settings group, scopes, dated flag and starter or P07 source (YX-ORG-25).
• Given a registered key without an editor route, when CI runs, then the build fails (YX-ORG-25).
• Given the APX-E §3 inventory, when checked, then every row maps to a registered key.</t>
        </is>
      </c>
      <c r="O163" s="5" t="inlineStr">
        <is>
          <t>YX-ORG-25</t>
        </is>
      </c>
      <c r="P163" t="inlineStr">
        <is>
          <t>APX-E</t>
        </is>
      </c>
      <c r="Q163" t="inlineStr">
        <is>
          <t>US-E-230</t>
        </is>
      </c>
      <c r="R163" s="5" t="inlineStr"/>
    </row>
    <row r="164">
      <c r="A164" s="9" t="inlineStr">
        <is>
          <t>FT-E-35</t>
        </is>
      </c>
      <c r="B164" s="9" t="n">
        <v>330</v>
      </c>
      <c r="C164" s="9" t="inlineStr">
        <is>
          <t>Feature</t>
        </is>
      </c>
      <c r="D164" s="10" t="inlineStr">
        <is>
          <t xml:space="preserve">    Custom fields, custom objects and form builder</t>
        </is>
      </c>
      <c r="E164" s="9" t="inlineStr">
        <is>
          <t>Platform services</t>
        </is>
      </c>
      <c r="F164" s="9" t="inlineStr">
        <is>
          <t>Custom fields, custom objects and form builder</t>
        </is>
      </c>
      <c r="G164" s="9" t="inlineStr">
        <is>
          <t>New</t>
        </is>
      </c>
      <c r="H164" s="9" t="n"/>
      <c r="I164" s="9">
        <f>IF(H164&lt;&gt;"",H164,G164)</f>
        <v/>
      </c>
      <c r="J164" s="9" t="inlineStr">
        <is>
          <t>Step 2</t>
        </is>
      </c>
      <c r="K164" s="9" t="n"/>
      <c r="L164" s="9" t="n"/>
      <c r="M164" s="10" t="inlineStr"/>
      <c r="N164" s="10" t="inlineStr"/>
      <c r="O164" s="10" t="inlineStr">
        <is>
          <t>YX-API-16, YX-CUST-01, YX-CUST-02, YX-CUST-03, YX-CUST-04, YX-CUST-05, YX-CUST-06, YX-CUST-07, YX-CUST-08, YX-CUST-09, YX-CUST-10, YX-CUST-11</t>
        </is>
      </c>
      <c r="P164" s="9" t="inlineStr">
        <is>
          <t>P18</t>
        </is>
      </c>
      <c r="Q164" s="9" t="inlineStr"/>
      <c r="R164" s="10" t="inlineStr"/>
      <c r="S164" s="9" t="n"/>
    </row>
    <row r="165">
      <c r="A165" t="inlineStr">
        <is>
          <t>US-E-233</t>
        </is>
      </c>
      <c r="B165" t="n">
        <v>330</v>
      </c>
      <c r="C165" t="inlineStr">
        <is>
          <t>Story</t>
        </is>
      </c>
      <c r="D165" s="5" t="inlineStr">
        <is>
          <t xml:space="preserve">        Custom fields with one field class each</t>
        </is>
      </c>
      <c r="E165" t="inlineStr">
        <is>
          <t>Platform services</t>
        </is>
      </c>
      <c r="F165" t="inlineStr">
        <is>
          <t>Custom fields, custom objects and form builder</t>
        </is>
      </c>
      <c r="G165" t="inlineStr">
        <is>
          <t>Active</t>
        </is>
      </c>
      <c r="I165">
        <f>IF(H165&lt;&gt;"",H165,G165)</f>
        <v/>
      </c>
      <c r="J165" t="inlineStr">
        <is>
          <t>Step 2</t>
        </is>
      </c>
      <c r="K165" t="n">
        <v>5</v>
      </c>
      <c r="L165" t="n">
        <v>1</v>
      </c>
      <c r="M165" s="5" t="inlineStr">
        <is>
          <t>As an HR admin, I want custom fields on employees and other records so that we track what our company needs.</t>
        </is>
      </c>
      <c r="N165" s="5" t="inlineStr">
        <is>
          <t>• Given a custom field, when created, then it has exactly one P02 field class applied in reads, writes, API, exports, reports, search and AI (YX-CUST-01).
• Given a label or pick-list matching a special category (health, religion, caste, Aadhaar…), when saved, then it must be Special (YX-CUST-01).
• Given a field, when shown on forms, then section, required and self-edit settings apply.</t>
        </is>
      </c>
      <c r="O165" s="5" t="inlineStr">
        <is>
          <t>YX-CUST-01</t>
        </is>
      </c>
      <c r="P165" t="inlineStr">
        <is>
          <t>P18</t>
        </is>
      </c>
      <c r="Q165" t="inlineStr"/>
      <c r="R165" s="5" t="inlineStr">
        <is>
          <t>apps/api/src/custom-fields · CustomFieldDefinition / CustomFieldValue — candidate custom fields exist; field classes and HR entities are new</t>
        </is>
      </c>
    </row>
    <row r="166">
      <c r="A166" t="inlineStr">
        <is>
          <t>US-E-234</t>
        </is>
      </c>
      <c r="B166" t="n">
        <v>382</v>
      </c>
      <c r="C166" t="inlineStr">
        <is>
          <t>Story</t>
        </is>
      </c>
      <c r="D166" s="5" t="inlineStr">
        <is>
          <t xml:space="preserve">        Custom fields usable in company rules, never in statutory maths</t>
        </is>
      </c>
      <c r="E166" t="inlineStr">
        <is>
          <t>Platform services</t>
        </is>
      </c>
      <c r="F166" t="inlineStr">
        <is>
          <t>Custom fields, custom objects and form builder</t>
        </is>
      </c>
      <c r="G166" t="inlineStr">
        <is>
          <t>New</t>
        </is>
      </c>
      <c r="I166">
        <f>IF(H166&lt;&gt;"",H166,G166)</f>
        <v/>
      </c>
      <c r="J166" t="inlineStr">
        <is>
          <t>Step 2</t>
        </is>
      </c>
      <c r="K166" t="n">
        <v>3</v>
      </c>
      <c r="L166" t="n">
        <v>1</v>
      </c>
      <c r="M166" s="5" t="inlineStr">
        <is>
          <t>As a policy owner, I want to use custom fields in rules so that our policies fit our data.</t>
        </is>
      </c>
      <c r="N166" s="5" t="inlineStr">
        <is>
          <t>• Given a P19 rule, when authored, then custom fields can be used for policy values, eligibility, validation, routing, automations and company pay components (YX-CUST-11).
• Given a statutory calculation, protected area or locked period, when a rule uses a custom field, then it cannot change them (YX-CUST-11).
• Given a field used by an active rule, when someone deletes it, then deletion is blocked (YX-RULE-02).</t>
        </is>
      </c>
      <c r="O166" s="5" t="inlineStr">
        <is>
          <t>YX-CUST-11</t>
        </is>
      </c>
      <c r="P166" t="inlineStr">
        <is>
          <t>P18</t>
        </is>
      </c>
      <c r="Q166" t="inlineStr">
        <is>
          <t>US-E-233, US-E-267</t>
        </is>
      </c>
      <c r="R166" s="5" t="inlineStr"/>
    </row>
    <row r="167">
      <c r="A167" t="inlineStr">
        <is>
          <t>US-E-235</t>
        </is>
      </c>
      <c r="B167" t="n">
        <v>480</v>
      </c>
      <c r="C167" t="inlineStr">
        <is>
          <t>Story</t>
        </is>
      </c>
      <c r="D167" s="5" t="inlineStr">
        <is>
          <t xml:space="preserve">        Custom objects with a record scope model</t>
        </is>
      </c>
      <c r="E167" t="inlineStr">
        <is>
          <t>Platform services</t>
        </is>
      </c>
      <c r="F167" t="inlineStr">
        <is>
          <t>Custom fields, custom objects and form builder</t>
        </is>
      </c>
      <c r="G167" t="inlineStr">
        <is>
          <t>New</t>
        </is>
      </c>
      <c r="I167">
        <f>IF(H167&lt;&gt;"",H167,G167)</f>
        <v/>
      </c>
      <c r="J167" t="inlineStr">
        <is>
          <t>Step 3</t>
        </is>
      </c>
      <c r="K167" t="n">
        <v>8</v>
      </c>
      <c r="L167" t="n">
        <v>1</v>
      </c>
      <c r="M167" s="5" t="inlineStr">
        <is>
          <t>As a system admin, I want to create our own record types so that we manage extra data in YukthiX.</t>
        </is>
      </c>
      <c r="N167" s="5" t="inlineStr">
        <is>
          <t>• Given a custom object, when created, then it declares a scope model: linked employee, org unit, owner or restricted (YX-CUST-02).
• Given P02 visibility, when computed, then it is server-side from the scope model (YX-CUST-02).
• Given a restricted object, when a non-member searches or opens it, then it behaves as not found (YX-CUST-02).</t>
        </is>
      </c>
      <c r="O167" s="5" t="inlineStr">
        <is>
          <t>YX-CUST-02</t>
        </is>
      </c>
      <c r="P167" t="inlineStr">
        <is>
          <t>P18</t>
        </is>
      </c>
      <c r="Q167" t="inlineStr">
        <is>
          <t>US-E-233</t>
        </is>
      </c>
      <c r="R167" s="5" t="inlineStr"/>
    </row>
    <row r="168">
      <c r="A168" t="inlineStr">
        <is>
          <t>US-E-236</t>
        </is>
      </c>
      <c r="B168" t="n">
        <v>482</v>
      </c>
      <c r="C168" t="inlineStr">
        <is>
          <t>Story</t>
        </is>
      </c>
      <c r="D168" s="5" t="inlineStr">
        <is>
          <t xml:space="preserve">        Automatic REST, GraphQL and events for custom objects</t>
        </is>
      </c>
      <c r="E168" t="inlineStr">
        <is>
          <t>Platform services</t>
        </is>
      </c>
      <c r="F168" t="inlineStr">
        <is>
          <t>Custom fields, custom objects and form builder</t>
        </is>
      </c>
      <c r="G168" t="inlineStr">
        <is>
          <t>New</t>
        </is>
      </c>
      <c r="I168">
        <f>IF(H168&lt;&gt;"",H168,G168)</f>
        <v/>
      </c>
      <c r="J168" t="inlineStr">
        <is>
          <t>Step 3</t>
        </is>
      </c>
      <c r="K168" t="n">
        <v>5</v>
      </c>
      <c r="L168" t="n">
        <v>1</v>
      </c>
      <c r="M168" s="5" t="inlineStr">
        <is>
          <t>As a developer, I want each custom object to get an API without a release so that integrations are instant.</t>
        </is>
      </c>
      <c r="N168" s="5" t="inlineStr">
        <is>
          <t>• Given an active custom object, when published, then REST resource, GraphQL type and custom.&lt;api_name&gt;.* events exist (YX-CUST-03, YX-API-16).
• Given the tenant OpenAPI, when generated, then the custom object is documented (YX-CUST-03).
• Given calls, when made, then RLS, scopes, field classes, idempotency, rate limits, audit and thin payloads apply (YX-API-16).</t>
        </is>
      </c>
      <c r="O168" s="5" t="inlineStr">
        <is>
          <t>YX-CUST-03, YX-API-16</t>
        </is>
      </c>
      <c r="P168" t="inlineStr">
        <is>
          <t>P18</t>
        </is>
      </c>
      <c r="Q168" t="inlineStr">
        <is>
          <t>US-E-235, US-E-219</t>
        </is>
      </c>
      <c r="R168" s="5" t="inlineStr"/>
    </row>
    <row r="169">
      <c r="A169" t="inlineStr">
        <is>
          <t>US-E-237</t>
        </is>
      </c>
      <c r="B169" t="n">
        <v>484</v>
      </c>
      <c r="C169" t="inlineStr">
        <is>
          <t>Story</t>
        </is>
      </c>
      <c r="D169" s="5" t="inlineStr">
        <is>
          <t xml:space="preserve">        Form and page layout builder</t>
        </is>
      </c>
      <c r="E169" t="inlineStr">
        <is>
          <t>Platform services</t>
        </is>
      </c>
      <c r="F169" t="inlineStr">
        <is>
          <t>Custom fields, custom objects and form builder</t>
        </is>
      </c>
      <c r="G169" t="inlineStr">
        <is>
          <t>New</t>
        </is>
      </c>
      <c r="I169">
        <f>IF(H169&lt;&gt;"",H169,G169)</f>
        <v/>
      </c>
      <c r="J169" t="inlineStr">
        <is>
          <t>Step 3</t>
        </is>
      </c>
      <c r="K169" t="n">
        <v>5</v>
      </c>
      <c r="L169" t="n">
        <v>1</v>
      </c>
      <c r="M169" s="5" t="inlineStr">
        <is>
          <t>As a system admin, I want to arrange fields and conditions on forms so that forms fit our process.</t>
        </is>
      </c>
      <c r="N169" s="5" t="inlineStr">
        <is>
          <t>• Given a layout, when applied, then it controls presentation only and never grants or removes access (YX-CUST-04).
• Given a field required by a YX rule or law, when I try to hide or un-require it, then it is refused (YX-CUST-04).
• Given locked system sections (audit, approval trail), when I edit the layout, then they cannot be removed (YX-CUST-04).
• Given conditional rules, when the form is submitted, then the server enforces them too (YX-CUST-04).</t>
        </is>
      </c>
      <c r="O169" s="5" t="inlineStr">
        <is>
          <t>YX-CUST-04</t>
        </is>
      </c>
      <c r="P169" t="inlineStr">
        <is>
          <t>P18</t>
        </is>
      </c>
      <c r="Q169" t="inlineStr">
        <is>
          <t>US-E-235</t>
        </is>
      </c>
      <c r="R169" s="5" t="inlineStr"/>
    </row>
    <row r="170">
      <c r="A170" t="inlineStr">
        <is>
          <t>US-E-238</t>
        </is>
      </c>
      <c r="B170" t="n">
        <v>486</v>
      </c>
      <c r="C170" t="inlineStr">
        <is>
          <t>Story</t>
        </is>
      </c>
      <c r="D170" s="5" t="inlineStr">
        <is>
          <t xml:space="preserve">        Custom request types on the approval engine</t>
        </is>
      </c>
      <c r="E170" t="inlineStr">
        <is>
          <t>Platform services</t>
        </is>
      </c>
      <c r="F170" t="inlineStr">
        <is>
          <t>Custom fields, custom objects and form builder</t>
        </is>
      </c>
      <c r="G170" t="inlineStr">
        <is>
          <t>New</t>
        </is>
      </c>
      <c r="I170">
        <f>IF(H170&lt;&gt;"",H170,G170)</f>
        <v/>
      </c>
      <c r="J170" t="inlineStr">
        <is>
          <t>Step 3</t>
        </is>
      </c>
      <c r="K170" t="n">
        <v>5</v>
      </c>
      <c r="L170" t="n">
        <v>1</v>
      </c>
      <c r="M170" s="5" t="inlineStr">
        <is>
          <t>As an HR admin, I want our own request types with approvals so that any company request runs in YukthiX.</t>
        </is>
      </c>
      <c r="N170" s="5" t="inlineStr">
        <is>
          <t>• Given a custom request type, when submitted, then P03 approval, delegation, proxy, SLA, self-approval and audit rules apply (YX-CUST-05).
• Given its effects, when approved, then they only touch custom records, notifications or a module API input (YX-CUST-05).
• Given a module, when a custom request submits to it, then the module validates the input (YX-CUST-05).</t>
        </is>
      </c>
      <c r="O170" s="5" t="inlineStr">
        <is>
          <t>YX-CUST-05</t>
        </is>
      </c>
      <c r="P170" t="inlineStr">
        <is>
          <t>P18</t>
        </is>
      </c>
      <c r="Q170" t="inlineStr">
        <is>
          <t>US-E-237</t>
        </is>
      </c>
      <c r="R170" s="5" t="inlineStr"/>
    </row>
    <row r="171">
      <c r="A171" t="inlineStr">
        <is>
          <t>US-E-240</t>
        </is>
      </c>
      <c r="B171" t="n">
        <v>488</v>
      </c>
      <c r="C171" t="inlineStr">
        <is>
          <t>Story</t>
        </is>
      </c>
      <c r="D171" s="5" t="inlineStr">
        <is>
          <t xml:space="preserve">        Versioned metadata and safe destructive changes</t>
        </is>
      </c>
      <c r="E171" t="inlineStr">
        <is>
          <t>Platform services</t>
        </is>
      </c>
      <c r="F171" t="inlineStr">
        <is>
          <t>Custom fields, custom objects and form builder</t>
        </is>
      </c>
      <c r="G171" t="inlineStr">
        <is>
          <t>New</t>
        </is>
      </c>
      <c r="I171">
        <f>IF(H171&lt;&gt;"",H171,G171)</f>
        <v/>
      </c>
      <c r="J171" t="inlineStr">
        <is>
          <t>Step 3</t>
        </is>
      </c>
      <c r="K171" t="n">
        <v>3</v>
      </c>
      <c r="L171" t="n">
        <v>1</v>
      </c>
      <c r="M171" s="5" t="inlineStr">
        <is>
          <t>As a system admin, I want object changes versioned and deletions protected so that we never lose data by mistake.</t>
        </is>
      </c>
      <c r="N171" s="5" t="inlineStr">
        <is>
          <t>• Given a metadata change, when saved, then it is versioned and diffable (YX-CUST-07).
• Given delete object / field or a type change, when requested, then an export is offered, typed confirmation is required and data is archived for the audit period (YX-CUST-07).
• Given an active object, when I try to rename its API name, then it is refused (YX-CUST-07).
• Given a production metadata edit, when saved, then before / after is audited (YX-CUST-08).</t>
        </is>
      </c>
      <c r="O171" s="5" t="inlineStr">
        <is>
          <t>YX-CUST-07, YX-CUST-08</t>
        </is>
      </c>
      <c r="P171" t="inlineStr">
        <is>
          <t>P18</t>
        </is>
      </c>
      <c r="Q171" t="inlineStr">
        <is>
          <t>US-E-235</t>
        </is>
      </c>
      <c r="R171" s="5" t="inlineStr"/>
    </row>
    <row r="172">
      <c r="A172" t="inlineStr">
        <is>
          <t>US-E-242</t>
        </is>
      </c>
      <c r="B172" t="n">
        <v>489</v>
      </c>
      <c r="C172" t="inlineStr">
        <is>
          <t>Story</t>
        </is>
      </c>
      <c r="D172" s="5" t="inlineStr">
        <is>
          <t xml:space="preserve">        Fair-use limits and starter objects</t>
        </is>
      </c>
      <c r="E172" t="inlineStr">
        <is>
          <t>Platform services</t>
        </is>
      </c>
      <c r="F172" t="inlineStr">
        <is>
          <t>Custom fields, custom objects and form builder</t>
        </is>
      </c>
      <c r="G172" t="inlineStr">
        <is>
          <t>New</t>
        </is>
      </c>
      <c r="I172">
        <f>IF(H172&lt;&gt;"",H172,G172)</f>
        <v/>
      </c>
      <c r="J172" t="inlineStr">
        <is>
          <t>Step 3</t>
        </is>
      </c>
      <c r="K172" t="n">
        <v>3</v>
      </c>
      <c r="L172" t="n">
        <v>2</v>
      </c>
      <c r="M172" s="5" t="inlineStr">
        <is>
          <t>As a system admin, I want to see usage against limits and use starter objects so that I plan and start fast.</t>
        </is>
      </c>
      <c r="N172" s="5" t="inlineStr">
        <is>
          <t>• Given limits on objects, fields, layouts, request types and records, when I open usage, then counts show with 80 % / 100 % alerts (YX-CUST-09).
• Given a limit is passed, when I read or export, then it is never blocked (YX-CUST-09).
• Given starter objects, layouts and request types, when shown, then they are labelled "YukthiX starter — edit for your company" and never updated automatically (YX-CUST-10).</t>
        </is>
      </c>
      <c r="O172" s="5" t="inlineStr">
        <is>
          <t>YX-CUST-09, YX-CUST-10</t>
        </is>
      </c>
      <c r="P172" t="inlineStr">
        <is>
          <t>P18</t>
        </is>
      </c>
      <c r="Q172" t="inlineStr">
        <is>
          <t>US-E-235</t>
        </is>
      </c>
      <c r="R172" s="5" t="inlineStr"/>
    </row>
    <row r="173">
      <c r="A173" t="inlineStr">
        <is>
          <t>US-E-239</t>
        </is>
      </c>
      <c r="B173" t="n">
        <v>716</v>
      </c>
      <c r="C173" t="inlineStr">
        <is>
          <t>Story</t>
        </is>
      </c>
      <c r="D173" s="5" t="inlineStr">
        <is>
          <t xml:space="preserve">        Custom objects in reports and metrics</t>
        </is>
      </c>
      <c r="E173" t="inlineStr">
        <is>
          <t>Platform services</t>
        </is>
      </c>
      <c r="F173" t="inlineStr">
        <is>
          <t>Custom fields, custom objects and form builder</t>
        </is>
      </c>
      <c r="G173" t="inlineStr">
        <is>
          <t>New</t>
        </is>
      </c>
      <c r="I173">
        <f>IF(H173&lt;&gt;"",H173,G173)</f>
        <v/>
      </c>
      <c r="J173" t="inlineStr">
        <is>
          <t>Step 5</t>
        </is>
      </c>
      <c r="K173" t="n">
        <v>3</v>
      </c>
      <c r="L173" t="n">
        <v>1</v>
      </c>
      <c r="M173" s="5" t="inlineStr">
        <is>
          <t>As an analyst, I want custom objects in the report builder so that I report on all our data.</t>
        </is>
      </c>
      <c r="N173" s="5" t="inlineStr">
        <is>
          <t>• Given a custom object, when I build a report, then it is a base entity (YX-CUST-06).
• Given a custom calculated metric, when created, then it inherits the most restrictive class of its inputs (YX-CUST-06).
• Given small groups, when shown, then suppression applies (YX-CUST-06).</t>
        </is>
      </c>
      <c r="O173" s="5" t="inlineStr">
        <is>
          <t>YX-CUST-06</t>
        </is>
      </c>
      <c r="P173" t="inlineStr">
        <is>
          <t>P18</t>
        </is>
      </c>
      <c r="Q173" t="inlineStr">
        <is>
          <t>US-E-235, US-E-302</t>
        </is>
      </c>
      <c r="R173" s="5" t="inlineStr"/>
    </row>
    <row r="174">
      <c r="A174" t="inlineStr">
        <is>
          <t>US-E-241</t>
        </is>
      </c>
      <c r="B174" t="n">
        <v>792</v>
      </c>
      <c r="C174" t="inlineStr">
        <is>
          <t>Story</t>
        </is>
      </c>
      <c r="D174" s="5" t="inlineStr">
        <is>
          <t xml:space="preserve">        Promotion of custom metadata from sandbox</t>
        </is>
      </c>
      <c r="E174" t="inlineStr">
        <is>
          <t>Platform services</t>
        </is>
      </c>
      <c r="F174" t="inlineStr">
        <is>
          <t>Custom fields, custom objects and form builder</t>
        </is>
      </c>
      <c r="G174" t="inlineStr">
        <is>
          <t>New</t>
        </is>
      </c>
      <c r="I174">
        <f>IF(H174&lt;&gt;"",H174,G174)</f>
        <v/>
      </c>
      <c r="J174" t="inlineStr">
        <is>
          <t>Step 5 · before paid pilot</t>
        </is>
      </c>
      <c r="K174" t="n">
        <v>3</v>
      </c>
      <c r="L174" t="n">
        <v>2</v>
      </c>
      <c r="M174" s="5" t="inlineStr">
        <is>
          <t>As a system admin, I want object changes promoted from sandbox when required so that production stays stable.</t>
        </is>
      </c>
      <c r="N174" s="5" t="inlineStr">
        <is>
          <t>• Given "promotion required" is on, when objects, fields or request types change, then they reach production only through a reviewed sandbox promotion (YX-CUST-08, YX-MIG-10).
• Given "promotion required" is off, when edited in production, then the edit is audited.
• Given a promotion, when approved, then the diff is applied.</t>
        </is>
      </c>
      <c r="O174" s="5" t="inlineStr">
        <is>
          <t>YX-CUST-08</t>
        </is>
      </c>
      <c r="P174" t="inlineStr">
        <is>
          <t>P18</t>
        </is>
      </c>
      <c r="Q174" t="inlineStr">
        <is>
          <t>US-E-240, US-E-257</t>
        </is>
      </c>
      <c r="R174" s="5" t="inlineStr"/>
    </row>
    <row r="175">
      <c r="A175" s="9" t="inlineStr">
        <is>
          <t>FT-E-36</t>
        </is>
      </c>
      <c r="B175" s="9" t="n">
        <v>340</v>
      </c>
      <c r="C175" s="9" t="inlineStr">
        <is>
          <t>Feature</t>
        </is>
      </c>
      <c r="D175" s="10" t="inlineStr">
        <is>
          <t xml:space="preserve">    Starter template library</t>
        </is>
      </c>
      <c r="E175" s="9" t="inlineStr">
        <is>
          <t>Platform services</t>
        </is>
      </c>
      <c r="F175" s="9" t="inlineStr">
        <is>
          <t>Starter template library</t>
        </is>
      </c>
      <c r="G175" s="9" t="inlineStr">
        <is>
          <t>New</t>
        </is>
      </c>
      <c r="H175" s="9" t="n"/>
      <c r="I175" s="9">
        <f>IF(H175&lt;&gt;"",H175,G175)</f>
        <v/>
      </c>
      <c r="J175" s="9" t="inlineStr">
        <is>
          <t>Step 2</t>
        </is>
      </c>
      <c r="K175" s="9" t="n"/>
      <c r="L175" s="9" t="n"/>
      <c r="M175" s="10" t="inlineStr"/>
      <c r="N175" s="10" t="inlineStr"/>
      <c r="O175" s="10" t="inlineStr">
        <is>
          <t>YX-DOC-20, YX-DOC-21, YX-DOC-22</t>
        </is>
      </c>
      <c r="P175" s="9" t="inlineStr">
        <is>
          <t>APX-F</t>
        </is>
      </c>
      <c r="Q175" s="9" t="inlineStr"/>
      <c r="R175" s="10" t="inlineStr"/>
      <c r="S175" s="9" t="n"/>
    </row>
    <row r="176">
      <c r="A176" t="inlineStr">
        <is>
          <t>US-E-243</t>
        </is>
      </c>
      <c r="B176" t="n">
        <v>340</v>
      </c>
      <c r="C176" t="inlineStr">
        <is>
          <t>Story</t>
        </is>
      </c>
      <c r="D176" s="5" t="inlineStr">
        <is>
          <t xml:space="preserve">        Versioned starter templates that companies copy</t>
        </is>
      </c>
      <c r="E176" t="inlineStr">
        <is>
          <t>Platform services</t>
        </is>
      </c>
      <c r="F176" t="inlineStr">
        <is>
          <t>Starter template library</t>
        </is>
      </c>
      <c r="G176" t="inlineStr">
        <is>
          <t>New</t>
        </is>
      </c>
      <c r="I176">
        <f>IF(H176&lt;&gt;"",H176,G176)</f>
        <v/>
      </c>
      <c r="J176" t="inlineStr">
        <is>
          <t>Step 2</t>
        </is>
      </c>
      <c r="K176" t="n">
        <v>3</v>
      </c>
      <c r="L176" t="n">
        <v>1</v>
      </c>
      <c r="M176" s="5" t="inlineStr">
        <is>
          <t>As an HR admin, I want ready starter letters and templates so that I can issue documents on day one.</t>
        </is>
      </c>
      <c r="N176" s="5" t="inlineStr">
        <is>
          <t>• Given a template in the library, when listed, then it is a versioned starter labelled "YukthiX starter — edit for your company" (YX-DOC-20).
• Given an issued document, when printed, then the starter label is never printed (YX-DOC-20).
• Given a company edit, when a new starter version ships, then the company copy is not overwritten; a diff is offered (YX-DOC-20).</t>
        </is>
      </c>
      <c r="O176" s="5" t="inlineStr">
        <is>
          <t>YX-DOC-20</t>
        </is>
      </c>
      <c r="P176" t="inlineStr">
        <is>
          <t>APX-F</t>
        </is>
      </c>
      <c r="Q176" t="inlineStr"/>
      <c r="R176" s="5" t="inlineStr"/>
    </row>
    <row r="177">
      <c r="A177" t="inlineStr">
        <is>
          <t>US-E-244</t>
        </is>
      </c>
      <c r="B177" t="n">
        <v>340</v>
      </c>
      <c r="C177" t="inlineStr">
        <is>
          <t>Story</t>
        </is>
      </c>
      <c r="D177" s="5" t="inlineStr">
        <is>
          <t xml:space="preserve">        Legally mandatory content is locked</t>
        </is>
      </c>
      <c r="E177" t="inlineStr">
        <is>
          <t>Platform services</t>
        </is>
      </c>
      <c r="F177" t="inlineStr">
        <is>
          <t>Starter template library</t>
        </is>
      </c>
      <c r="G177" t="inlineStr">
        <is>
          <t>New</t>
        </is>
      </c>
      <c r="I177">
        <f>IF(H177&lt;&gt;"",H177,G177)</f>
        <v/>
      </c>
      <c r="J177" t="inlineStr">
        <is>
          <t>Step 2</t>
        </is>
      </c>
      <c r="K177" t="n">
        <v>3</v>
      </c>
      <c r="L177" t="n">
        <v>1</v>
      </c>
      <c r="M177" s="5" t="inlineStr">
        <is>
          <t>As a compliance officer, I want legal content locked in templates so that no one removes required text.</t>
        </is>
      </c>
      <c r="N177" s="5" t="inlineStr">
        <is>
          <t>• Given a statutory form, GST invoice, credit note, payslip or legal notice, when edited, then mandatory fields and blocks are locked (YX-DOC-22).
• Given these templates, when edited, then branding and non-mandatory layout can change (YX-DOC-22).
• Given a save that removes mandatory content, when attempted, then it is refused.</t>
        </is>
      </c>
      <c r="O177" s="5" t="inlineStr">
        <is>
          <t>YX-DOC-22</t>
        </is>
      </c>
      <c r="P177" t="inlineStr">
        <is>
          <t>APX-F</t>
        </is>
      </c>
      <c r="Q177" t="inlineStr">
        <is>
          <t>US-E-243</t>
        </is>
      </c>
      <c r="R177" s="5" t="inlineStr"/>
    </row>
    <row r="178">
      <c r="A178" t="inlineStr">
        <is>
          <t>US-E-245</t>
        </is>
      </c>
      <c r="B178" t="n">
        <v>820</v>
      </c>
      <c r="C178" t="inlineStr">
        <is>
          <t>Story</t>
        </is>
      </c>
      <c r="D178" s="5" t="inlineStr">
        <is>
          <t xml:space="preserve">        Restricted-area letters show as confidential on the verify page</t>
        </is>
      </c>
      <c r="E178" t="inlineStr">
        <is>
          <t>Platform services</t>
        </is>
      </c>
      <c r="F178" t="inlineStr">
        <is>
          <t>Starter template library</t>
        </is>
      </c>
      <c r="G178" t="inlineStr">
        <is>
          <t>New</t>
        </is>
      </c>
      <c r="I178">
        <f>IF(H178&lt;&gt;"",H178,G178)</f>
        <v/>
      </c>
      <c r="J178" t="inlineStr">
        <is>
          <t>Step 6+ (HR modules)</t>
        </is>
      </c>
      <c r="K178" t="n">
        <v>2</v>
      </c>
      <c r="L178" t="n">
        <v>1</v>
      </c>
      <c r="M178" s="5" t="inlineStr">
        <is>
          <t>As an employee, I want a sensitive letter verifiable without exposing its type so that my privacy is kept.</t>
        </is>
      </c>
      <c r="N178" s="5" t="inlineStr">
        <is>
          <t>• Given a letter from a POSH, disciplinary, grievance or whistleblower case, when issued, then QR verification stays on by default (YX-DOC-21).
• Given the public verify page, when opened, then the type shows only as "Confidential HR letter" with company, name, date and status (YX-DOC-21).
• Given a normal letter, when verified, then its real type shows.</t>
        </is>
      </c>
      <c r="O178" s="5" t="inlineStr">
        <is>
          <t>YX-DOC-21</t>
        </is>
      </c>
      <c r="P178" t="inlineStr">
        <is>
          <t>APX-F</t>
        </is>
      </c>
      <c r="Q178" t="inlineStr">
        <is>
          <t>US-E-243</t>
        </is>
      </c>
      <c r="R178" s="5" t="inlineStr"/>
    </row>
    <row r="179">
      <c r="A179" s="9" t="inlineStr">
        <is>
          <t>FT-E-37</t>
        </is>
      </c>
      <c r="B179" s="9" t="n">
        <v>350</v>
      </c>
      <c r="C179" s="9" t="inlineStr">
        <is>
          <t>Feature</t>
        </is>
      </c>
      <c r="D179" s="10" t="inlineStr">
        <is>
          <t xml:space="preserve">    Data migration, implementation and sandbox</t>
        </is>
      </c>
      <c r="E179" s="9" t="inlineStr">
        <is>
          <t>Platform services</t>
        </is>
      </c>
      <c r="F179" s="9" t="inlineStr">
        <is>
          <t>Data migration, implementation and sandbox</t>
        </is>
      </c>
      <c r="G179" s="9" t="inlineStr">
        <is>
          <t>New</t>
        </is>
      </c>
      <c r="H179" s="9" t="n"/>
      <c r="I179" s="9">
        <f>IF(H179&lt;&gt;"",H179,G179)</f>
        <v/>
      </c>
      <c r="J179" s="9" t="inlineStr">
        <is>
          <t>Step 2</t>
        </is>
      </c>
      <c r="K179" s="9" t="n"/>
      <c r="L179" s="9" t="n"/>
      <c r="M179" s="10" t="inlineStr"/>
      <c r="N179" s="10" t="inlineStr"/>
      <c r="O179" s="10" t="inlineStr">
        <is>
          <t>YX-MIG-01, YX-MIG-02, YX-MIG-03, YX-MIG-04, YX-MIG-05, YX-MIG-06, YX-MIG-07, YX-MIG-08, YX-MIG-09, YX-MIG-10, YX-MIG-11, YX-MIG-12, YX-MIG-13, YX-MIG-15</t>
        </is>
      </c>
      <c r="P179" s="9" t="inlineStr">
        <is>
          <t>P15</t>
        </is>
      </c>
      <c r="Q179" s="9" t="inlineStr"/>
      <c r="R179" s="10" t="inlineStr"/>
      <c r="S179" s="9" t="n"/>
    </row>
    <row r="180">
      <c r="A180" t="inlineStr">
        <is>
          <t>US-E-246</t>
        </is>
      </c>
      <c r="B180" t="n">
        <v>350</v>
      </c>
      <c r="C180" t="inlineStr">
        <is>
          <t>Story</t>
        </is>
      </c>
      <c r="D180" s="5" t="inlineStr">
        <is>
          <t xml:space="preserve">        One import framework with preview before commit</t>
        </is>
      </c>
      <c r="E180" t="inlineStr">
        <is>
          <t>Platform services</t>
        </is>
      </c>
      <c r="F180" t="inlineStr">
        <is>
          <t>Data migration, implementation and sandbox</t>
        </is>
      </c>
      <c r="G180" t="inlineStr">
        <is>
          <t>Active</t>
        </is>
      </c>
      <c r="I180">
        <f>IF(H180&lt;&gt;"",H180,G180)</f>
        <v/>
      </c>
      <c r="J180" t="inlineStr">
        <is>
          <t>Step 2</t>
        </is>
      </c>
      <c r="K180" t="n">
        <v>8</v>
      </c>
      <c r="L180" t="n">
        <v>1</v>
      </c>
      <c r="M180" s="5" t="inlineStr">
        <is>
          <t>As an implementation consultant, I want every import to show a preview before writing so that bad data never lands.</t>
        </is>
      </c>
      <c r="N180" s="5" t="inlineStr">
        <is>
          <t>• Given any import, when run, then it goes upload → map → validate → preview → commit, and nothing is written before I confirm (YX-MIG-01).
• Given validation, when it runs, then it uses the same rules as live forms and APIs (statutory formats, duplicates, P06 dating, P02 permissions) (YX-MIG-02).
• Given row errors, when found, then the job continues and an Excel of error rows with messages per cell is downloadable (YX-MIG-03).</t>
        </is>
      </c>
      <c r="O180" s="5" t="inlineStr">
        <is>
          <t>YX-MIG-01, YX-MIG-02, YX-MIG-03</t>
        </is>
      </c>
      <c r="P180" t="inlineStr">
        <is>
          <t>P15</t>
        </is>
      </c>
      <c r="Q180" t="inlineStr"/>
      <c r="R180" s="5" t="inlineStr">
        <is>
          <t>apps/api/src/questions/bulk-upload-parser.ts · apps/api/src/candidates/csv-parser.ts — per-screen imports exist; unified framework is new</t>
        </is>
      </c>
    </row>
    <row r="181">
      <c r="A181" t="inlineStr">
        <is>
          <t>US-E-247</t>
        </is>
      </c>
      <c r="B181" t="n">
        <v>350</v>
      </c>
      <c r="C181" t="inlineStr">
        <is>
          <t>Story</t>
        </is>
      </c>
      <c r="D181" s="5" t="inlineStr">
        <is>
          <t xml:space="preserve">        Roll back a committed import batch</t>
        </is>
      </c>
      <c r="E181" t="inlineStr">
        <is>
          <t>Platform services</t>
        </is>
      </c>
      <c r="F181" t="inlineStr">
        <is>
          <t>Data migration, implementation and sandbox</t>
        </is>
      </c>
      <c r="G181" t="inlineStr">
        <is>
          <t>New</t>
        </is>
      </c>
      <c r="I181">
        <f>IF(H181&lt;&gt;"",H181,G181)</f>
        <v/>
      </c>
      <c r="J181" t="inlineStr">
        <is>
          <t>Step 2</t>
        </is>
      </c>
      <c r="K181" t="n">
        <v>5</v>
      </c>
      <c r="L181" t="n">
        <v>1</v>
      </c>
      <c r="M181" s="5" t="inlineStr">
        <is>
          <t>As an implementation consultant, I want to undo a bad import so that I can fix mistakes quickly.</t>
        </is>
      </c>
      <c r="N181" s="5" t="inlineStr">
        <is>
          <t>• Given a committed batch, when rolled back, then exactly the records it created are removed and updated fields restored (YX-MIG-04).
• Given dependent records (e.g. used by a payroll run), when I roll back, then it is blocked (YX-MIG-04).
• Given a locked period, when I roll back, then it is blocked (YX-MIG-04).</t>
        </is>
      </c>
      <c r="O181" s="5" t="inlineStr">
        <is>
          <t>YX-MIG-04</t>
        </is>
      </c>
      <c r="P181" t="inlineStr">
        <is>
          <t>P15</t>
        </is>
      </c>
      <c r="Q181" t="inlineStr">
        <is>
          <t>US-E-246</t>
        </is>
      </c>
      <c r="R181" s="5" t="inlineStr"/>
    </row>
    <row r="182">
      <c r="A182" t="inlineStr">
        <is>
          <t>US-E-248</t>
        </is>
      </c>
      <c r="B182" t="n">
        <v>350</v>
      </c>
      <c r="C182" t="inlineStr">
        <is>
          <t>Story</t>
        </is>
      </c>
      <c r="D182" s="5" t="inlineStr">
        <is>
          <t xml:space="preserve">        Imported history and opening balances</t>
        </is>
      </c>
      <c r="E182" t="inlineStr">
        <is>
          <t>Platform services</t>
        </is>
      </c>
      <c r="F182" t="inlineStr">
        <is>
          <t>Data migration, implementation and sandbox</t>
        </is>
      </c>
      <c r="G182" t="inlineStr">
        <is>
          <t>New</t>
        </is>
      </c>
      <c r="I182">
        <f>IF(H182&lt;&gt;"",H182,G182)</f>
        <v/>
      </c>
      <c r="J182" t="inlineStr">
        <is>
          <t>Step 2</t>
        </is>
      </c>
      <c r="K182" t="n">
        <v>3</v>
      </c>
      <c r="L182" t="n">
        <v>1</v>
      </c>
      <c r="M182" s="5" t="inlineStr">
        <is>
          <t>As an HR admin, I want imported history dated and opening balances as ledger entries so that totals are explainable.</t>
        </is>
      </c>
      <c r="N182" s="5" t="inlineStr">
        <is>
          <t>• Given imported history, when stored, then it is effective-dated and marked with source and batch (YX-MIG-05).
• Given opening balances (leave, YTD, loans), when imported, then they are ledger entries with reason "migration opening" (YX-MIG-05).
• Given an import, when it would silently overwrite a balance, then it is refused (YX-MIG-05).</t>
        </is>
      </c>
      <c r="O182" s="5" t="inlineStr">
        <is>
          <t>YX-MIG-05</t>
        </is>
      </c>
      <c r="P182" t="inlineStr">
        <is>
          <t>P15</t>
        </is>
      </c>
      <c r="Q182" t="inlineStr">
        <is>
          <t>US-E-246</t>
        </is>
      </c>
      <c r="R182" s="5" t="inlineStr"/>
    </row>
    <row r="183">
      <c r="A183" t="inlineStr">
        <is>
          <t>US-E-249</t>
        </is>
      </c>
      <c r="B183" t="n">
        <v>350</v>
      </c>
      <c r="C183" t="inlineStr">
        <is>
          <t>Story</t>
        </is>
      </c>
      <c r="D183" s="5" t="inlineStr">
        <is>
          <t xml:space="preserve">        Sensitive import data protected in staging</t>
        </is>
      </c>
      <c r="E183" t="inlineStr">
        <is>
          <t>Platform services</t>
        </is>
      </c>
      <c r="F183" t="inlineStr">
        <is>
          <t>Data migration, implementation and sandbox</t>
        </is>
      </c>
      <c r="G183" t="inlineStr">
        <is>
          <t>New</t>
        </is>
      </c>
      <c r="I183">
        <f>IF(H183&lt;&gt;"",H183,G183)</f>
        <v/>
      </c>
      <c r="J183" t="inlineStr">
        <is>
          <t>Step 2</t>
        </is>
      </c>
      <c r="K183" t="n">
        <v>3</v>
      </c>
      <c r="L183" t="n">
        <v>1</v>
      </c>
      <c r="M183" s="5" t="inlineStr">
        <is>
          <t>As a DPO, I want bank, PAN, Aadhaar and salary data in staging encrypted and short-lived so that imports are safe.</t>
        </is>
      </c>
      <c r="N183" s="5" t="inlineStr">
        <is>
          <t>• Given sensitive columns, when staged, then they are encrypted at rest (YX-MIG-06).
• Given staging data, when viewed, then only the importing admin can see it (YX-MIG-06).
• Given the retention period, when it ends, then staging data is purged (YX-MIG-06).</t>
        </is>
      </c>
      <c r="O183" s="5" t="inlineStr">
        <is>
          <t>YX-MIG-06</t>
        </is>
      </c>
      <c r="P183" t="inlineStr">
        <is>
          <t>P15</t>
        </is>
      </c>
      <c r="Q183" t="inlineStr">
        <is>
          <t>US-E-246</t>
        </is>
      </c>
      <c r="R183" s="5" t="inlineStr"/>
    </row>
    <row r="184">
      <c r="A184" t="inlineStr">
        <is>
          <t>US-E-250</t>
        </is>
      </c>
      <c r="B184" t="n">
        <v>350</v>
      </c>
      <c r="C184" t="inlineStr">
        <is>
          <t>Story</t>
        </is>
      </c>
      <c r="D184" s="5" t="inlineStr">
        <is>
          <t xml:space="preserve">        Import documents as ZIP plus index</t>
        </is>
      </c>
      <c r="E184" t="inlineStr">
        <is>
          <t>Platform services</t>
        </is>
      </c>
      <c r="F184" t="inlineStr">
        <is>
          <t>Data migration, implementation and sandbox</t>
        </is>
      </c>
      <c r="G184" t="inlineStr">
        <is>
          <t>New</t>
        </is>
      </c>
      <c r="I184">
        <f>IF(H184&lt;&gt;"",H184,G184)</f>
        <v/>
      </c>
      <c r="J184" t="inlineStr">
        <is>
          <t>Step 2</t>
        </is>
      </c>
      <c r="K184" t="n">
        <v>3</v>
      </c>
      <c r="L184" t="n">
        <v>2</v>
      </c>
      <c r="M184" s="5" t="inlineStr">
        <is>
          <t>As an HR admin, I want to bulk import employee documents so that old files move with the data.</t>
        </is>
      </c>
      <c r="N184" s="5" t="inlineStr">
        <is>
          <t>• Given a ZIP and index file, when imported, then each file is mapped to an employee and document type (YX-MIG-07).
• Given unmatched files, when found, then they are listed for manual assignment (YX-MIG-07).
• Given imported documents, when stored, then they are P05 documents.</t>
        </is>
      </c>
      <c r="O184" s="5" t="inlineStr">
        <is>
          <t>YX-MIG-07</t>
        </is>
      </c>
      <c r="P184" t="inlineStr">
        <is>
          <t>P15</t>
        </is>
      </c>
      <c r="Q184" t="inlineStr">
        <is>
          <t>US-E-246</t>
        </is>
      </c>
      <c r="R184" s="5" t="inlineStr"/>
    </row>
    <row r="185">
      <c r="A185" t="inlineStr">
        <is>
          <t>US-E-252</t>
        </is>
      </c>
      <c r="B185" t="n">
        <v>760</v>
      </c>
      <c r="C185" t="inlineStr">
        <is>
          <t>Story</t>
        </is>
      </c>
      <c r="D185" s="5" t="inlineStr">
        <is>
          <t xml:space="preserve">        Direct API pull from the old system</t>
        </is>
      </c>
      <c r="E185" t="inlineStr">
        <is>
          <t>Platform services</t>
        </is>
      </c>
      <c r="F185" t="inlineStr">
        <is>
          <t>Data migration, implementation and sandbox</t>
        </is>
      </c>
      <c r="G185" t="inlineStr">
        <is>
          <t>New</t>
        </is>
      </c>
      <c r="I185">
        <f>IF(H185&lt;&gt;"",H185,G185)</f>
        <v/>
      </c>
      <c r="J185" t="inlineStr">
        <is>
          <t>Step 5</t>
        </is>
      </c>
      <c r="K185" t="n">
        <v>5</v>
      </c>
      <c r="L185" t="n">
        <v>2</v>
      </c>
      <c r="M185" s="5" t="inlineStr">
        <is>
          <t>As an implementation consultant, I want to pull data from the old HR system by API so that migration is faster.</t>
        </is>
      </c>
      <c r="N185" s="5" t="inlineStr">
        <is>
          <t>• Given the customer connects the old system with read-only scope, when a pull runs, then data enters the same staging → validate → preview → commit pipeline (YX-MIG-11).
• Given the parallel run, when needed, then pulls can repeat (YX-MIG-11).
• Given stored credentials, when the migration ends, then they are deleted (YX-MIG-11).</t>
        </is>
      </c>
      <c r="O185" s="5" t="inlineStr">
        <is>
          <t>YX-MIG-11</t>
        </is>
      </c>
      <c r="P185" t="inlineStr">
        <is>
          <t>P15</t>
        </is>
      </c>
      <c r="Q185" t="inlineStr">
        <is>
          <t>US-E-246</t>
        </is>
      </c>
      <c r="R185" s="5" t="inlineStr"/>
    </row>
    <row r="186">
      <c r="A186" t="inlineStr">
        <is>
          <t>US-E-253</t>
        </is>
      </c>
      <c r="B186" t="n">
        <v>770</v>
      </c>
      <c r="C186" t="inlineStr">
        <is>
          <t>Story</t>
        </is>
      </c>
      <c r="D186" s="5" t="inlineStr">
        <is>
          <t xml:space="preserve">        Payroll go-live needs a parallel run or audited waiver</t>
        </is>
      </c>
      <c r="E186" t="inlineStr">
        <is>
          <t>Platform services</t>
        </is>
      </c>
      <c r="F186" t="inlineStr">
        <is>
          <t>Data migration, implementation and sandbox</t>
        </is>
      </c>
      <c r="G186" t="inlineStr">
        <is>
          <t>New</t>
        </is>
      </c>
      <c r="I186">
        <f>IF(H186&lt;&gt;"",H186,G186)</f>
        <v/>
      </c>
      <c r="J186" t="inlineStr">
        <is>
          <t>Step 5</t>
        </is>
      </c>
      <c r="K186" t="n">
        <v>3</v>
      </c>
      <c r="L186" t="n">
        <v>1</v>
      </c>
      <c r="M186" s="5" t="inlineStr">
        <is>
          <t>As a payroll admin, I want a parallel run before go-live so that our first YukthiX payroll is right.</t>
        </is>
      </c>
      <c r="N186" s="5" t="inlineStr">
        <is>
          <t>• Given payroll go-live, when requested, then a completed parallel run with signed-off variance is required (YX-MIG-08).
• Given no parallel run, when the Payroll Admin waives it, then the waiver is explicit and audited (YX-MIG-08).
• Given the company setting, when set, then it decides the number of parallel months (YX-MIG-08).</t>
        </is>
      </c>
      <c r="O186" s="5" t="inlineStr">
        <is>
          <t>YX-MIG-08</t>
        </is>
      </c>
      <c r="P186" t="inlineStr">
        <is>
          <t>P15</t>
        </is>
      </c>
      <c r="Q186" t="inlineStr"/>
      <c r="R186" s="5" t="inlineStr"/>
    </row>
    <row r="187">
      <c r="A187" t="inlineStr">
        <is>
          <t>US-E-254</t>
        </is>
      </c>
      <c r="B187" t="n">
        <v>772</v>
      </c>
      <c r="C187" t="inlineStr">
        <is>
          <t>Story</t>
        </is>
      </c>
      <c r="D187" s="5" t="inlineStr">
        <is>
          <t xml:space="preserve">        As-paid lines per month and component for mid-year go-live</t>
        </is>
      </c>
      <c r="E187" t="inlineStr">
        <is>
          <t>Platform services</t>
        </is>
      </c>
      <c r="F187" t="inlineStr">
        <is>
          <t>Data migration, implementation and sandbox</t>
        </is>
      </c>
      <c r="G187" t="inlineStr">
        <is>
          <t>New</t>
        </is>
      </c>
      <c r="I187">
        <f>IF(H187&lt;&gt;"",H187,G187)</f>
        <v/>
      </c>
      <c r="J187" t="inlineStr">
        <is>
          <t>Step 5</t>
        </is>
      </c>
      <c r="K187" t="n">
        <v>5</v>
      </c>
      <c r="L187" t="n">
        <v>1</v>
      </c>
      <c r="M187" s="5" t="inlineStr">
        <is>
          <t>As a payroll admin, I want month-wise paid lines imported so that tax and statutory totals are correct.</t>
        </is>
      </c>
      <c r="N187" s="5" t="inlineStr">
        <is>
          <t>• Given employees paid this tax year before go-live, when go-live is checked, then as-paid lines per month and component are required (YX-MIG-15).
• Given as-paid lines, when imported, then YTD for tax is derived from them (YX-MIG-15).
• Given only YTD totals, when imported, then go-live readiness fails with a fix link.</t>
        </is>
      </c>
      <c r="O187" s="5" t="inlineStr">
        <is>
          <t>YX-MIG-15</t>
        </is>
      </c>
      <c r="P187" t="inlineStr">
        <is>
          <t>P15</t>
        </is>
      </c>
      <c r="Q187" t="inlineStr">
        <is>
          <t>US-E-248</t>
        </is>
      </c>
      <c r="R187" s="5" t="inlineStr"/>
    </row>
    <row r="188">
      <c r="A188" t="inlineStr">
        <is>
          <t>US-E-255</t>
        </is>
      </c>
      <c r="B188" t="n">
        <v>775</v>
      </c>
      <c r="C188" t="inlineStr">
        <is>
          <t>Story</t>
        </is>
      </c>
      <c r="D188" s="5" t="inlineStr">
        <is>
          <t xml:space="preserve">        Full-history import as closed, locked periods</t>
        </is>
      </c>
      <c r="E188" t="inlineStr">
        <is>
          <t>Platform services</t>
        </is>
      </c>
      <c r="F188" t="inlineStr">
        <is>
          <t>Data migration, implementation and sandbox</t>
        </is>
      </c>
      <c r="G188" t="inlineStr">
        <is>
          <t>New</t>
        </is>
      </c>
      <c r="I188">
        <f>IF(H188&lt;&gt;"",H188,G188)</f>
        <v/>
      </c>
      <c r="J188" t="inlineStr">
        <is>
          <t>Step 5</t>
        </is>
      </c>
      <c r="K188" t="n">
        <v>5</v>
      </c>
      <c r="L188" t="n">
        <v>2</v>
      </c>
      <c r="M188" s="5" t="inlineStr">
        <is>
          <t>As an HR admin, I want past years imported as locked history so that reports and statutory look-backs work.</t>
        </is>
      </c>
      <c r="N188" s="5" t="inlineStr">
        <is>
          <t>• Given past financial years, when imported, then they are closed and locked periods marked with their batch (YX-MIG-12).
• Given payroll or leave engines, when they run, then imported periods are never recalculated (YX-MIG-12).
• Given reports and employee history, when opened, then imported periods are included (YX-MIG-12).</t>
        </is>
      </c>
      <c r="O188" s="5" t="inlineStr">
        <is>
          <t>YX-MIG-12</t>
        </is>
      </c>
      <c r="P188" t="inlineStr">
        <is>
          <t>P15</t>
        </is>
      </c>
      <c r="Q188" t="inlineStr">
        <is>
          <t>US-E-248</t>
        </is>
      </c>
      <c r="R188" s="5" t="inlineStr"/>
    </row>
    <row r="189">
      <c r="A189" t="inlineStr">
        <is>
          <t>US-E-251</t>
        </is>
      </c>
      <c r="B189" t="n">
        <v>790</v>
      </c>
      <c r="C189" t="inlineStr">
        <is>
          <t>Story</t>
        </is>
      </c>
      <c r="D189" s="5" t="inlineStr">
        <is>
          <t xml:space="preserve">        Demo data generator</t>
        </is>
      </c>
      <c r="E189" t="inlineStr">
        <is>
          <t>Platform services</t>
        </is>
      </c>
      <c r="F189" t="inlineStr">
        <is>
          <t>Data migration, implementation and sandbox</t>
        </is>
      </c>
      <c r="G189" t="inlineStr">
        <is>
          <t>New</t>
        </is>
      </c>
      <c r="I189">
        <f>IF(H189&lt;&gt;"",H189,G189)</f>
        <v/>
      </c>
      <c r="J189" t="inlineStr">
        <is>
          <t>Step 5 · before paid pilot</t>
        </is>
      </c>
      <c r="K189" t="n">
        <v>3</v>
      </c>
      <c r="L189" t="n">
        <v>2</v>
      </c>
      <c r="M189" s="5" t="inlineStr">
        <is>
          <t>As a sales engineer, I want realistic demo data so that trials and sandboxes look real.</t>
        </is>
      </c>
      <c r="N189" s="5" t="inlineStr">
        <is>
          <t>• Given a new demo or sandbox tenant, when generated, then org, employees and transactions are created.
• Given demo data, when generated, then no real person data is used.
• Given a size band, when chosen, then the right number of records is made.</t>
        </is>
      </c>
      <c r="O189" s="5" t="inlineStr"/>
      <c r="P189" t="inlineStr">
        <is>
          <t>P15</t>
        </is>
      </c>
      <c r="Q189" t="inlineStr"/>
      <c r="R189" s="5" t="inlineStr"/>
    </row>
    <row r="190">
      <c r="A190" t="inlineStr">
        <is>
          <t>US-E-256</t>
        </is>
      </c>
      <c r="B190" t="n">
        <v>790</v>
      </c>
      <c r="C190" t="inlineStr">
        <is>
          <t>Story</t>
        </is>
      </c>
      <c r="D190" s="5" t="inlineStr">
        <is>
          <t xml:space="preserve">        Tenant sandbox with stubbed outbound channels and masked data</t>
        </is>
      </c>
      <c r="E190" t="inlineStr">
        <is>
          <t>Platform services</t>
        </is>
      </c>
      <c r="F190" t="inlineStr">
        <is>
          <t>Data migration, implementation and sandbox</t>
        </is>
      </c>
      <c r="G190" t="inlineStr">
        <is>
          <t>New</t>
        </is>
      </c>
      <c r="I190">
        <f>IF(H190&lt;&gt;"",H190,G190)</f>
        <v/>
      </c>
      <c r="J190" t="inlineStr">
        <is>
          <t>Step 5 · before paid pilot</t>
        </is>
      </c>
      <c r="K190" t="n">
        <v>8</v>
      </c>
      <c r="L190" t="n">
        <v>1</v>
      </c>
      <c r="M190" s="5" t="inlineStr">
        <is>
          <t>As a system admin, I want a sandbox copy so that I test changes safely.</t>
        </is>
      </c>
      <c r="N190" s="5" t="inlineStr">
        <is>
          <t>• Given a sandbox, when anything sends notifications, bank files, filings or partner calls, then they are stubbed (YX-MIG-09).
• Given sandbox data, when copied, then it is masked per Q5 (YX-MIG-09).
• Given a sandbox, when shown, then a clear banner says it is a sandbox.</t>
        </is>
      </c>
      <c r="O190" s="5" t="inlineStr">
        <is>
          <t>YX-MIG-09</t>
        </is>
      </c>
      <c r="P190" t="inlineStr">
        <is>
          <t>P15</t>
        </is>
      </c>
      <c r="Q190" t="inlineStr"/>
      <c r="R190" s="5" t="inlineStr"/>
    </row>
    <row r="191">
      <c r="A191" t="inlineStr">
        <is>
          <t>US-E-257</t>
        </is>
      </c>
      <c r="B191" t="n">
        <v>791</v>
      </c>
      <c r="C191" t="inlineStr">
        <is>
          <t>Story</t>
        </is>
      </c>
      <c r="D191" s="5" t="inlineStr">
        <is>
          <t xml:space="preserve">        Promote configuration from sandbox to production</t>
        </is>
      </c>
      <c r="E191" t="inlineStr">
        <is>
          <t>Platform services</t>
        </is>
      </c>
      <c r="F191" t="inlineStr">
        <is>
          <t>Data migration, implementation and sandbox</t>
        </is>
      </c>
      <c r="G191" t="inlineStr">
        <is>
          <t>New</t>
        </is>
      </c>
      <c r="I191">
        <f>IF(H191&lt;&gt;"",H191,G191)</f>
        <v/>
      </c>
      <c r="J191" t="inlineStr">
        <is>
          <t>Step 5 · before paid pilot</t>
        </is>
      </c>
      <c r="K191" t="n">
        <v>5</v>
      </c>
      <c r="L191" t="n">
        <v>1</v>
      </c>
      <c r="M191" s="5" t="inlineStr">
        <is>
          <t>As a system admin, I want reviewed promotion of configuration so that production changes are controlled.</t>
        </is>
      </c>
      <c r="N191" s="5" t="inlineStr">
        <is>
          <t>• Given configuration changes in the sandbox, when promoted, then a diff is shown and an approver approves it (P03) (YX-MIG-10).
• Given promotion, when applied, then no data is copied, only configuration (YX-MIG-10).
• Given a rejected promotion, when closed, then nothing changes in production.</t>
        </is>
      </c>
      <c r="O191" s="5" t="inlineStr">
        <is>
          <t>YX-MIG-10</t>
        </is>
      </c>
      <c r="P191" t="inlineStr">
        <is>
          <t>P15</t>
        </is>
      </c>
      <c r="Q191" t="inlineStr">
        <is>
          <t>US-E-256</t>
        </is>
      </c>
      <c r="R191" s="5" t="inlineStr"/>
    </row>
    <row r="192">
      <c r="A192" t="inlineStr">
        <is>
          <t>US-E-258</t>
        </is>
      </c>
      <c r="B192" t="n">
        <v>795</v>
      </c>
      <c r="C192" t="inlineStr">
        <is>
          <t>Story</t>
        </is>
      </c>
      <c r="D192" s="5" t="inlineStr">
        <is>
          <t xml:space="preserve">        Pilot exit criteria tracked in the console</t>
        </is>
      </c>
      <c r="E192" t="inlineStr">
        <is>
          <t>Platform services</t>
        </is>
      </c>
      <c r="F192" t="inlineStr">
        <is>
          <t>Data migration, implementation and sandbox</t>
        </is>
      </c>
      <c r="G192" t="inlineStr">
        <is>
          <t>New</t>
        </is>
      </c>
      <c r="I192">
        <f>IF(H192&lt;&gt;"",H192,G192)</f>
        <v/>
      </c>
      <c r="J192" t="inlineStr">
        <is>
          <t>Before public launch</t>
        </is>
      </c>
      <c r="K192" t="n">
        <v>3</v>
      </c>
      <c r="L192" t="n">
        <v>1</v>
      </c>
      <c r="M192" s="5" t="inlineStr">
        <is>
          <t>As the founder, I want public launch gated on pilot evidence so that we launch only when ready.</t>
        </is>
      </c>
      <c r="N192" s="5" t="inlineStr">
        <is>
          <t>• Given the Q6 criteria, when tracked, then each has evidence (variance reports, portal acknowledgements, incidents, readiness scores, sign-offs) (YX-MIG-13).
• Given any criterion unmet, when launch is requested, then it is blocked (YX-MIG-13).
• Given the console, when opened by staff, then the status per criterion is shown (YX-MIG-13).</t>
        </is>
      </c>
      <c r="O192" s="5" t="inlineStr">
        <is>
          <t>YX-MIG-13</t>
        </is>
      </c>
      <c r="P192" t="inlineStr">
        <is>
          <t>P15</t>
        </is>
      </c>
      <c r="Q192" t="inlineStr"/>
      <c r="R192" s="5" t="inlineStr"/>
    </row>
    <row r="193">
      <c r="A193" s="9" t="inlineStr">
        <is>
          <t>FT-E-38</t>
        </is>
      </c>
      <c r="B193" s="9" t="n">
        <v>360</v>
      </c>
      <c r="C193" s="9" t="inlineStr">
        <is>
          <t>Feature</t>
        </is>
      </c>
      <c r="D193" s="10" t="inlineStr">
        <is>
          <t xml:space="preserve">    Global search and command palette</t>
        </is>
      </c>
      <c r="E193" s="9" t="inlineStr">
        <is>
          <t>Platform services</t>
        </is>
      </c>
      <c r="F193" s="9" t="inlineStr">
        <is>
          <t>Global search and command palette</t>
        </is>
      </c>
      <c r="G193" s="9" t="inlineStr">
        <is>
          <t>New</t>
        </is>
      </c>
      <c r="H193" s="9" t="n"/>
      <c r="I193" s="9">
        <f>IF(H193&lt;&gt;"",H193,G193)</f>
        <v/>
      </c>
      <c r="J193" s="9" t="inlineStr">
        <is>
          <t>Step 2</t>
        </is>
      </c>
      <c r="K193" s="9" t="n"/>
      <c r="L193" s="9" t="n"/>
      <c r="M193" s="10" t="inlineStr"/>
      <c r="N193" s="10" t="inlineStr"/>
      <c r="O193" s="10" t="inlineStr">
        <is>
          <t>YX-SRCH-01, YX-SRCH-02, YX-SRCH-03, YX-SRCH-04, YX-SRCH-05, YX-SRCH-06, YX-SRCH-07, YX-SRCH-08, YX-SRCH-09, YX-SRCH-10, YX-SRCH-11, YX-SRCH-12</t>
        </is>
      </c>
      <c r="P193" s="9" t="inlineStr">
        <is>
          <t>P17</t>
        </is>
      </c>
      <c r="Q193" s="9" t="inlineStr"/>
      <c r="R193" s="10" t="inlineStr"/>
      <c r="S193" s="9" t="n"/>
    </row>
    <row r="194">
      <c r="A194" t="inlineStr">
        <is>
          <t>US-E-259</t>
        </is>
      </c>
      <c r="B194" t="n">
        <v>360</v>
      </c>
      <c r="C194" t="inlineStr">
        <is>
          <t>Story</t>
        </is>
      </c>
      <c r="D194" s="5" t="inlineStr">
        <is>
          <t xml:space="preserve">        Per-tenant search index filtered at query time</t>
        </is>
      </c>
      <c r="E194" t="inlineStr">
        <is>
          <t>Platform services</t>
        </is>
      </c>
      <c r="F194" t="inlineStr">
        <is>
          <t>Global search and command palette</t>
        </is>
      </c>
      <c r="G194" t="inlineStr">
        <is>
          <t>New</t>
        </is>
      </c>
      <c r="I194">
        <f>IF(H194&lt;&gt;"",H194,G194)</f>
        <v/>
      </c>
      <c r="J194" t="inlineStr">
        <is>
          <t>Step 2</t>
        </is>
      </c>
      <c r="K194" t="n">
        <v>8</v>
      </c>
      <c r="L194" t="n">
        <v>1</v>
      </c>
      <c r="M194" s="5" t="inlineStr">
        <is>
          <t>As a user, I want one search box that finds people, records and screens so that I move fast, safely.</t>
        </is>
      </c>
      <c r="N194" s="5" t="inlineStr">
        <is>
          <t>• Given a search, when results return, then every result, count, snippet and suggestion is filtered by RLS and my P02 scope (YX-SRCH-01).
• Given the index, when built, then it is per tenant and no ranking or suggestion uses another tenant’s data (YX-SRCH-02).
• Given indexed text, when matched, then only field classes I hold match and snippets never show a class I lack (YX-SRCH-03).
• Given a class, restricted flag or scope change, when saved, then the record re-indexes in the same transaction; other changes within 5 seconds (YX-SRCH-06).</t>
        </is>
      </c>
      <c r="O194" s="5" t="inlineStr">
        <is>
          <t>YX-SRCH-01, YX-SRCH-02, YX-SRCH-03, YX-SRCH-06</t>
        </is>
      </c>
      <c r="P194" t="inlineStr">
        <is>
          <t>P17</t>
        </is>
      </c>
      <c r="Q194" t="inlineStr">
        <is>
          <t>US-E-214</t>
        </is>
      </c>
      <c r="R194" s="5" t="inlineStr"/>
    </row>
    <row r="195">
      <c r="A195" t="inlineStr">
        <is>
          <t>US-E-260</t>
        </is>
      </c>
      <c r="B195" t="n">
        <v>360</v>
      </c>
      <c r="C195" t="inlineStr">
        <is>
          <t>Story</t>
        </is>
      </c>
      <c r="D195" s="5" t="inlineStr">
        <is>
          <t xml:space="preserve">        Special data and restricted records in search</t>
        </is>
      </c>
      <c r="E195" t="inlineStr">
        <is>
          <t>Platform services</t>
        </is>
      </c>
      <c r="F195" t="inlineStr">
        <is>
          <t>Global search and command palette</t>
        </is>
      </c>
      <c r="G195" t="inlineStr">
        <is>
          <t>New</t>
        </is>
      </c>
      <c r="I195">
        <f>IF(H195&lt;&gt;"",H195,G195)</f>
        <v/>
      </c>
      <c r="J195" t="inlineStr">
        <is>
          <t>Step 2</t>
        </is>
      </c>
      <c r="K195" t="n">
        <v>5</v>
      </c>
      <c r="L195" t="n">
        <v>1</v>
      </c>
      <c r="M195" s="5" t="inlineStr">
        <is>
          <t>As a DPO, I want sensitive data kept out of search so that search never leaks it.</t>
        </is>
      </c>
      <c r="N195" s="5" t="inlineStr">
        <is>
          <t>• Given Special fields and restricted narratives, when indexed, then they are never indexed as text (YX-SRCH-04).
• Given a Special identifier, when searched by a role that holds it, then a keyed-hash exact match returns the masked value and the match is audited (YX-SRCH-04).
• Given a restricted-area record, when a non-member searches, then search behaves as if it does not exist (YX-SRCH-05).</t>
        </is>
      </c>
      <c r="O195" s="5" t="inlineStr">
        <is>
          <t>YX-SRCH-04, YX-SRCH-05</t>
        </is>
      </c>
      <c r="P195" t="inlineStr">
        <is>
          <t>P17</t>
        </is>
      </c>
      <c r="Q195" t="inlineStr">
        <is>
          <t>US-E-259</t>
        </is>
      </c>
      <c r="R195" s="5" t="inlineStr"/>
    </row>
    <row r="196">
      <c r="A196" t="inlineStr">
        <is>
          <t>US-E-261</t>
        </is>
      </c>
      <c r="B196" t="n">
        <v>360</v>
      </c>
      <c r="C196" t="inlineStr">
        <is>
          <t>Story</t>
        </is>
      </c>
      <c r="D196" s="5" t="inlineStr">
        <is>
          <t xml:space="preserve">        Command palette actions</t>
        </is>
      </c>
      <c r="E196" t="inlineStr">
        <is>
          <t>Platform services</t>
        </is>
      </c>
      <c r="F196" t="inlineStr">
        <is>
          <t>Global search and command palette</t>
        </is>
      </c>
      <c r="G196" t="inlineStr">
        <is>
          <t>New</t>
        </is>
      </c>
      <c r="I196">
        <f>IF(H196&lt;&gt;"",H196,G196)</f>
        <v/>
      </c>
      <c r="J196" t="inlineStr">
        <is>
          <t>Step 2</t>
        </is>
      </c>
      <c r="K196" t="n">
        <v>3</v>
      </c>
      <c r="L196" t="n">
        <v>1</v>
      </c>
      <c r="M196" s="5" t="inlineStr">
        <is>
          <t>As a user, I want to type an action like "apply leave" so that I start tasks quickly.</t>
        </is>
      </c>
      <c r="N196" s="5" t="inlineStr">
        <is>
          <t>• Given my permissions and products, when the palette lists actions, then only allowed ones show (YX-SRCH-07).
• Given an action, when chosen, then it opens its sheet, inbox or wizard (YX-SRCH-07).
• Given an irreversible step, when chosen, then it is never executed directly from the palette (YX-SRCH-07).</t>
        </is>
      </c>
      <c r="O196" s="5" t="inlineStr">
        <is>
          <t>YX-SRCH-07</t>
        </is>
      </c>
      <c r="P196" t="inlineStr">
        <is>
          <t>P17</t>
        </is>
      </c>
      <c r="Q196" t="inlineStr">
        <is>
          <t>US-E-259</t>
        </is>
      </c>
      <c r="R196" s="5" t="inlineStr"/>
    </row>
    <row r="197">
      <c r="A197" t="inlineStr">
        <is>
          <t>US-E-262</t>
        </is>
      </c>
      <c r="B197" t="n">
        <v>360</v>
      </c>
      <c r="C197" t="inlineStr">
        <is>
          <t>Story</t>
        </is>
      </c>
      <c r="D197" s="5" t="inlineStr">
        <is>
          <t xml:space="preserve">        Exact IDs first, typo and Indian-name tolerance</t>
        </is>
      </c>
      <c r="E197" t="inlineStr">
        <is>
          <t>Platform services</t>
        </is>
      </c>
      <c r="F197" t="inlineStr">
        <is>
          <t>Global search and command palette</t>
        </is>
      </c>
      <c r="G197" t="inlineStr">
        <is>
          <t>New</t>
        </is>
      </c>
      <c r="I197">
        <f>IF(H197&lt;&gt;"",H197,G197)</f>
        <v/>
      </c>
      <c r="J197" t="inlineStr">
        <is>
          <t>Step 2</t>
        </is>
      </c>
      <c r="K197" t="n">
        <v>5</v>
      </c>
      <c r="L197" t="n">
        <v>1</v>
      </c>
      <c r="M197" s="5" t="inlineStr">
        <is>
          <t>As a user, I want search to find names with typos and in Indian scripts so that I find people easily.</t>
        </is>
      </c>
      <c r="N197" s="5" t="inlineStr">
        <is>
          <t>• Given a full employee code, ticket reference or candidate email, when typed, then that record comes first if visible (YX-SRCH-08).
• Given up to two typos or transliteration variants, when searched, then the name still matches (YX-SRCH-09).
• Given Latin and Indic scripts, when searched, then matches cross scripts; screen names and help match in every employee language (YX-SRCH-09).</t>
        </is>
      </c>
      <c r="O197" s="5" t="inlineStr">
        <is>
          <t>YX-SRCH-08, YX-SRCH-09</t>
        </is>
      </c>
      <c r="P197" t="inlineStr">
        <is>
          <t>P17</t>
        </is>
      </c>
      <c r="Q197" t="inlineStr">
        <is>
          <t>US-E-259</t>
        </is>
      </c>
      <c r="R197" s="5" t="inlineStr"/>
    </row>
    <row r="198">
      <c r="A198" t="inlineStr">
        <is>
          <t>US-E-263</t>
        </is>
      </c>
      <c r="B198" t="n">
        <v>360</v>
      </c>
      <c r="C198" t="inlineStr">
        <is>
          <t>Story</t>
        </is>
      </c>
      <c r="D198" s="5" t="inlineStr">
        <is>
          <t xml:space="preserve">        Optional document content search</t>
        </is>
      </c>
      <c r="E198" t="inlineStr">
        <is>
          <t>Platform services</t>
        </is>
      </c>
      <c r="F198" t="inlineStr">
        <is>
          <t>Global search and command palette</t>
        </is>
      </c>
      <c r="G198" t="inlineStr">
        <is>
          <t>New</t>
        </is>
      </c>
      <c r="I198">
        <f>IF(H198&lt;&gt;"",H198,G198)</f>
        <v/>
      </c>
      <c r="J198" t="inlineStr">
        <is>
          <t>Step 2</t>
        </is>
      </c>
      <c r="K198" t="n">
        <v>3</v>
      </c>
      <c r="L198" t="n">
        <v>2</v>
      </c>
      <c r="M198" s="5" t="inlineStr">
        <is>
          <t>As an HR user, I want to search inside allowed documents so that I find a policy or letter by its words.</t>
        </is>
      </c>
      <c r="N198" s="5" t="inlineStr">
        <is>
          <t>• Given document types the company switched on, when indexed, then their content is searchable (YX-SRCH-10).
• Given Confidential or Special document types, when indexing runs, then their content is never indexed (YX-SRCH-10).
• Given any document, when searched, then metadata search is always on (YX-SRCH-10).</t>
        </is>
      </c>
      <c r="O198" s="5" t="inlineStr">
        <is>
          <t>YX-SRCH-10</t>
        </is>
      </c>
      <c r="P198" t="inlineStr">
        <is>
          <t>P17</t>
        </is>
      </c>
      <c r="Q198" t="inlineStr">
        <is>
          <t>US-E-259</t>
        </is>
      </c>
      <c r="R198" s="5" t="inlineStr"/>
    </row>
    <row r="199">
      <c r="A199" t="inlineStr">
        <is>
          <t>US-E-264</t>
        </is>
      </c>
      <c r="B199" t="n">
        <v>360</v>
      </c>
      <c r="C199" t="inlineStr">
        <is>
          <t>Story</t>
        </is>
      </c>
      <c r="D199" s="5" t="inlineStr">
        <is>
          <t xml:space="preserve">        Synonyms, recent items and saved searches</t>
        </is>
      </c>
      <c r="E199" t="inlineStr">
        <is>
          <t>Platform services</t>
        </is>
      </c>
      <c r="F199" t="inlineStr">
        <is>
          <t>Global search and command palette</t>
        </is>
      </c>
      <c r="G199" t="inlineStr">
        <is>
          <t>New</t>
        </is>
      </c>
      <c r="I199">
        <f>IF(H199&lt;&gt;"",H199,G199)</f>
        <v/>
      </c>
      <c r="J199" t="inlineStr">
        <is>
          <t>Step 2</t>
        </is>
      </c>
      <c r="K199" t="n">
        <v>3</v>
      </c>
      <c r="L199" t="n">
        <v>2</v>
      </c>
      <c r="M199" s="5" t="inlineStr">
        <is>
          <t>As a user, I want my recent items and company synonyms so that search feels smart.</t>
        </is>
      </c>
      <c r="N199" s="5" t="inlineStr">
        <is>
          <t>• Given the YukthiX starter synonym list, when the company adds terms, then searches use them (YX-SRCH-11).
• Given ranking, when computed, then it uses only the tenant’s data and my own history (YX-SRCH-11).
• Given my recent items and saved searches, when I open the box, then they show first.</t>
        </is>
      </c>
      <c r="O199" s="5" t="inlineStr">
        <is>
          <t>YX-SRCH-11</t>
        </is>
      </c>
      <c r="P199" t="inlineStr">
        <is>
          <t>P17</t>
        </is>
      </c>
      <c r="Q199" t="inlineStr">
        <is>
          <t>US-E-259</t>
        </is>
      </c>
      <c r="R199" s="5" t="inlineStr"/>
    </row>
    <row r="200">
      <c r="A200" t="inlineStr">
        <is>
          <t>US-E-265</t>
        </is>
      </c>
      <c r="B200" t="n">
        <v>360</v>
      </c>
      <c r="C200" t="inlineStr">
        <is>
          <t>Story</t>
        </is>
      </c>
      <c r="D200" s="5" t="inlineStr">
        <is>
          <t xml:space="preserve">        Search as an API route</t>
        </is>
      </c>
      <c r="E200" t="inlineStr">
        <is>
          <t>Platform services</t>
        </is>
      </c>
      <c r="F200" t="inlineStr">
        <is>
          <t>Global search and command palette</t>
        </is>
      </c>
      <c r="G200" t="inlineStr">
        <is>
          <t>New</t>
        </is>
      </c>
      <c r="I200">
        <f>IF(H200&lt;&gt;"",H200,G200)</f>
        <v/>
      </c>
      <c r="J200" t="inlineStr">
        <is>
          <t>Step 2</t>
        </is>
      </c>
      <c r="K200" t="n">
        <v>2</v>
      </c>
      <c r="L200" t="n">
        <v>1</v>
      </c>
      <c r="M200" s="5" t="inlineStr">
        <is>
          <t>As a developer, I want a search API that respects the same rules so that integrations can search.</t>
        </is>
      </c>
      <c r="N200" s="5" t="inlineStr">
        <is>
          <t>• Given the search API, when called by our apps or API clients with the same permissions, then results are the same (YX-SRCH-12).
• Given an API key, when it searches, then only sources and field classes in its scope are searched (YX-SRCH-12).
• Given the OpenAPI, when generated, then the search route is documented.</t>
        </is>
      </c>
      <c r="O200" s="5" t="inlineStr">
        <is>
          <t>YX-SRCH-12</t>
        </is>
      </c>
      <c r="P200" t="inlineStr">
        <is>
          <t>P17</t>
        </is>
      </c>
      <c r="Q200" t="inlineStr">
        <is>
          <t>US-E-259, US-E-218</t>
        </is>
      </c>
      <c r="R200" s="5" t="inlineStr"/>
    </row>
    <row r="201">
      <c r="A201" s="9" t="inlineStr">
        <is>
          <t>FT-E-39</t>
        </is>
      </c>
      <c r="B201" s="9" t="n">
        <v>380</v>
      </c>
      <c r="C201" s="9" t="inlineStr">
        <is>
          <t>Feature</t>
        </is>
      </c>
      <c r="D201" s="10" t="inlineStr">
        <is>
          <t xml:space="preserve">    Policy rule builder and automations</t>
        </is>
      </c>
      <c r="E201" s="9" t="inlineStr">
        <is>
          <t>Platform services</t>
        </is>
      </c>
      <c r="F201" s="9" t="inlineStr">
        <is>
          <t>Policy rule builder and automations</t>
        </is>
      </c>
      <c r="G201" s="9" t="inlineStr">
        <is>
          <t>New</t>
        </is>
      </c>
      <c r="H201" s="9" t="n"/>
      <c r="I201" s="9">
        <f>IF(H201&lt;&gt;"",H201,G201)</f>
        <v/>
      </c>
      <c r="J201" s="9" t="inlineStr">
        <is>
          <t>Step 2</t>
        </is>
      </c>
      <c r="K201" s="9" t="n"/>
      <c r="L201" s="9" t="n"/>
      <c r="M201" s="10" t="inlineStr"/>
      <c r="N201" s="10" t="inlineStr"/>
      <c r="O201" s="10" t="inlineStr">
        <is>
          <t>YX-RULE-01, YX-RULE-02, YX-RULE-03, YX-RULE-04, YX-RULE-05, YX-RULE-06, YX-RULE-07, YX-RULE-08, YX-RULE-09, YX-RULE-10, YX-RULE-11, YX-RULE-12, YX-RULE-13, YX-RULE-14</t>
        </is>
      </c>
      <c r="P201" s="9" t="inlineStr">
        <is>
          <t>P19</t>
        </is>
      </c>
      <c r="Q201" s="9" t="inlineStr"/>
      <c r="R201" s="10" t="inlineStr"/>
      <c r="S201" s="9" t="n"/>
    </row>
    <row r="202">
      <c r="A202" t="inlineStr">
        <is>
          <t>US-E-266</t>
        </is>
      </c>
      <c r="B202" t="n">
        <v>380</v>
      </c>
      <c r="C202" t="inlineStr">
        <is>
          <t>Story</t>
        </is>
      </c>
      <c r="D202" s="5" t="inlineStr">
        <is>
          <t xml:space="preserve">        Policy points answered by the rule engine with starter rules</t>
        </is>
      </c>
      <c r="E202" t="inlineStr">
        <is>
          <t>Platform services</t>
        </is>
      </c>
      <c r="F202" t="inlineStr">
        <is>
          <t>Policy rule builder and automations</t>
        </is>
      </c>
      <c r="G202" t="inlineStr">
        <is>
          <t>New</t>
        </is>
      </c>
      <c r="I202">
        <f>IF(H202&lt;&gt;"",H202,G202)</f>
        <v/>
      </c>
      <c r="J202" t="inlineStr">
        <is>
          <t>Step 2</t>
        </is>
      </c>
      <c r="K202" t="n">
        <v>5</v>
      </c>
      <c r="L202" t="n">
        <v>1</v>
      </c>
      <c r="M202" s="5" t="inlineStr">
        <is>
          <t>As a product owner, I want every company-variable decision to be a policy point so that no policy is hard-coded.</t>
        </is>
      </c>
      <c r="N202" s="5" t="inlineStr">
        <is>
          <t>• Given a company-variable decision in any module, when built, then it is a registered policy point answered by the rule engine (YX-RULE-01).
• Given a module, when it ships, then it ships starter rules, never hard-coded policy (YX-RULE-01).
• Given the Policies page per module, when opened, then each policy point shows its active rule, scope, starter / customised badge and last change.</t>
        </is>
      </c>
      <c r="O202" s="5" t="inlineStr">
        <is>
          <t>YX-RULE-01</t>
        </is>
      </c>
      <c r="P202" t="inlineStr">
        <is>
          <t>P19</t>
        </is>
      </c>
      <c r="Q202" t="inlineStr">
        <is>
          <t>US-E-232</t>
        </is>
      </c>
      <c r="R202" s="5" t="inlineStr"/>
    </row>
    <row r="203">
      <c r="A203" t="inlineStr">
        <is>
          <t>US-E-267</t>
        </is>
      </c>
      <c r="B203" t="n">
        <v>380</v>
      </c>
      <c r="C203" t="inlineStr">
        <is>
          <t>Story</t>
        </is>
      </c>
      <c r="D203" s="5" t="inlineStr">
        <is>
          <t xml:space="preserve">        Rule builder with fields and a typed expression language</t>
        </is>
      </c>
      <c r="E203" t="inlineStr">
        <is>
          <t>Platform services</t>
        </is>
      </c>
      <c r="F203" t="inlineStr">
        <is>
          <t>Policy rule builder and automations</t>
        </is>
      </c>
      <c r="G203" t="inlineStr">
        <is>
          <t>New</t>
        </is>
      </c>
      <c r="I203">
        <f>IF(H203&lt;&gt;"",H203,G203)</f>
        <v/>
      </c>
      <c r="J203" t="inlineStr">
        <is>
          <t>Step 2</t>
        </is>
      </c>
      <c r="K203" t="n">
        <v>8</v>
      </c>
      <c r="L203" t="n">
        <v>1</v>
      </c>
      <c r="M203" s="5" t="inlineStr">
        <is>
          <t>As a policy owner, I want to build rules with conditions on any field I can see so that policies fit our company.</t>
        </is>
      </c>
      <c r="N203" s="5" t="inlineStr">
        <is>
          <t>• Given a rule, when authored, then it can use built-in, custom or related fields I can see, by fixed API names (YX-RULE-02).
• Given a field used by an active rule, when someone deletes it or changes its type, then it is blocked until the rule changes (YX-RULE-02).
• Given an expression, when saved, then it is type-checked, deterministic, side-effect free, time-limited and calls no outside system (YX-RULE-05).</t>
        </is>
      </c>
      <c r="O203" s="5" t="inlineStr">
        <is>
          <t>YX-RULE-02, YX-RULE-05</t>
        </is>
      </c>
      <c r="P203" t="inlineStr">
        <is>
          <t>P19</t>
        </is>
      </c>
      <c r="Q203" t="inlineStr">
        <is>
          <t>US-E-266</t>
        </is>
      </c>
      <c r="R203" s="5" t="inlineStr"/>
    </row>
    <row r="204">
      <c r="A204" t="inlineStr">
        <is>
          <t>US-E-268</t>
        </is>
      </c>
      <c r="B204" t="n">
        <v>380</v>
      </c>
      <c r="C204" t="inlineStr">
        <is>
          <t>Story</t>
        </is>
      </c>
      <c r="D204" s="5" t="inlineStr">
        <is>
          <t xml:space="preserve">        Legal floors and protected areas win over company rules</t>
        </is>
      </c>
      <c r="E204" t="inlineStr">
        <is>
          <t>Platform services</t>
        </is>
      </c>
      <c r="F204" t="inlineStr">
        <is>
          <t>Policy rule builder and automations</t>
        </is>
      </c>
      <c r="G204" t="inlineStr">
        <is>
          <t>New</t>
        </is>
      </c>
      <c r="I204">
        <f>IF(H204&lt;&gt;"",H204,G204)</f>
        <v/>
      </c>
      <c r="J204" t="inlineStr">
        <is>
          <t>Step 2</t>
        </is>
      </c>
      <c r="K204" t="n">
        <v>3</v>
      </c>
      <c r="L204" t="n">
        <v>1</v>
      </c>
      <c r="M204" s="5" t="inlineStr">
        <is>
          <t>As a compliance officer, I want the law to always win so that company rules never break it.</t>
        </is>
      </c>
      <c r="N204" s="5" t="inlineStr">
        <is>
          <t>• Given a P07 legal floor or cap, when a company rule conflicts, then the legal value applies (YX-RULE-03).
• Given a save, when the rule goes below the floor, then the builder warns with the number of people affected (YX-RULE-03).
• Given a protected area (statutory values, locked payroll, audit, consent), when a rule or automation targets it, then it is refused (YX-RULE-04).</t>
        </is>
      </c>
      <c r="O204" s="5" t="inlineStr">
        <is>
          <t>YX-RULE-03, YX-RULE-04</t>
        </is>
      </c>
      <c r="P204" t="inlineStr">
        <is>
          <t>P19</t>
        </is>
      </c>
      <c r="Q204" t="inlineStr">
        <is>
          <t>US-E-267</t>
        </is>
      </c>
      <c r="R204" s="5" t="inlineStr"/>
    </row>
    <row r="205">
      <c r="A205" t="inlineStr">
        <is>
          <t>US-E-269</t>
        </is>
      </c>
      <c r="B205" t="n">
        <v>380</v>
      </c>
      <c r="C205" t="inlineStr">
        <is>
          <t>Story</t>
        </is>
      </c>
      <c r="D205" s="5" t="inlineStr">
        <is>
          <t xml:space="preserve">        Versioned, dated rules with second approval for sensitive areas</t>
        </is>
      </c>
      <c r="E205" t="inlineStr">
        <is>
          <t>Platform services</t>
        </is>
      </c>
      <c r="F205" t="inlineStr">
        <is>
          <t>Policy rule builder and automations</t>
        </is>
      </c>
      <c r="G205" t="inlineStr">
        <is>
          <t>New</t>
        </is>
      </c>
      <c r="I205">
        <f>IF(H205&lt;&gt;"",H205,G205)</f>
        <v/>
      </c>
      <c r="J205" t="inlineStr">
        <is>
          <t>Step 2</t>
        </is>
      </c>
      <c r="K205" t="n">
        <v>3</v>
      </c>
      <c r="L205" t="n">
        <v>1</v>
      </c>
      <c r="M205" s="5" t="inlineStr">
        <is>
          <t>As an auditor, I want every rule change versioned and approved so that policy changes are traceable.</t>
        </is>
      </c>
      <c r="N205" s="5" t="inlineStr">
        <is>
          <t>• Given a rule change, when saved, then it is versioned, effective-dated and audited (YX-RULE-06).
• Given a rule touching pay, leave balances, access or data visibility, when submitted, then a second person must approve (YX-RULE-06).
• Given two versions, when compared, then a diff is shown.</t>
        </is>
      </c>
      <c r="O205" s="5" t="inlineStr">
        <is>
          <t>YX-RULE-06</t>
        </is>
      </c>
      <c r="P205" t="inlineStr">
        <is>
          <t>P19</t>
        </is>
      </c>
      <c r="Q205" t="inlineStr">
        <is>
          <t>US-E-267</t>
        </is>
      </c>
      <c r="R205" s="5" t="inlineStr"/>
    </row>
    <row r="206">
      <c r="A206" t="inlineStr">
        <is>
          <t>US-E-270</t>
        </is>
      </c>
      <c r="B206" t="n">
        <v>380</v>
      </c>
      <c r="C206" t="inlineStr">
        <is>
          <t>Story</t>
        </is>
      </c>
      <c r="D206" s="5" t="inlineStr">
        <is>
          <t xml:space="preserve">        Impact preview before activation</t>
        </is>
      </c>
      <c r="E206" t="inlineStr">
        <is>
          <t>Platform services</t>
        </is>
      </c>
      <c r="F206" t="inlineStr">
        <is>
          <t>Policy rule builder and automations</t>
        </is>
      </c>
      <c r="G206" t="inlineStr">
        <is>
          <t>New</t>
        </is>
      </c>
      <c r="I206">
        <f>IF(H206&lt;&gt;"",H206,G206)</f>
        <v/>
      </c>
      <c r="J206" t="inlineStr">
        <is>
          <t>Step 2</t>
        </is>
      </c>
      <c r="K206" t="n">
        <v>5</v>
      </c>
      <c r="L206" t="n">
        <v>1</v>
      </c>
      <c r="M206" s="5" t="inlineStr">
        <is>
          <t>As a policy owner, I want to see who is affected before a rule goes live so that there are no surprises.</t>
        </is>
      </c>
      <c r="N206" s="5" t="inlineStr">
        <is>
          <t>• Given a rule version, when I try to activate it without a preview on current data or sandbox, then it is blocked (YX-RULE-07).
• Given a preview, when run, then affected count, old vs new per person and money impact are shown.
• Given a preview, when done, then the result is stored with the version (YX-RULE-07).</t>
        </is>
      </c>
      <c r="O206" s="5" t="inlineStr">
        <is>
          <t>YX-RULE-07</t>
        </is>
      </c>
      <c r="P206" t="inlineStr">
        <is>
          <t>P19</t>
        </is>
      </c>
      <c r="Q206" t="inlineStr">
        <is>
          <t>US-E-269</t>
        </is>
      </c>
      <c r="R206" s="5" t="inlineStr"/>
    </row>
    <row r="207">
      <c r="A207" t="inlineStr">
        <is>
          <t>US-E-272</t>
        </is>
      </c>
      <c r="B207" t="n">
        <v>380</v>
      </c>
      <c r="C207" t="inlineStr">
        <is>
          <t>Story</t>
        </is>
      </c>
      <c r="D207" s="5" t="inlineStr">
        <is>
          <t xml:space="preserve">        Conflict resolution and overlap warnings</t>
        </is>
      </c>
      <c r="E207" t="inlineStr">
        <is>
          <t>Platform services</t>
        </is>
      </c>
      <c r="F207" t="inlineStr">
        <is>
          <t>Policy rule builder and automations</t>
        </is>
      </c>
      <c r="G207" t="inlineStr">
        <is>
          <t>New</t>
        </is>
      </c>
      <c r="I207">
        <f>IF(H207&lt;&gt;"",H207,G207)</f>
        <v/>
      </c>
      <c r="J207" t="inlineStr">
        <is>
          <t>Step 2</t>
        </is>
      </c>
      <c r="K207" t="n">
        <v>3</v>
      </c>
      <c r="L207" t="n">
        <v>1</v>
      </c>
      <c r="M207" s="5" t="inlineStr">
        <is>
          <t>As a policy owner, I want to see overlapping or unreachable rules so that the right rule applies.</t>
        </is>
      </c>
      <c r="N207" s="5" t="inlineStr">
        <is>
          <t>• Given two matching rules, when evaluated, then the most specific scope wins, then priority (YX-RULE-09).
• Given overlapping rules, when I edit, then a warning is shown (YX-RULE-09).
• Given an unreachable rule, when I edit, then it is flagged (YX-RULE-09).</t>
        </is>
      </c>
      <c r="O207" s="5" t="inlineStr">
        <is>
          <t>YX-RULE-09</t>
        </is>
      </c>
      <c r="P207" t="inlineStr">
        <is>
          <t>P19</t>
        </is>
      </c>
      <c r="Q207" t="inlineStr">
        <is>
          <t>US-E-267</t>
        </is>
      </c>
      <c r="R207" s="5" t="inlineStr"/>
    </row>
    <row r="208">
      <c r="A208" t="inlineStr">
        <is>
          <t>US-E-273</t>
        </is>
      </c>
      <c r="B208" t="n">
        <v>380</v>
      </c>
      <c r="C208" t="inlineStr">
        <is>
          <t>Story</t>
        </is>
      </c>
      <c r="D208" s="5" t="inlineStr">
        <is>
          <t xml:space="preserve">        "Why" panel for affected people</t>
        </is>
      </c>
      <c r="E208" t="inlineStr">
        <is>
          <t>Platform services</t>
        </is>
      </c>
      <c r="F208" t="inlineStr">
        <is>
          <t>Policy rule builder and automations</t>
        </is>
      </c>
      <c r="G208" t="inlineStr">
        <is>
          <t>New</t>
        </is>
      </c>
      <c r="I208">
        <f>IF(H208&lt;&gt;"",H208,G208)</f>
        <v/>
      </c>
      <c r="J208" t="inlineStr">
        <is>
          <t>Step 2</t>
        </is>
      </c>
      <c r="K208" t="n">
        <v>3</v>
      </c>
      <c r="L208" t="n">
        <v>1</v>
      </c>
      <c r="M208" s="5" t="inlineStr">
        <is>
          <t>As an employee, I want to see why I got a result so that I trust the system.</t>
        </is>
      </c>
      <c r="N208" s="5" t="inlineStr">
        <is>
          <t>• Given a result from a rule (e.g. leave entitlement), when I open "why", then I see the rule name and any legal adjustment in plain language (YX-RULE-10).
• Given the why panel, when shown, then no other person’s data appears (YX-RULE-10).
• Given a legal floor applied, when shown, then the law is named.</t>
        </is>
      </c>
      <c r="O208" s="5" t="inlineStr">
        <is>
          <t>YX-RULE-10</t>
        </is>
      </c>
      <c r="P208" t="inlineStr">
        <is>
          <t>P19</t>
        </is>
      </c>
      <c r="Q208" t="inlineStr">
        <is>
          <t>US-E-267</t>
        </is>
      </c>
      <c r="R208" s="5" t="inlineStr"/>
    </row>
    <row r="209">
      <c r="A209" t="inlineStr">
        <is>
          <t>US-E-271</t>
        </is>
      </c>
      <c r="B209" t="n">
        <v>620</v>
      </c>
      <c r="C209" t="inlineStr">
        <is>
          <t>Story</t>
        </is>
      </c>
      <c r="D209" s="5" t="inlineStr">
        <is>
          <t xml:space="preserve">        Back-dated rule changes follow retro rules</t>
        </is>
      </c>
      <c r="E209" t="inlineStr">
        <is>
          <t>Platform services</t>
        </is>
      </c>
      <c r="F209" t="inlineStr">
        <is>
          <t>Policy rule builder and automations</t>
        </is>
      </c>
      <c r="G209" t="inlineStr">
        <is>
          <t>New</t>
        </is>
      </c>
      <c r="I209">
        <f>IF(H209&lt;&gt;"",H209,G209)</f>
        <v/>
      </c>
      <c r="J209" t="inlineStr">
        <is>
          <t>Step 4</t>
        </is>
      </c>
      <c r="K209" t="n">
        <v>3</v>
      </c>
      <c r="L209" t="n">
        <v>1</v>
      </c>
      <c r="M209" s="5" t="inlineStr">
        <is>
          <t>As a payroll admin, I want back-dated rules to propose arrears, not rewrite locked months, so that history stays correct.</t>
        </is>
      </c>
      <c r="N209" s="5" t="inlineStr">
        <is>
          <t>• Given a back-dated change, when activated, then arrears or balance adjustments are proposed (YX-RULE-08).
• Given locked periods and issued payslips, when the change applies, then they are never rewritten (YX-RULE-08).
• Given the proposal, when approved, then adjustments post in the open period.</t>
        </is>
      </c>
      <c r="O209" s="5" t="inlineStr">
        <is>
          <t>YX-RULE-08</t>
        </is>
      </c>
      <c r="P209" t="inlineStr">
        <is>
          <t>P19</t>
        </is>
      </c>
      <c r="Q209" t="inlineStr">
        <is>
          <t>US-E-270</t>
        </is>
      </c>
      <c r="R209" s="5" t="inlineStr"/>
    </row>
    <row r="210">
      <c r="A210" t="inlineStr">
        <is>
          <t>US-E-274</t>
        </is>
      </c>
      <c r="B210" t="n">
        <v>625</v>
      </c>
      <c r="C210" t="inlineStr">
        <is>
          <t>Story</t>
        </is>
      </c>
      <c r="D210" s="5" t="inlineStr">
        <is>
          <t xml:space="preserve">        Automations with loop protection and run logs</t>
        </is>
      </c>
      <c r="E210" t="inlineStr">
        <is>
          <t>Platform services</t>
        </is>
      </c>
      <c r="F210" t="inlineStr">
        <is>
          <t>Policy rule builder and automations</t>
        </is>
      </c>
      <c r="G210" t="inlineStr">
        <is>
          <t>New</t>
        </is>
      </c>
      <c r="I210">
        <f>IF(H210&lt;&gt;"",H210,G210)</f>
        <v/>
      </c>
      <c r="J210" t="inlineStr">
        <is>
          <t>Step 4</t>
        </is>
      </c>
      <c r="K210" t="n">
        <v>8</v>
      </c>
      <c r="L210" t="n">
        <v>1</v>
      </c>
      <c r="M210" s="5" t="inlineStr">
        <is>
          <t>As a system admin, I want simple automations so that routine updates happen by themselves.</t>
        </is>
      </c>
      <c r="N210" s="5" t="inlineStr">
        <is>
          <t>• Given an automation, when its action would re-trigger the same rule on the same record in one chain, then it is stopped (YX-RULE-11).
• Given the tenant daily run limit, when reached, then extra runs wait and admins are alerted (YX-RULE-11).
• Given failures, when they happen, then retry with backoff runs; every run is logged and failures show in Jobs &amp; errors (YX-RULE-11).
• Given a new automation, when created, then a 30-day dry run shows what it would have done.</t>
        </is>
      </c>
      <c r="O210" s="5" t="inlineStr">
        <is>
          <t>YX-RULE-11</t>
        </is>
      </c>
      <c r="P210" t="inlineStr">
        <is>
          <t>P19</t>
        </is>
      </c>
      <c r="Q210" t="inlineStr">
        <is>
          <t>US-E-270</t>
        </is>
      </c>
      <c r="R210" s="5" t="inlineStr"/>
    </row>
    <row r="211">
      <c r="A211" t="inlineStr">
        <is>
          <t>US-E-275</t>
        </is>
      </c>
      <c r="B211" t="n">
        <v>792</v>
      </c>
      <c r="C211" t="inlineStr">
        <is>
          <t>Story</t>
        </is>
      </c>
      <c r="D211" s="5" t="inlineStr">
        <is>
          <t xml:space="preserve">        Rule promotion and starter updates by acceptance</t>
        </is>
      </c>
      <c r="E211" t="inlineStr">
        <is>
          <t>Platform services</t>
        </is>
      </c>
      <c r="F211" t="inlineStr">
        <is>
          <t>Policy rule builder and automations</t>
        </is>
      </c>
      <c r="G211" t="inlineStr">
        <is>
          <t>New</t>
        </is>
      </c>
      <c r="I211">
        <f>IF(H211&lt;&gt;"",H211,G211)</f>
        <v/>
      </c>
      <c r="J211" t="inlineStr">
        <is>
          <t>Step 5 · before paid pilot</t>
        </is>
      </c>
      <c r="K211" t="n">
        <v>2</v>
      </c>
      <c r="L211" t="n">
        <v>2</v>
      </c>
      <c r="M211" s="5" t="inlineStr">
        <is>
          <t>As a system admin, I want rules promoted from sandbox and starter updates accepted by us so that production is controlled.</t>
        </is>
      </c>
      <c r="N211" s="5" t="inlineStr">
        <is>
          <t>• Given "promotion required" is on, when rules change, then they move through P15 promotion (YX-RULE-12).
• Given a YukthiX starter update, when shipped, then it changes nothing until the company accepts it (YX-RULE-12).
• Given acceptance, when done, then a new rule version is created.</t>
        </is>
      </c>
      <c r="O211" s="5" t="inlineStr">
        <is>
          <t>YX-RULE-12</t>
        </is>
      </c>
      <c r="P211" t="inlineStr">
        <is>
          <t>P19</t>
        </is>
      </c>
      <c r="Q211" t="inlineStr">
        <is>
          <t>US-E-269, US-E-257</t>
        </is>
      </c>
      <c r="R211" s="5" t="inlineStr"/>
    </row>
    <row r="212">
      <c r="A212" t="inlineStr">
        <is>
          <t>US-E-276</t>
        </is>
      </c>
      <c r="B212" t="n">
        <v>830</v>
      </c>
      <c r="C212" t="inlineStr">
        <is>
          <t>Story</t>
        </is>
      </c>
      <c r="D212" s="5" t="inlineStr">
        <is>
          <t xml:space="preserve">        Notice of change for conditions of service</t>
        </is>
      </c>
      <c r="E212" t="inlineStr">
        <is>
          <t>Platform services</t>
        </is>
      </c>
      <c r="F212" t="inlineStr">
        <is>
          <t>Policy rule builder and automations</t>
        </is>
      </c>
      <c r="G212" t="inlineStr">
        <is>
          <t>New</t>
        </is>
      </c>
      <c r="I212">
        <f>IF(H212&lt;&gt;"",H212,G212)</f>
        <v/>
      </c>
      <c r="J212" t="inlineStr">
        <is>
          <t>Step 6+ (HR modules)</t>
        </is>
      </c>
      <c r="K212" t="n">
        <v>3</v>
      </c>
      <c r="L212" t="n">
        <v>1</v>
      </c>
      <c r="M212" s="5" t="inlineStr">
        <is>
          <t>As an HR admin, I want legal notice issued before a worse condition applies so that we follow the IR Code.</t>
        </is>
      </c>
      <c r="N212" s="5" t="inlineStr">
        <is>
          <t>• Given a rule on a conditions-of-service point that changes a worker result, when activated, then the effective date cannot be earlier than notice issue + the P07 IN.IR period (YX-RULE-13).
• Given activation, when allowed, then the notice is generated and issued (YX-RULE-13).
• Given non-workers only affected, when activated, then no notice period applies.</t>
        </is>
      </c>
      <c r="O212" s="5" t="inlineStr">
        <is>
          <t>YX-RULE-13</t>
        </is>
      </c>
      <c r="P212" t="inlineStr">
        <is>
          <t>P19</t>
        </is>
      </c>
      <c r="Q212" t="inlineStr">
        <is>
          <t>US-E-269</t>
        </is>
      </c>
      <c r="R212" s="5" t="inlineStr"/>
    </row>
    <row r="213">
      <c r="A213" t="inlineStr">
        <is>
          <t>US-E-277</t>
        </is>
      </c>
      <c r="B213" t="n">
        <v>835</v>
      </c>
      <c r="C213" t="inlineStr">
        <is>
          <t>Story</t>
        </is>
      </c>
      <c r="D213" s="5" t="inlineStr">
        <is>
          <t xml:space="preserve">        Rule versions linked to policy documents with re-acknowledgement</t>
        </is>
      </c>
      <c r="E213" t="inlineStr">
        <is>
          <t>Platform services</t>
        </is>
      </c>
      <c r="F213" t="inlineStr">
        <is>
          <t>Policy rule builder and automations</t>
        </is>
      </c>
      <c r="G213" t="inlineStr">
        <is>
          <t>New</t>
        </is>
      </c>
      <c r="I213">
        <f>IF(H213&lt;&gt;"",H213,G213)</f>
        <v/>
      </c>
      <c r="J213" t="inlineStr">
        <is>
          <t>Step 6+ (HR modules)</t>
        </is>
      </c>
      <c r="K213" t="n">
        <v>3</v>
      </c>
      <c r="L213" t="n">
        <v>1</v>
      </c>
      <c r="M213" s="5" t="inlineStr">
        <is>
          <t>As an HR admin, I want each rule tied to the policy text so that employees re-read changed policies.</t>
        </is>
      </c>
      <c r="N213" s="5" t="inlineStr">
        <is>
          <t>• Given an active rule version, when saved, then it names the M08 policy version it implements (YX-RULE-14).
• Given a version marked material, when activated, then the policy version is published and re-acknowledgement starts for the audience (YX-RULE-14).
• Given a rule with no policy link, when activated, then it is blocked (YX-RULE-14).</t>
        </is>
      </c>
      <c r="O213" s="5" t="inlineStr">
        <is>
          <t>YX-RULE-14</t>
        </is>
      </c>
      <c r="P213" t="inlineStr">
        <is>
          <t>P19</t>
        </is>
      </c>
      <c r="Q213" t="inlineStr">
        <is>
          <t>US-E-269</t>
        </is>
      </c>
      <c r="R213" s="5" t="inlineStr"/>
    </row>
    <row r="214">
      <c r="A214" s="9" t="inlineStr">
        <is>
          <t>FT-E-40</t>
        </is>
      </c>
      <c r="B214" s="9" t="n">
        <v>395</v>
      </c>
      <c r="C214" s="9" t="inlineStr">
        <is>
          <t>Feature</t>
        </is>
      </c>
      <c r="D214" s="10" t="inlineStr">
        <is>
          <t xml:space="preserve">    Integration hub</t>
        </is>
      </c>
      <c r="E214" s="9" t="inlineStr">
        <is>
          <t>Platform services</t>
        </is>
      </c>
      <c r="F214" s="9" t="inlineStr">
        <is>
          <t>Integration hub</t>
        </is>
      </c>
      <c r="G214" s="9" t="inlineStr">
        <is>
          <t>New</t>
        </is>
      </c>
      <c r="H214" s="9" t="n"/>
      <c r="I214" s="9">
        <f>IF(H214&lt;&gt;"",H214,G214)</f>
        <v/>
      </c>
      <c r="J214" s="9" t="inlineStr">
        <is>
          <t>Step 2</t>
        </is>
      </c>
      <c r="K214" s="9" t="n"/>
      <c r="L214" s="9" t="n"/>
      <c r="M214" s="10" t="inlineStr"/>
      <c r="N214" s="10" t="inlineStr"/>
      <c r="O214" s="10" t="inlineStr">
        <is>
          <t>YX-INT-01, YX-INT-02, YX-INT-03, YX-INT-05, YX-INT-06, YX-INT-07, YX-INT-08, YX-INT-09, YX-INT-10, YX-INT-12</t>
        </is>
      </c>
      <c r="P214" s="9" t="inlineStr">
        <is>
          <t>P10 Part B</t>
        </is>
      </c>
      <c r="Q214" s="9" t="inlineStr"/>
      <c r="R214" s="10" t="inlineStr"/>
      <c r="S214" s="9" t="n"/>
    </row>
    <row r="215">
      <c r="A215" t="inlineStr">
        <is>
          <t>US-E-278</t>
        </is>
      </c>
      <c r="B215" t="n">
        <v>395</v>
      </c>
      <c r="C215" t="inlineStr">
        <is>
          <t>Story</t>
        </is>
      </c>
      <c r="D215" s="5" t="inlineStr">
        <is>
          <t xml:space="preserve">        One Jobs &amp; errors page</t>
        </is>
      </c>
      <c r="E215" t="inlineStr">
        <is>
          <t>Platform services</t>
        </is>
      </c>
      <c r="F215" t="inlineStr">
        <is>
          <t>Integration hub</t>
        </is>
      </c>
      <c r="G215" t="inlineStr">
        <is>
          <t>Active</t>
        </is>
      </c>
      <c r="I215">
        <f>IF(H215&lt;&gt;"",H215,G215)</f>
        <v/>
      </c>
      <c r="J215" t="inlineStr">
        <is>
          <t>Step 2</t>
        </is>
      </c>
      <c r="K215" t="n">
        <v>5</v>
      </c>
      <c r="L215" t="n">
        <v>1</v>
      </c>
      <c r="M215" s="5" t="inlineStr">
        <is>
          <t>As a system admin, I want all background failures on one page so that I fix them in one place.</t>
        </is>
      </c>
      <c r="N215" s="5" t="inlineStr">
        <is>
          <t>• Given webhook, Slack / Teams / Zapier, connector, import, notification and automation failures, when they happen, then they show on one Jobs &amp; errors page (YX-INT-10).
• Given a row, when shown, then it has kind, source, record, plain error, attempts, next retry and owner (YX-INT-10).
• Given a row, when I act, then I can retry, skip with a reason or open the record; failures without an owner escalate to the System Admin (YX-INT-10).</t>
        </is>
      </c>
      <c r="O215" s="5" t="inlineStr">
        <is>
          <t>YX-INT-10</t>
        </is>
      </c>
      <c r="P215" t="inlineStr">
        <is>
          <t>P10 Part B</t>
        </is>
      </c>
      <c r="Q215" t="inlineStr"/>
      <c r="R215" s="5" t="inlineStr">
        <is>
          <t>IntegrationDelivery model · apps/api/src/jobs/integration-delivery.worker.service.ts — delivery log exists; unified page is new</t>
        </is>
      </c>
    </row>
    <row r="216">
      <c r="A216" t="inlineStr">
        <is>
          <t>US-E-279</t>
        </is>
      </c>
      <c r="B216" t="n">
        <v>518</v>
      </c>
      <c r="C216" t="inlineStr">
        <is>
          <t>Story</t>
        </is>
      </c>
      <c r="D216" s="5" t="inlineStr">
        <is>
          <t xml:space="preserve">        Connector framework: owner, credentials, health and logs</t>
        </is>
      </c>
      <c r="E216" t="inlineStr">
        <is>
          <t>Platform services</t>
        </is>
      </c>
      <c r="F216" t="inlineStr">
        <is>
          <t>Integration hub</t>
        </is>
      </c>
      <c r="G216" t="inlineStr">
        <is>
          <t>Active</t>
        </is>
      </c>
      <c r="I216">
        <f>IF(H216&lt;&gt;"",H216,G216)</f>
        <v/>
      </c>
      <c r="J216" t="inlineStr">
        <is>
          <t>Step 3b</t>
        </is>
      </c>
      <c r="K216" t="n">
        <v>5</v>
      </c>
      <c r="L216" t="n">
        <v>1</v>
      </c>
      <c r="M216" s="5" t="inlineStr">
        <is>
          <t>As a system admin, I want each connection owned and monitored so that broken links are fixed fast.</t>
        </is>
      </c>
      <c r="N216" s="5" t="inlineStr">
        <is>
          <t>• Given a connection, when created, then it has an owner, encrypted credentials, health status and run logs (YX-INT-01).
• Given a failure, when it happens, then the owner is notified (YX-INT-01).
• Given a partner connector, when set up, then it declares the data classes it sends and whose contract pays the partner (YX-INT-09).
• Given content providers, job boards and benchmark data, when connected, then they run on the customer’s own account (YX-INT-09).</t>
        </is>
      </c>
      <c r="O216" s="5" t="inlineStr">
        <is>
          <t>YX-INT-01, YX-INT-09</t>
        </is>
      </c>
      <c r="P216" t="inlineStr">
        <is>
          <t>P10 Part B</t>
        </is>
      </c>
      <c r="Q216" t="inlineStr"/>
      <c r="R216" s="5" t="inlineStr">
        <is>
          <t>apps/api/src/integrations/connected-apps.service.ts · OrgIntegration (AES-256-GCM secrets) — outbound connections exist; inbound framework and data-class declaration are new</t>
        </is>
      </c>
    </row>
    <row r="217">
      <c r="A217" t="inlineStr">
        <is>
          <t>US-E-282</t>
        </is>
      </c>
      <c r="B217" t="n">
        <v>520</v>
      </c>
      <c r="C217" t="inlineStr">
        <is>
          <t>Story</t>
        </is>
      </c>
      <c r="D217" s="5" t="inlineStr">
        <is>
          <t xml:space="preserve">        Slack and Teams apps acting as the linked user</t>
        </is>
      </c>
      <c r="E217" t="inlineStr">
        <is>
          <t>Platform services</t>
        </is>
      </c>
      <c r="F217" t="inlineStr">
        <is>
          <t>Integration hub</t>
        </is>
      </c>
      <c r="G217" t="inlineStr">
        <is>
          <t>New</t>
        </is>
      </c>
      <c r="I217">
        <f>IF(H217&lt;&gt;"",H217,G217)</f>
        <v/>
      </c>
      <c r="J217" t="inlineStr">
        <is>
          <t>Step 3b</t>
        </is>
      </c>
      <c r="K217" t="n">
        <v>5</v>
      </c>
      <c r="L217" t="n">
        <v>2</v>
      </c>
      <c r="M217" s="5" t="inlineStr">
        <is>
          <t>As an employee, I want to approve and ask from Slack or Teams so that I do not switch tools.</t>
        </is>
      </c>
      <c r="N217" s="5" t="inlineStr">
        <is>
          <t>• Given a tenant admin consent, when the app is installed, then it works for the tenant (YX-INT-05).
• Given a user, when not linked by SSO / OAuth, then the app does nothing for them (YX-INT-05).
• Given an action, when taken in chat, then it calls the public API as that user (YX-INT-05).</t>
        </is>
      </c>
      <c r="O217" s="5" t="inlineStr">
        <is>
          <t>YX-INT-05</t>
        </is>
      </c>
      <c r="P217" t="inlineStr">
        <is>
          <t>P10 Part B</t>
        </is>
      </c>
      <c r="Q217" t="inlineStr">
        <is>
          <t>US-E-218</t>
        </is>
      </c>
      <c r="R217" s="5" t="inlineStr"/>
    </row>
    <row r="218">
      <c r="A218" t="inlineStr">
        <is>
          <t>US-E-283</t>
        </is>
      </c>
      <c r="B218" t="n">
        <v>522</v>
      </c>
      <c r="C218" t="inlineStr">
        <is>
          <t>Story</t>
        </is>
      </c>
      <c r="D218" s="5" t="inlineStr">
        <is>
          <t xml:space="preserve">        Mailbox sync for matched threads only</t>
        </is>
      </c>
      <c r="E218" t="inlineStr">
        <is>
          <t>Platform services</t>
        </is>
      </c>
      <c r="F218" t="inlineStr">
        <is>
          <t>Integration hub</t>
        </is>
      </c>
      <c r="G218" t="inlineStr">
        <is>
          <t>New</t>
        </is>
      </c>
      <c r="I218">
        <f>IF(H218&lt;&gt;"",H218,G218)</f>
        <v/>
      </c>
      <c r="J218" t="inlineStr">
        <is>
          <t>Step 3b</t>
        </is>
      </c>
      <c r="K218" t="n">
        <v>5</v>
      </c>
      <c r="L218" t="n">
        <v>2</v>
      </c>
      <c r="M218" s="5" t="inlineStr">
        <is>
          <t>As a recruiter or agent, I want my email threads linked to records so that the history is in one place.</t>
        </is>
      </c>
      <c r="N218" s="5" t="inlineStr">
        <is>
          <t>• Given my mailbox, when synced, then only threads matched to a candidate, ticket or YukthiX-sent message are imported (YX-INT-06).
• Given send-as, when used, then it uses my own OAuth grant (YX-INT-06).
• Given I unlink, when done, then sync stops at once; synced content takes the record’s P02 class (YX-INT-06).</t>
        </is>
      </c>
      <c r="O218" s="5" t="inlineStr">
        <is>
          <t>YX-INT-06</t>
        </is>
      </c>
      <c r="P218" t="inlineStr">
        <is>
          <t>P10 Part B</t>
        </is>
      </c>
      <c r="Q218" t="inlineStr">
        <is>
          <t>US-E-279</t>
        </is>
      </c>
      <c r="R218" s="5" t="inlineStr"/>
    </row>
    <row r="219">
      <c r="A219" t="inlineStr">
        <is>
          <t>US-E-280</t>
        </is>
      </c>
      <c r="B219" t="n">
        <v>602</v>
      </c>
      <c r="C219" t="inlineStr">
        <is>
          <t>Story</t>
        </is>
      </c>
      <c r="D219" s="5" t="inlineStr">
        <is>
          <t xml:space="preserve">        Idempotent, signed inbound connectors</t>
        </is>
      </c>
      <c r="E219" t="inlineStr">
        <is>
          <t>Platform services</t>
        </is>
      </c>
      <c r="F219" t="inlineStr">
        <is>
          <t>Integration hub</t>
        </is>
      </c>
      <c r="G219" t="inlineStr">
        <is>
          <t>New</t>
        </is>
      </c>
      <c r="I219">
        <f>IF(H219&lt;&gt;"",H219,G219)</f>
        <v/>
      </c>
      <c r="J219" t="inlineStr">
        <is>
          <t>Step 4</t>
        </is>
      </c>
      <c r="K219" t="n">
        <v>3</v>
      </c>
      <c r="L219" t="n">
        <v>1</v>
      </c>
      <c r="M219" s="5" t="inlineStr">
        <is>
          <t>As a system admin, I want device punches and results accepted once and only from real senders so that data stays clean.</t>
        </is>
      </c>
      <c r="N219" s="5" t="inlineStr">
        <is>
          <t>• Given an inbound message, when its signature is invalid, then it is rejected (YX-INT-02).
• Given a duplicate punch or result, when received, then it is ignored (YX-INT-02).
• Given a rejected message, when logged, then it shows on Jobs &amp; errors.</t>
        </is>
      </c>
      <c r="O219" s="5" t="inlineStr">
        <is>
          <t>YX-INT-02</t>
        </is>
      </c>
      <c r="P219" t="inlineStr">
        <is>
          <t>P10 Part B</t>
        </is>
      </c>
      <c r="Q219" t="inlineStr">
        <is>
          <t>US-E-279</t>
        </is>
      </c>
      <c r="R219" s="5" t="inlineStr"/>
    </row>
    <row r="220">
      <c r="A220" t="inlineStr">
        <is>
          <t>US-E-281</t>
        </is>
      </c>
      <c r="B220" t="n">
        <v>740</v>
      </c>
      <c r="C220" t="inlineStr">
        <is>
          <t>Story</t>
        </is>
      </c>
      <c r="D220" s="5" t="inlineStr">
        <is>
          <t xml:space="preserve">        Exchange files with hashes and maker ≠ checker release</t>
        </is>
      </c>
      <c r="E220" t="inlineStr">
        <is>
          <t>Platform services</t>
        </is>
      </c>
      <c r="F220" t="inlineStr">
        <is>
          <t>Integration hub</t>
        </is>
      </c>
      <c r="G220" t="inlineStr">
        <is>
          <t>New</t>
        </is>
      </c>
      <c r="I220">
        <f>IF(H220&lt;&gt;"",H220,G220)</f>
        <v/>
      </c>
      <c r="J220" t="inlineStr">
        <is>
          <t>Step 5</t>
        </is>
      </c>
      <c r="K220" t="n">
        <v>3</v>
      </c>
      <c r="L220" t="n">
        <v>1</v>
      </c>
      <c r="M220" s="5" t="inlineStr">
        <is>
          <t>As a finance approver, I want bank and statutory files hashed and released by a second person so that files cannot be changed.</t>
        </is>
      </c>
      <c r="N220" s="5" t="inlineStr">
        <is>
          <t>• Given a generated bank, accounting or statutory file, when made, then it is a document with a hash (YX-INT-03).
• Given a download or release, when done, then it is audited (YX-INT-03).
• Given a bank file, when released, then the maker cannot be the checker (YX-INT-03).</t>
        </is>
      </c>
      <c r="O220" s="5" t="inlineStr">
        <is>
          <t>YX-INT-03</t>
        </is>
      </c>
      <c r="P220" t="inlineStr">
        <is>
          <t>P10 Part B</t>
        </is>
      </c>
      <c r="Q220" t="inlineStr">
        <is>
          <t>US-E-279</t>
        </is>
      </c>
      <c r="R220" s="5" t="inlineStr"/>
    </row>
    <row r="221">
      <c r="A221" t="inlineStr">
        <is>
          <t>US-E-285</t>
        </is>
      </c>
      <c r="B221" t="n">
        <v>785</v>
      </c>
      <c r="C221" t="inlineStr">
        <is>
          <t>Story</t>
        </is>
      </c>
      <c r="D221" s="5" t="inlineStr">
        <is>
          <t xml:space="preserve">        Earned wage access partner</t>
        </is>
      </c>
      <c r="E221" t="inlineStr">
        <is>
          <t>Platform services</t>
        </is>
      </c>
      <c r="F221" t="inlineStr">
        <is>
          <t>Integration hub</t>
        </is>
      </c>
      <c r="G221" t="inlineStr">
        <is>
          <t>New</t>
        </is>
      </c>
      <c r="I221">
        <f>IF(H221&lt;&gt;"",H221,G221)</f>
        <v/>
      </c>
      <c r="J221" t="inlineStr">
        <is>
          <t>Step 5</t>
        </is>
      </c>
      <c r="K221" t="n">
        <v>5</v>
      </c>
      <c r="L221" t="n">
        <v>3</v>
      </c>
      <c r="M221" s="5" t="inlineStr">
        <is>
          <t>As an employee, I want early access to earned pay through a partner so that I handle emergencies.</t>
        </is>
      </c>
      <c r="N221" s="5" t="inlineStr">
        <is>
          <t>• Given the company has not enabled it, when I look, then EWA is off (YX-INT-08).
• Given EWA on, when I request, then the amount never exceeds earned net pay to date × company cap (YX-INT-08).
• Given recovery, when payroll runs, then it is a deduction within the P07 IN.WAGES cap; the partner gets only employee id, limit and bank-verified status (YX-INT-08).</t>
        </is>
      </c>
      <c r="O221" s="5" t="inlineStr">
        <is>
          <t>YX-INT-08</t>
        </is>
      </c>
      <c r="P221" t="inlineStr">
        <is>
          <t>P10 Part B</t>
        </is>
      </c>
      <c r="Q221" t="inlineStr">
        <is>
          <t>US-E-279</t>
        </is>
      </c>
      <c r="R221" s="5" t="inlineStr"/>
    </row>
    <row r="222">
      <c r="A222" t="inlineStr">
        <is>
          <t>US-E-284</t>
        </is>
      </c>
      <c r="B222" t="n">
        <v>840</v>
      </c>
      <c r="C222" t="inlineStr">
        <is>
          <t>Story</t>
        </is>
      </c>
      <c r="D222" s="5" t="inlineStr">
        <is>
          <t xml:space="preserve">        eKYC and DigiLocker through a licensed partner</t>
        </is>
      </c>
      <c r="E222" t="inlineStr">
        <is>
          <t>Platform services</t>
        </is>
      </c>
      <c r="F222" t="inlineStr">
        <is>
          <t>Integration hub</t>
        </is>
      </c>
      <c r="G222" t="inlineStr">
        <is>
          <t>New</t>
        </is>
      </c>
      <c r="I222">
        <f>IF(H222&lt;&gt;"",H222,G222)</f>
        <v/>
      </c>
      <c r="J222" t="inlineStr">
        <is>
          <t>Step 6+ (HR modules)</t>
        </is>
      </c>
      <c r="K222" t="n">
        <v>5</v>
      </c>
      <c r="L222" t="n">
        <v>2</v>
      </c>
      <c r="M222" s="5" t="inlineStr">
        <is>
          <t>As a new joiner, I want to share verified documents from DigiLocker so that onboarding is quick.</t>
        </is>
      </c>
      <c r="N222" s="5" t="inlineStr">
        <is>
          <t>• Given eKYC, when used, then it runs only via a licensed partner with explicit per-purpose consent (YX-INT-07).
• Given Aadhaar, when used, then the full number is never stored (masked + partner reference) (YX-INT-07).
• Given pulled documents, when stored, then they are issuer-verified P05 documents; a non-Aadhaar path always exists (YX-INT-07).</t>
        </is>
      </c>
      <c r="O222" s="5" t="inlineStr">
        <is>
          <t>YX-INT-07</t>
        </is>
      </c>
      <c r="P222" t="inlineStr">
        <is>
          <t>P10 Part B</t>
        </is>
      </c>
      <c r="Q222" t="inlineStr">
        <is>
          <t>US-E-279</t>
        </is>
      </c>
      <c r="R222" s="5" t="inlineStr"/>
    </row>
    <row r="223">
      <c r="A223" t="inlineStr">
        <is>
          <t>US-E-286</t>
        </is>
      </c>
      <c r="B223" t="n">
        <v>1450</v>
      </c>
      <c r="C223" t="inlineStr">
        <is>
          <t>Story</t>
        </is>
      </c>
      <c r="D223" s="5" t="inlineStr">
        <is>
          <t xml:space="preserve">        Global payroll and EOR connectors</t>
        </is>
      </c>
      <c r="E223" t="inlineStr">
        <is>
          <t>Platform services</t>
        </is>
      </c>
      <c r="F223" t="inlineStr">
        <is>
          <t>Integration hub</t>
        </is>
      </c>
      <c r="G223" t="inlineStr">
        <is>
          <t>New</t>
        </is>
      </c>
      <c r="I223">
        <f>IF(H223&lt;&gt;"",H223,G223)</f>
        <v/>
      </c>
      <c r="J223" t="inlineStr">
        <is>
          <t>Global readiness</t>
        </is>
      </c>
      <c r="K223" t="n">
        <v>8</v>
      </c>
      <c r="L223" t="n">
        <v>3</v>
      </c>
      <c r="M223" s="5" t="inlineStr">
        <is>
          <t>As an HR admin with staff abroad, I want to connect a global payroll provider so that all staff are in one system.</t>
        </is>
      </c>
      <c r="N223" s="5" t="inlineStr">
        <is>
          <t>• Given a country without a YukthiX pack, when a provider is connected, then HR data (joiners, leavers, changes, inputs, leave summaries) is pushed (YX-INT-12).
• Given provider results, when pulled, then payslips are stored as documents and costs as ledger lines (YX-INT-12).
• Given a failure, when it happens, then it shows on Jobs &amp; errors.</t>
        </is>
      </c>
      <c r="O223" s="5" t="inlineStr">
        <is>
          <t>YX-INT-12</t>
        </is>
      </c>
      <c r="P223" t="inlineStr">
        <is>
          <t>P10 Part B</t>
        </is>
      </c>
      <c r="Q223" t="inlineStr">
        <is>
          <t>US-E-279</t>
        </is>
      </c>
      <c r="R223" s="5" t="inlineStr"/>
    </row>
    <row r="224">
      <c r="A224" s="9" t="inlineStr">
        <is>
          <t>FT-E-47</t>
        </is>
      </c>
      <c r="B224" s="9" t="n">
        <v>420</v>
      </c>
      <c r="C224" s="9" t="inlineStr">
        <is>
          <t>Feature</t>
        </is>
      </c>
      <c r="D224" s="10" t="inlineStr">
        <is>
          <t xml:space="preserve">    Legal artefacts and notices</t>
        </is>
      </c>
      <c r="E224" s="9" t="inlineStr">
        <is>
          <t>Platform services</t>
        </is>
      </c>
      <c r="F224" s="9" t="inlineStr">
        <is>
          <t>Legal artefacts and notices</t>
        </is>
      </c>
      <c r="G224" s="9" t="inlineStr">
        <is>
          <t>New</t>
        </is>
      </c>
      <c r="H224" s="9" t="n"/>
      <c r="I224" s="9">
        <f>IF(H224&lt;&gt;"",H224,G224)</f>
        <v/>
      </c>
      <c r="J224" s="9" t="inlineStr">
        <is>
          <t>Step 3</t>
        </is>
      </c>
      <c r="K224" s="9" t="n"/>
      <c r="L224" s="9" t="n"/>
      <c r="M224" s="10" t="inlineStr"/>
      <c r="N224" s="10" t="inlineStr"/>
      <c r="O224" s="10" t="inlineStr">
        <is>
          <t>YX-EVAL-09</t>
        </is>
      </c>
      <c r="P224" s="9" t="inlineStr">
        <is>
          <t>APX-G</t>
        </is>
      </c>
      <c r="Q224" s="9" t="inlineStr"/>
      <c r="R224" s="10" t="inlineStr"/>
      <c r="S224" s="9" t="n"/>
    </row>
    <row r="225">
      <c r="A225" t="inlineStr">
        <is>
          <t>US-E-361</t>
        </is>
      </c>
      <c r="B225" t="n">
        <v>420</v>
      </c>
      <c r="C225" t="inlineStr">
        <is>
          <t>Story</t>
        </is>
      </c>
      <c r="D225" s="5" t="inlineStr">
        <is>
          <t xml:space="preserve">        Public legal pages with versioned acceptance</t>
        </is>
      </c>
      <c r="E225" t="inlineStr">
        <is>
          <t>Platform services</t>
        </is>
      </c>
      <c r="F225" t="inlineStr">
        <is>
          <t>Legal artefacts and notices</t>
        </is>
      </c>
      <c r="G225" t="inlineStr">
        <is>
          <t>New</t>
        </is>
      </c>
      <c r="I225">
        <f>IF(H225&lt;&gt;"",H225,G225)</f>
        <v/>
      </c>
      <c r="J225" t="inlineStr">
        <is>
          <t>Step 3</t>
        </is>
      </c>
      <c r="K225" t="n">
        <v>5</v>
      </c>
      <c r="L225" t="n">
        <v>1</v>
      </c>
      <c r="M225" s="5" t="inlineStr">
        <is>
          <t>As a customer, I want clear terms, DPA, privacy, SLA and trust pages so that I can sign up with confidence.</t>
        </is>
      </c>
      <c r="N225" s="5" t="inlineStr">
        <is>
          <t>• Given G-01–G-05, G-15–G-18, G-21–G-23, when published, then each page has a version and date.
• Given sign-up or a new version, when the admin accepts, then a legal_acceptances row records who, what version and when.
• Given security.txt, when requested, then it is served at /.well-known/security.txt (G-22).</t>
        </is>
      </c>
      <c r="O225" s="5" t="inlineStr"/>
      <c r="P225" t="inlineStr">
        <is>
          <t>APX-G</t>
        </is>
      </c>
      <c r="Q225" t="inlineStr"/>
      <c r="R225" s="5" t="inlineStr"/>
    </row>
    <row r="226">
      <c r="A226" t="inlineStr">
        <is>
          <t>US-E-362</t>
        </is>
      </c>
      <c r="B226" t="n">
        <v>420</v>
      </c>
      <c r="C226" t="inlineStr">
        <is>
          <t>Story</t>
        </is>
      </c>
      <c r="D226" s="5" t="inlineStr">
        <is>
          <t xml:space="preserve">        Sub-processor list with change notice</t>
        </is>
      </c>
      <c r="E226" t="inlineStr">
        <is>
          <t>Platform services</t>
        </is>
      </c>
      <c r="F226" t="inlineStr">
        <is>
          <t>Legal artefacts and notices</t>
        </is>
      </c>
      <c r="G226" t="inlineStr">
        <is>
          <t>New</t>
        </is>
      </c>
      <c r="I226">
        <f>IF(H226&lt;&gt;"",H226,G226)</f>
        <v/>
      </c>
      <c r="J226" t="inlineStr">
        <is>
          <t>Step 3</t>
        </is>
      </c>
      <c r="K226" t="n">
        <v>2</v>
      </c>
      <c r="L226" t="n">
        <v>1</v>
      </c>
      <c r="M226" s="5" t="inlineStr">
        <is>
          <t>As a customer DPO, I want notice before a new sub-processor so that I can object.</t>
        </is>
      </c>
      <c r="N226" s="5" t="inlineStr">
        <is>
          <t>• Given the sub-processor page (G-04), when opened, then all sub-processors incl. AI providers are listed.
• Given a new sub-processor, when planned, then subscribed customers are notified before the change date.
• Given an objection, when received, then it is recorded.</t>
        </is>
      </c>
      <c r="O226" s="5" t="inlineStr"/>
      <c r="P226" t="inlineStr">
        <is>
          <t>APX-G</t>
        </is>
      </c>
      <c r="Q226" t="inlineStr">
        <is>
          <t>US-E-361</t>
        </is>
      </c>
      <c r="R226" s="5" t="inlineStr"/>
    </row>
    <row r="227">
      <c r="A227" t="inlineStr">
        <is>
          <t>US-E-363</t>
        </is>
      </c>
      <c r="B227" t="n">
        <v>420</v>
      </c>
      <c r="C227" t="inlineStr">
        <is>
          <t>Story</t>
        </is>
      </c>
      <c r="D227" s="5" t="inlineStr">
        <is>
          <t xml:space="preserve">        Notice templates for employees, candidates and external users</t>
        </is>
      </c>
      <c r="E227" t="inlineStr">
        <is>
          <t>Platform services</t>
        </is>
      </c>
      <c r="F227" t="inlineStr">
        <is>
          <t>Legal artefacts and notices</t>
        </is>
      </c>
      <c r="G227" t="inlineStr">
        <is>
          <t>New</t>
        </is>
      </c>
      <c r="I227">
        <f>IF(H227&lt;&gt;"",H227,G227)</f>
        <v/>
      </c>
      <c r="J227" t="inlineStr">
        <is>
          <t>Step 3</t>
        </is>
      </c>
      <c r="K227" t="n">
        <v>5</v>
      </c>
      <c r="L227" t="n">
        <v>1</v>
      </c>
      <c r="M227" s="5" t="inlineStr">
        <is>
          <t>As an HR admin, I want ready notices for employees, candidates and external logins so that we inform people correctly.</t>
        </is>
      </c>
      <c r="N227" s="5" t="inlineStr">
        <is>
          <t>• Given G-06, G-07 and G-09, when a product is switched on, then the notices are applied as starter templates.
• Given the AI-use disclosure (G-11), proctoring notice (G-12) and retention page (G-13), when published, then they match the live settings.
• Given the e-sign consent (G-19), WhatsApp / SMS opt-in text (G-20) and EWA terms (G-24), when shown, then the exact text version is recorded with consent.</t>
        </is>
      </c>
      <c r="O227" s="5" t="inlineStr"/>
      <c r="P227" t="inlineStr">
        <is>
          <t>APX-G</t>
        </is>
      </c>
      <c r="Q227" t="inlineStr">
        <is>
          <t>US-E-361, US-E-243</t>
        </is>
      </c>
      <c r="R227" s="5" t="inlineStr"/>
    </row>
    <row r="228">
      <c r="A228" t="inlineStr">
        <is>
          <t>US-E-364</t>
        </is>
      </c>
      <c r="B228" t="n">
        <v>1700</v>
      </c>
      <c r="C228" t="inlineStr">
        <is>
          <t>Story</t>
        </is>
      </c>
      <c r="D228" s="5" t="inlineStr">
        <is>
          <t xml:space="preserve">        Jurisdiction-aware biometric consent texts</t>
        </is>
      </c>
      <c r="E228" t="inlineStr">
        <is>
          <t>Platform services</t>
        </is>
      </c>
      <c r="F228" t="inlineStr">
        <is>
          <t>Legal artefacts and notices</t>
        </is>
      </c>
      <c r="G228" t="inlineStr">
        <is>
          <t>New</t>
        </is>
      </c>
      <c r="I228">
        <f>IF(H228&lt;&gt;"",H228,G228)</f>
        <v/>
      </c>
      <c r="J228" t="inlineStr">
        <is>
          <t>Proctoring track · phase 1</t>
        </is>
      </c>
      <c r="K228" t="n">
        <v>3</v>
      </c>
      <c r="L228" t="n">
        <v>1</v>
      </c>
      <c r="M228" s="5" t="inlineStr">
        <is>
          <t>As a candidate, I want biometric consent in words that match my law so that I know my rights.</t>
        </is>
      </c>
      <c r="N228" s="5" t="inlineStr">
        <is>
          <t>• Given G-08, when a candidate is in India, EU or Illinois, then the DPDP, GDPR Art. 9 or BIPA text is shown.
• Given consent, when recorded, then the text version and jurisdiction are stored (YX-EVAL-09).
• Given a new text version, when published, then new consents use it.</t>
        </is>
      </c>
      <c r="O228" s="5" t="inlineStr">
        <is>
          <t>YX-EVAL-09</t>
        </is>
      </c>
      <c r="P228" t="inlineStr">
        <is>
          <t>APX-G</t>
        </is>
      </c>
      <c r="Q228" t="inlineStr">
        <is>
          <t>US-E-363</t>
        </is>
      </c>
      <c r="R228" s="5" t="inlineStr"/>
    </row>
    <row r="229">
      <c r="A229" s="9" t="inlineStr">
        <is>
          <t>FT-E-41</t>
        </is>
      </c>
      <c r="B229" s="9" t="n">
        <v>510</v>
      </c>
      <c r="C229" s="9" t="inlineStr">
        <is>
          <t>Feature</t>
        </is>
      </c>
      <c r="D229" s="10" t="inlineStr">
        <is>
          <t xml:space="preserve">    AI layer and governance</t>
        </is>
      </c>
      <c r="E229" s="9" t="inlineStr">
        <is>
          <t>Platform services</t>
        </is>
      </c>
      <c r="F229" s="9" t="inlineStr">
        <is>
          <t>AI layer and governance</t>
        </is>
      </c>
      <c r="G229" s="9" t="inlineStr">
        <is>
          <t>New</t>
        </is>
      </c>
      <c r="H229" s="9" t="n"/>
      <c r="I229" s="9">
        <f>IF(H229&lt;&gt;"",H229,G229)</f>
        <v/>
      </c>
      <c r="J229" s="9" t="inlineStr">
        <is>
          <t>Step 3b</t>
        </is>
      </c>
      <c r="K229" s="9" t="n"/>
      <c r="L229" s="9" t="n"/>
      <c r="M229" s="10" t="inlineStr"/>
      <c r="N229" s="10" t="inlineStr"/>
      <c r="O229" s="10" t="inlineStr">
        <is>
          <t>YX-AI-01, YX-AI-02, YX-AI-03, YX-AI-04, YX-AI-05, YX-AI-06, YX-AI-07, YX-AI-08, YX-AI-09, YX-AI-10, YX-AI-11, YX-AI-12, YX-AI-13, YX-AI-14, YX-AI-15, YX-MET-17</t>
        </is>
      </c>
      <c r="P229" s="9" t="inlineStr">
        <is>
          <t>P10 Part A</t>
        </is>
      </c>
      <c r="Q229" s="9" t="inlineStr"/>
      <c r="R229" s="10" t="inlineStr"/>
      <c r="S229" s="9" t="n"/>
    </row>
    <row r="230">
      <c r="A230" t="inlineStr">
        <is>
          <t>US-E-287</t>
        </is>
      </c>
      <c r="B230" t="n">
        <v>510</v>
      </c>
      <c r="C230" t="inlineStr">
        <is>
          <t>Story</t>
        </is>
      </c>
      <c r="D230" s="5" t="inlineStr">
        <is>
          <t xml:space="preserve">        AI feature registry, opt-in and metered calls</t>
        </is>
      </c>
      <c r="E230" t="inlineStr">
        <is>
          <t>Platform services</t>
        </is>
      </c>
      <c r="F230" t="inlineStr">
        <is>
          <t>AI layer and governance</t>
        </is>
      </c>
      <c r="G230" t="inlineStr">
        <is>
          <t>Active</t>
        </is>
      </c>
      <c r="I230">
        <f>IF(H230&lt;&gt;"",H230,G230)</f>
        <v/>
      </c>
      <c r="J230" t="inlineStr">
        <is>
          <t>Step 3b</t>
        </is>
      </c>
      <c r="K230" t="n">
        <v>5</v>
      </c>
      <c r="L230" t="n">
        <v>1</v>
      </c>
      <c r="M230" s="5" t="inlineStr">
        <is>
          <t>As an AI governance owner, I want every AI call tied to an approved, registered feature version so that AI use is controlled.</t>
        </is>
      </c>
      <c r="N230" s="5" t="inlineStr">
        <is>
          <t>• Given an AI call, when made, then it runs a registered approved feature version (provider, model, region, prompt hash, data classes) recorded in ai_calls (YX-AI-07).
• Given an unregistered model or prompt, when called in production, then it is refused (YX-AI-07).
• Given a tenant, when AI features are off, then no call is made; each call is metered in credits and audited (YX-AI-03).</t>
        </is>
      </c>
      <c r="O230" s="5" t="inlineStr">
        <is>
          <t>YX-AI-07, YX-AI-03</t>
        </is>
      </c>
      <c r="P230" t="inlineStr">
        <is>
          <t>P10 Part A</t>
        </is>
      </c>
      <c r="Q230" t="inlineStr"/>
      <c r="R230" s="5" t="inlineStr">
        <is>
          <t>AiCreditUsage model · apps/api/src/ai/ai-invocation.service.ts — metering and BYO keys exist; registry with versions is new</t>
        </is>
      </c>
    </row>
    <row r="231">
      <c r="A231" t="inlineStr">
        <is>
          <t>US-E-288</t>
        </is>
      </c>
      <c r="B231" t="n">
        <v>510</v>
      </c>
      <c r="C231" t="inlineStr">
        <is>
          <t>Story</t>
        </is>
      </c>
      <c r="D231" s="5" t="inlineStr">
        <is>
          <t xml:space="preserve">        AI guardrails: advice only, data classes and untrusted documents</t>
        </is>
      </c>
      <c r="E231" t="inlineStr">
        <is>
          <t>Platform services</t>
        </is>
      </c>
      <c r="F231" t="inlineStr">
        <is>
          <t>AI layer and governance</t>
        </is>
      </c>
      <c r="G231" t="inlineStr">
        <is>
          <t>New</t>
        </is>
      </c>
      <c r="I231">
        <f>IF(H231&lt;&gt;"",H231,G231)</f>
        <v/>
      </c>
      <c r="J231" t="inlineStr">
        <is>
          <t>Step 3b</t>
        </is>
      </c>
      <c r="K231" t="n">
        <v>5</v>
      </c>
      <c r="L231" t="n">
        <v>1</v>
      </c>
      <c r="M231" s="5" t="inlineStr">
        <is>
          <t>As a DPO, I want AI to advise only and never see Special data so that AI is safe.</t>
        </is>
      </c>
      <c r="N231" s="5" t="inlineStr">
        <is>
          <t>• Given any AI output, when shown, then it is a suggestion a person accepts or edits; AI never approves, rejects or pays (YX-AI-01).
• Given Special data, when a prompt is built, then it is never sent; Confidential values are masked unless approved; ID OCR is in-region (YX-AI-02).
• Given uploaded documents, when used in prompts, then they are untrusted data and AI tools are read-only governed APIs (YX-AI-05).</t>
        </is>
      </c>
      <c r="O231" s="5" t="inlineStr">
        <is>
          <t>YX-AI-01, YX-AI-02, YX-AI-05</t>
        </is>
      </c>
      <c r="P231" t="inlineStr">
        <is>
          <t>P10 Part A</t>
        </is>
      </c>
      <c r="Q231" t="inlineStr">
        <is>
          <t>US-E-287</t>
        </is>
      </c>
      <c r="R231" s="5" t="inlineStr"/>
    </row>
    <row r="232">
      <c r="A232" t="inlineStr">
        <is>
          <t>US-E-289</t>
        </is>
      </c>
      <c r="B232" t="n">
        <v>510</v>
      </c>
      <c r="C232" t="inlineStr">
        <is>
          <t>Story</t>
        </is>
      </c>
      <c r="D232" s="5" t="inlineStr">
        <is>
          <t xml:space="preserve">        Providers with no training and region match</t>
        </is>
      </c>
      <c r="E232" t="inlineStr">
        <is>
          <t>Platform services</t>
        </is>
      </c>
      <c r="F232" t="inlineStr">
        <is>
          <t>AI layer and governance</t>
        </is>
      </c>
      <c r="G232" t="inlineStr">
        <is>
          <t>New</t>
        </is>
      </c>
      <c r="I232">
        <f>IF(H232&lt;&gt;"",H232,G232)</f>
        <v/>
      </c>
      <c r="J232" t="inlineStr">
        <is>
          <t>Step 3b</t>
        </is>
      </c>
      <c r="K232" t="n">
        <v>2</v>
      </c>
      <c r="L232" t="n">
        <v>1</v>
      </c>
      <c r="M232" s="5" t="inlineStr">
        <is>
          <t>As a DPO, I want AI providers that do not train on our data and match our region so that contracts are met.</t>
        </is>
      </c>
      <c r="N232" s="5" t="inlineStr">
        <is>
          <t>• Given a provider, when added, then its contract excludes training on customer data (YX-AI-04).
• Given a tenant region, when calling, then the provider is consistent with it (YX-AI-04).
• Given a provider, when used, then it is on the sub-processor list (APX-G G-04) (YX-AI-04).</t>
        </is>
      </c>
      <c r="O232" s="5" t="inlineStr">
        <is>
          <t>YX-AI-04</t>
        </is>
      </c>
      <c r="P232" t="inlineStr">
        <is>
          <t>P10 Part A</t>
        </is>
      </c>
      <c r="Q232" t="inlineStr">
        <is>
          <t>US-E-287</t>
        </is>
      </c>
      <c r="R232" s="5" t="inlineStr"/>
    </row>
    <row r="233">
      <c r="A233" t="inlineStr">
        <is>
          <t>US-E-290</t>
        </is>
      </c>
      <c r="B233" t="n">
        <v>510</v>
      </c>
      <c r="C233" t="inlineStr">
        <is>
          <t>Story</t>
        </is>
      </c>
      <c r="D233" s="5" t="inlineStr">
        <is>
          <t xml:space="preserve">        Eval gate and weekly drift monitoring</t>
        </is>
      </c>
      <c r="E233" t="inlineStr">
        <is>
          <t>Platform services</t>
        </is>
      </c>
      <c r="F233" t="inlineStr">
        <is>
          <t>AI layer and governance</t>
        </is>
      </c>
      <c r="G233" t="inlineStr">
        <is>
          <t>New</t>
        </is>
      </c>
      <c r="I233">
        <f>IF(H233&lt;&gt;"",H233,G233)</f>
        <v/>
      </c>
      <c r="J233" t="inlineStr">
        <is>
          <t>Step 3b</t>
        </is>
      </c>
      <c r="K233" t="n">
        <v>5</v>
      </c>
      <c r="L233" t="n">
        <v>1</v>
      </c>
      <c r="M233" s="5" t="inlineStr">
        <is>
          <t>As an AI governance owner, I want new models to pass evals before going live so that quality does not drop.</t>
        </is>
      </c>
      <c r="N233" s="5" t="inlineStr">
        <is>
          <t>• Given a new model, provider, region or prompt version, when proposed, then it goes live only after its eval set meets thresholds with no regression (YX-AI-08).
• Given the result, when reviewed, then a second person signs off (YX-AI-08).
• Given live features, when a week passes, then drift metrics are checked with alerts (YX-AI-08).
• Given AI quality metrics, when reported, then ai.eval.score, drift, bias impact ratio and human override rate per version come from the metric layer (YX-MET-17).</t>
        </is>
      </c>
      <c r="O233" s="5" t="inlineStr">
        <is>
          <t>YX-AI-08, YX-MET-17</t>
        </is>
      </c>
      <c r="P233" t="inlineStr">
        <is>
          <t>P10 Part A</t>
        </is>
      </c>
      <c r="Q233" t="inlineStr">
        <is>
          <t>US-E-287</t>
        </is>
      </c>
      <c r="R233" s="5" t="inlineStr"/>
    </row>
    <row r="234">
      <c r="A234" t="inlineStr">
        <is>
          <t>US-E-292</t>
        </is>
      </c>
      <c r="B234" t="n">
        <v>510</v>
      </c>
      <c r="C234" t="inlineStr">
        <is>
          <t>Story</t>
        </is>
      </c>
      <c r="D234" s="5" t="inlineStr">
        <is>
          <t xml:space="preserve">        AI kill switch and incident process</t>
        </is>
      </c>
      <c r="E234" t="inlineStr">
        <is>
          <t>Platform services</t>
        </is>
      </c>
      <c r="F234" t="inlineStr">
        <is>
          <t>AI layer and governance</t>
        </is>
      </c>
      <c r="G234" t="inlineStr">
        <is>
          <t>New</t>
        </is>
      </c>
      <c r="I234">
        <f>IF(H234&lt;&gt;"",H234,G234)</f>
        <v/>
      </c>
      <c r="J234" t="inlineStr">
        <is>
          <t>Step 3b</t>
        </is>
      </c>
      <c r="K234" t="n">
        <v>3</v>
      </c>
      <c r="L234" t="n">
        <v>1</v>
      </c>
      <c r="M234" s="5" t="inlineStr">
        <is>
          <t>As a system admin, I want to switch off any AI feature at once so that we can stop a problem fast.</t>
        </is>
      </c>
      <c r="N234" s="5" t="inlineStr">
        <is>
          <t>• Given any AI feature, when the platform or tenant kill switch is used, then it stops and the non-AI fallback works (YX-AI-10).
• Given an AI incident, when raised, then it follows severity, tenant notice and post-mortem (YX-AI-10).
• Given personal data involved, when raised, then it links to the P12 incident (YX-AI-10).</t>
        </is>
      </c>
      <c r="O234" s="5" t="inlineStr">
        <is>
          <t>YX-AI-10</t>
        </is>
      </c>
      <c r="P234" t="inlineStr">
        <is>
          <t>P10 Part A</t>
        </is>
      </c>
      <c r="Q234" t="inlineStr">
        <is>
          <t>US-E-287</t>
        </is>
      </c>
      <c r="R234" s="5" t="inlineStr"/>
    </row>
    <row r="235">
      <c r="A235" t="inlineStr">
        <is>
          <t>US-E-293</t>
        </is>
      </c>
      <c r="B235" t="n">
        <v>510</v>
      </c>
      <c r="C235" t="inlineStr">
        <is>
          <t>Story</t>
        </is>
      </c>
      <c r="D235" s="5" t="inlineStr">
        <is>
          <t xml:space="preserve">        EU AI Act classification, deployer notice and literacy</t>
        </is>
      </c>
      <c r="E235" t="inlineStr">
        <is>
          <t>Platform services</t>
        </is>
      </c>
      <c r="F235" t="inlineStr">
        <is>
          <t>AI layer and governance</t>
        </is>
      </c>
      <c r="G235" t="inlineStr">
        <is>
          <t>New</t>
        </is>
      </c>
      <c r="I235">
        <f>IF(H235&lt;&gt;"",H235,G235)</f>
        <v/>
      </c>
      <c r="J235" t="inlineStr">
        <is>
          <t>Step 3b</t>
        </is>
      </c>
      <c r="K235" t="n">
        <v>3</v>
      </c>
      <c r="L235" t="n">
        <v>1</v>
      </c>
      <c r="M235" s="5" t="inlineStr">
        <is>
          <t>As an EU tenant admin, I want high-risk AI only after notice to workers so that we meet the EU AI Act.</t>
        </is>
      </c>
      <c r="N235" s="5" t="inlineStr">
        <is>
          <t>• Given an AI feature registry entry, when created, then it states high-risk yes / no / depends and its EU default; without it the feature cannot go live (YX-AI-11).
• Given an EU tenant, when enabling a high-risk employment feature, then an admin must record the notice to workers’ representatives and workers as a legal_acceptances row (YX-AI-12).
• Given EU candidates or workers, when a yes / depends feature runs, then the EU default applies (YX-AI-11).</t>
        </is>
      </c>
      <c r="O235" s="5" t="inlineStr">
        <is>
          <t>YX-AI-11, YX-AI-12</t>
        </is>
      </c>
      <c r="P235" t="inlineStr">
        <is>
          <t>P10 Part A</t>
        </is>
      </c>
      <c r="Q235" t="inlineStr">
        <is>
          <t>US-E-287</t>
        </is>
      </c>
      <c r="R235" s="5" t="inlineStr"/>
    </row>
    <row r="236">
      <c r="A236" t="inlineStr">
        <is>
          <t>US-E-294</t>
        </is>
      </c>
      <c r="B236" t="n">
        <v>610</v>
      </c>
      <c r="C236" t="inlineStr">
        <is>
          <t>Story</t>
        </is>
      </c>
      <c r="D236" s="5" t="inlineStr">
        <is>
          <t xml:space="preserve">        Face templates for attendance check-in</t>
        </is>
      </c>
      <c r="E236" t="inlineStr">
        <is>
          <t>Platform services</t>
        </is>
      </c>
      <c r="F236" t="inlineStr">
        <is>
          <t>AI layer and governance</t>
        </is>
      </c>
      <c r="G236" t="inlineStr">
        <is>
          <t>New</t>
        </is>
      </c>
      <c r="I236">
        <f>IF(H236&lt;&gt;"",H236,G236)</f>
        <v/>
      </c>
      <c r="J236" t="inlineStr">
        <is>
          <t>Step 4</t>
        </is>
      </c>
      <c r="K236" t="n">
        <v>3</v>
      </c>
      <c r="L236" t="n">
        <v>1</v>
      </c>
      <c r="M236" s="5" t="inlineStr">
        <is>
          <t>As an employee, I want face check-in only with my consent so that my biometric data is safe.</t>
        </is>
      </c>
      <c r="N236" s="5" t="inlineStr">
        <is>
          <t>• Given face check-in, when enrolling, then explicit consent is required (YX-AI-06).
• Given a template, when stored, then it is encrypted in-region and used only for check-in (YX-AI-06).
• Given exit or consent withdrawal, when it happens, then the template is deleted (YX-AI-06).</t>
        </is>
      </c>
      <c r="O236" s="5" t="inlineStr">
        <is>
          <t>YX-AI-06</t>
        </is>
      </c>
      <c r="P236" t="inlineStr">
        <is>
          <t>P10 Part A</t>
        </is>
      </c>
      <c r="Q236" t="inlineStr">
        <is>
          <t>US-E-079</t>
        </is>
      </c>
      <c r="R236" s="5" t="inlineStr"/>
    </row>
    <row r="237">
      <c r="A237" t="inlineStr">
        <is>
          <t>US-E-295</t>
        </is>
      </c>
      <c r="B237" t="n">
        <v>1200</v>
      </c>
      <c r="C237" t="inlineStr">
        <is>
          <t>Story</t>
        </is>
      </c>
      <c r="D237" s="5" t="inlineStr">
        <is>
          <t xml:space="preserve">        Agent action contract for copilots and bots</t>
        </is>
      </c>
      <c r="E237" t="inlineStr">
        <is>
          <t>Platform services</t>
        </is>
      </c>
      <c r="F237" t="inlineStr">
        <is>
          <t>AI layer and governance</t>
        </is>
      </c>
      <c r="G237" t="inlineStr">
        <is>
          <t>New</t>
        </is>
      </c>
      <c r="I237">
        <f>IF(H237&lt;&gt;"",H237,G237)</f>
        <v/>
      </c>
      <c r="J237" t="inlineStr">
        <is>
          <t>Step 6+ (HR modules)</t>
        </is>
      </c>
      <c r="K237" t="n">
        <v>5</v>
      </c>
      <c r="L237" t="n">
        <v>1</v>
      </c>
      <c r="M237" s="5" t="inlineStr">
        <is>
          <t>As a security owner, I want agents to act only within the user’s rights so that AI cannot do more than the person.</t>
        </is>
      </c>
      <c r="N237" s="5" t="inlineStr">
        <is>
          <t>• Given an agent, when it runs, then it is a registered feature with a declared agent scope no wider than the person’s P02 rights (YX-AI-13).
• Given a write, when prepared, then it is a normal P03 request the person submits (YX-AI-13).
• Given the agent, when it reads data, then only allowed data classes are read (YX-AI-13).</t>
        </is>
      </c>
      <c r="O237" s="5" t="inlineStr">
        <is>
          <t>YX-AI-13</t>
        </is>
      </c>
      <c r="P237" t="inlineStr">
        <is>
          <t>P10 Part A</t>
        </is>
      </c>
      <c r="Q237" t="inlineStr">
        <is>
          <t>US-E-288</t>
        </is>
      </c>
      <c r="R237" s="5" t="inlineStr"/>
    </row>
    <row r="238">
      <c r="A238" t="inlineStr">
        <is>
          <t>US-E-296</t>
        </is>
      </c>
      <c r="B238" t="n">
        <v>1205</v>
      </c>
      <c r="C238" t="inlineStr">
        <is>
          <t>Story</t>
        </is>
      </c>
      <c r="D238" s="5" t="inlineStr">
        <is>
          <t xml:space="preserve">        Copilot channels and fair-use credits</t>
        </is>
      </c>
      <c r="E238" t="inlineStr">
        <is>
          <t>Platform services</t>
        </is>
      </c>
      <c r="F238" t="inlineStr">
        <is>
          <t>AI layer and governance</t>
        </is>
      </c>
      <c r="G238" t="inlineStr">
        <is>
          <t>New</t>
        </is>
      </c>
      <c r="I238">
        <f>IF(H238&lt;&gt;"",H238,G238)</f>
        <v/>
      </c>
      <c r="J238" t="inlineStr">
        <is>
          <t>Step 6+ (HR modules)</t>
        </is>
      </c>
      <c r="K238" t="n">
        <v>5</v>
      </c>
      <c r="L238" t="n">
        <v>2</v>
      </c>
      <c r="M238" s="5" t="inlineStr">
        <is>
          <t>As an employee, I want to ask the copilot in Slack, Teams or WhatsApp so that I get answers anywhere.</t>
        </is>
      </c>
      <c r="N238" s="5" t="inlineStr">
        <is>
          <t>• Given Slack / Teams, when used, then YX-INT-05 rules apply (YX-AI-14).
• Given WhatsApp, when used, then only my linked verified number works and Confidential values are masked with a deep link (YX-AI-14).
• Given the monthly fair-use per user, when exceeded, then AI credits are drawn (YX-AI-14).</t>
        </is>
      </c>
      <c r="O238" s="5" t="inlineStr">
        <is>
          <t>YX-AI-14</t>
        </is>
      </c>
      <c r="P238" t="inlineStr">
        <is>
          <t>P10 Part A</t>
        </is>
      </c>
      <c r="Q238" t="inlineStr">
        <is>
          <t>US-E-295, US-E-282</t>
        </is>
      </c>
      <c r="R238" s="5" t="inlineStr"/>
    </row>
    <row r="239">
      <c r="A239" t="inlineStr">
        <is>
          <t>US-E-297</t>
        </is>
      </c>
      <c r="B239" t="n">
        <v>1210</v>
      </c>
      <c r="C239" t="inlineStr">
        <is>
          <t>Story</t>
        </is>
      </c>
      <c r="D239" s="5" t="inlineStr">
        <is>
          <t xml:space="preserve">        Plan approval for multi-step agent jobs</t>
        </is>
      </c>
      <c r="E239" t="inlineStr">
        <is>
          <t>Platform services</t>
        </is>
      </c>
      <c r="F239" t="inlineStr">
        <is>
          <t>AI layer and governance</t>
        </is>
      </c>
      <c r="G239" t="inlineStr">
        <is>
          <t>New</t>
        </is>
      </c>
      <c r="I239">
        <f>IF(H239&lt;&gt;"",H239,G239)</f>
        <v/>
      </c>
      <c r="J239" t="inlineStr">
        <is>
          <t>Step 6+ (HR modules)</t>
        </is>
      </c>
      <c r="K239" t="n">
        <v>5</v>
      </c>
      <c r="L239" t="n">
        <v>1</v>
      </c>
      <c r="M239" s="5" t="inlineStr">
        <is>
          <t>As a manager, I want to see and approve the agent’s plan first so that nothing unexpected runs.</t>
        </is>
      </c>
      <c r="N239" s="5" t="inlineStr">
        <is>
          <t>• Given a "do this for me" request, when the agent responds, then it shows a plan with records, changes, screens / APIs and irreversible steps flagged (YX-AI-15).
• Given the plan, when not approved, then nothing runs (YX-AI-15).
• Given execution, when it runs, then it uses public APIs with my own permissions only (YX-AI-15).</t>
        </is>
      </c>
      <c r="O239" s="5" t="inlineStr">
        <is>
          <t>YX-AI-15</t>
        </is>
      </c>
      <c r="P239" t="inlineStr">
        <is>
          <t>P10 Part A</t>
        </is>
      </c>
      <c r="Q239" t="inlineStr">
        <is>
          <t>US-E-295</t>
        </is>
      </c>
      <c r="R239" s="5" t="inlineStr"/>
    </row>
    <row r="240">
      <c r="A240" t="inlineStr">
        <is>
          <t>US-E-291</t>
        </is>
      </c>
      <c r="B240" t="n">
        <v>1505</v>
      </c>
      <c r="C240" t="inlineStr">
        <is>
          <t>Story</t>
        </is>
      </c>
      <c r="D240" s="5" t="inlineStr">
        <is>
          <t xml:space="preserve">        Bias tests and red-team before release</t>
        </is>
      </c>
      <c r="E240" t="inlineStr">
        <is>
          <t>Platform services</t>
        </is>
      </c>
      <c r="F240" t="inlineStr">
        <is>
          <t>AI layer and governance</t>
        </is>
      </c>
      <c r="G240" t="inlineStr">
        <is>
          <t>New</t>
        </is>
      </c>
      <c r="I240">
        <f>IF(H240&lt;&gt;"",H240,G240)</f>
        <v/>
      </c>
      <c r="J240" t="inlineStr">
        <is>
          <t>Step 7 · ATS core</t>
        </is>
      </c>
      <c r="K240" t="n">
        <v>5</v>
      </c>
      <c r="L240" t="n">
        <v>1</v>
      </c>
      <c r="M240" s="5" t="inlineStr">
        <is>
          <t>As an AI governance owner, I want hiring AI tested for bias and attacks so that it is fair and safe.</t>
        </is>
      </c>
      <c r="N240" s="5" t="inlineStr">
        <is>
          <t>• Given AI interview and candidate-fit, when released and every quarter, then adverse-impact (4/5ths) and score gaps are tested (YX-AI-09).
• Given a failing gap, when found, then release is blocked or the feature is disabled (YX-AI-09).
• Given red-team and indirect prompt-injection tests (policies, résumés, receipts, chat), when run, then failures block release (YX-AI-09).</t>
        </is>
      </c>
      <c r="O240" s="5" t="inlineStr">
        <is>
          <t>YX-AI-09</t>
        </is>
      </c>
      <c r="P240" t="inlineStr">
        <is>
          <t>P10 Part A</t>
        </is>
      </c>
      <c r="Q240" t="inlineStr">
        <is>
          <t>US-E-290</t>
        </is>
      </c>
      <c r="R240" s="5" t="inlineStr"/>
    </row>
    <row r="241">
      <c r="A241" s="9" t="inlineStr">
        <is>
          <t>FT-E-42</t>
        </is>
      </c>
      <c r="B241" s="9" t="n">
        <v>700</v>
      </c>
      <c r="C241" s="9" t="inlineStr">
        <is>
          <t>Feature</t>
        </is>
      </c>
      <c r="D241" s="10" t="inlineStr">
        <is>
          <t xml:space="preserve">    Metric layer, dashboards and analytics</t>
        </is>
      </c>
      <c r="E241" s="9" t="inlineStr">
        <is>
          <t>Platform services</t>
        </is>
      </c>
      <c r="F241" s="9" t="inlineStr">
        <is>
          <t>Metric layer, dashboards and analytics</t>
        </is>
      </c>
      <c r="G241" s="9" t="inlineStr">
        <is>
          <t>New</t>
        </is>
      </c>
      <c r="H241" s="9" t="n"/>
      <c r="I241" s="9">
        <f>IF(H241&lt;&gt;"",H241,G241)</f>
        <v/>
      </c>
      <c r="J241" s="9" t="inlineStr">
        <is>
          <t>Step 5</t>
        </is>
      </c>
      <c r="K241" s="9" t="n"/>
      <c r="L241" s="9" t="n"/>
      <c r="M241" s="10" t="inlineStr"/>
      <c r="N241" s="10" t="inlineStr"/>
      <c r="O241" s="10" t="inlineStr">
        <is>
          <t>YX-MET-01, YX-MET-02, YX-MET-03, YX-MET-04, YX-MET-05, YX-MET-06, YX-MET-07, YX-MET-08, YX-MET-09, YX-MET-10, YX-MET-11, YX-MET-12, YX-MET-13, YX-MET-15, YX-MET-16, YX-MET-19, YX-MET-20, YX-MET-21, YX-MET-22, YX-MET-23, YX-MET-24</t>
        </is>
      </c>
      <c r="P241" s="9" t="inlineStr">
        <is>
          <t>P09, APX-C</t>
        </is>
      </c>
      <c r="Q241" s="9" t="inlineStr"/>
      <c r="R241" s="10" t="inlineStr"/>
      <c r="S241" s="9" t="n"/>
    </row>
    <row r="242">
      <c r="A242" t="inlineStr">
        <is>
          <t>US-E-298</t>
        </is>
      </c>
      <c r="B242" t="n">
        <v>700</v>
      </c>
      <c r="C242" t="inlineStr">
        <is>
          <t>Story</t>
        </is>
      </c>
      <c r="D242" s="5" t="inlineStr">
        <is>
          <t xml:space="preserve">        Metric registry with versions and golden tests</t>
        </is>
      </c>
      <c r="E242" t="inlineStr">
        <is>
          <t>Platform services</t>
        </is>
      </c>
      <c r="F242" t="inlineStr">
        <is>
          <t>Metric layer, dashboards and analytics</t>
        </is>
      </c>
      <c r="G242" t="inlineStr">
        <is>
          <t>Active</t>
        </is>
      </c>
      <c r="I242">
        <f>IF(H242&lt;&gt;"",H242,G242)</f>
        <v/>
      </c>
      <c r="J242" t="inlineStr">
        <is>
          <t>Step 5</t>
        </is>
      </c>
      <c r="K242" t="n">
        <v>8</v>
      </c>
      <c r="L242" t="n">
        <v>1</v>
      </c>
      <c r="M242" s="5" t="inlineStr">
        <is>
          <t>As an analyst, I want every number to come from a registered metric so that all screens agree.</t>
        </is>
      </c>
      <c r="N242" s="5" t="inlineStr">
        <is>
          <t>• Given any dashboard, report, export or AI answer, when it shows a number, then it comes from a registered metric or governed record query (YX-MET-01).
• Given a metric definition change, when merged, then the version bumps, golden tests run and the changelog updates (YX-MET-02).
• Given a standard report, when shipped, then it has its APX-C catalogue row and every measure is registered (YX-MET-13).</t>
        </is>
      </c>
      <c r="O242" s="5" t="inlineStr">
        <is>
          <t>YX-MET-01, YX-MET-02, YX-MET-13</t>
        </is>
      </c>
      <c r="P242" t="inlineStr">
        <is>
          <t>P09, APX-C</t>
        </is>
      </c>
      <c r="Q242" t="inlineStr"/>
      <c r="R242" s="5" t="inlineStr">
        <is>
          <t>apps/api/src/analytics (item-analytics, pipeline-analytics) — measures exist per module; the registry is new</t>
        </is>
      </c>
    </row>
    <row r="243">
      <c r="A243" t="inlineStr">
        <is>
          <t>US-E-299</t>
        </is>
      </c>
      <c r="B243" t="n">
        <v>700</v>
      </c>
      <c r="C243" t="inlineStr">
        <is>
          <t>Story</t>
        </is>
      </c>
      <c r="D243" s="5" t="inlineStr">
        <is>
          <t xml:space="preserve">        Analytics security and small-group suppression</t>
        </is>
      </c>
      <c r="E243" t="inlineStr">
        <is>
          <t>Platform services</t>
        </is>
      </c>
      <c r="F243" t="inlineStr">
        <is>
          <t>Metric layer, dashboards and analytics</t>
        </is>
      </c>
      <c r="G243" t="inlineStr">
        <is>
          <t>New</t>
        </is>
      </c>
      <c r="I243">
        <f>IF(H243&lt;&gt;"",H243,G243)</f>
        <v/>
      </c>
      <c r="J243" t="inlineStr">
        <is>
          <t>Step 5</t>
        </is>
      </c>
      <c r="K243" t="n">
        <v>5</v>
      </c>
      <c r="L243" t="n">
        <v>1</v>
      </c>
      <c r="M243" s="5" t="inlineStr">
        <is>
          <t>As a DPO, I want analytics to respect scope and hide small groups so that no one is identified.</t>
        </is>
      </c>
      <c r="N243" s="5" t="inlineStr">
        <is>
          <t>• Given any analytics query, when run, then tenant RLS, my P02 scope and field classes apply (YX-MET-03).
• Given a Confidential / Special breakdown with a group below the threshold (default 5, range 3–10), when I lack individual access, then it shows "suppressed", also in exports (YX-MET-04).
• Given individual access in that scope, when I view, then all groups show (YX-MET-04).</t>
        </is>
      </c>
      <c r="O243" s="5" t="inlineStr">
        <is>
          <t>YX-MET-03, YX-MET-04</t>
        </is>
      </c>
      <c r="P243" t="inlineStr">
        <is>
          <t>P09, APX-C</t>
        </is>
      </c>
      <c r="Q243" t="inlineStr">
        <is>
          <t>US-E-298</t>
        </is>
      </c>
      <c r="R243" s="5" t="inlineStr"/>
    </row>
    <row r="244">
      <c r="A244" t="inlineStr">
        <is>
          <t>US-E-300</t>
        </is>
      </c>
      <c r="B244" t="n">
        <v>700</v>
      </c>
      <c r="C244" t="inlineStr">
        <is>
          <t>Story</t>
        </is>
      </c>
      <c r="D244" s="5" t="inlineStr">
        <is>
          <t xml:space="preserve">        Snapshots that rebuild from back-dated changes</t>
        </is>
      </c>
      <c r="E244" t="inlineStr">
        <is>
          <t>Platform services</t>
        </is>
      </c>
      <c r="F244" t="inlineStr">
        <is>
          <t>Metric layer, dashboards and analytics</t>
        </is>
      </c>
      <c r="G244" t="inlineStr">
        <is>
          <t>New</t>
        </is>
      </c>
      <c r="I244">
        <f>IF(H244&lt;&gt;"",H244,G244)</f>
        <v/>
      </c>
      <c r="J244" t="inlineStr">
        <is>
          <t>Step 5</t>
        </is>
      </c>
      <c r="K244" t="n">
        <v>5</v>
      </c>
      <c r="L244" t="n">
        <v>1</v>
      </c>
      <c r="M244" s="5" t="inlineStr">
        <is>
          <t>As an analyst, I want history snapshots corrected by back-dated changes so that trends are right.</t>
        </is>
      </c>
      <c r="N244" s="5" t="inlineStr">
        <is>
          <t>• Given a back-dated change, when saved, then snapshots rebuild incrementally from its effective date (YX-MET-06).
• Given total-workforce headcount, when shown anywhere, then it uses workforce.total_persons from snap_person_day (YX-MET-22).
• Given a rebuild, when running, then freshness shows on affected widgets.</t>
        </is>
      </c>
      <c r="O244" s="5" t="inlineStr">
        <is>
          <t>YX-MET-06, YX-MET-22</t>
        </is>
      </c>
      <c r="P244" t="inlineStr">
        <is>
          <t>P09, APX-C</t>
        </is>
      </c>
      <c r="Q244" t="inlineStr">
        <is>
          <t>US-E-298</t>
        </is>
      </c>
      <c r="R244" s="5" t="inlineStr"/>
    </row>
    <row r="245">
      <c r="A245" t="inlineStr">
        <is>
          <t>US-E-301</t>
        </is>
      </c>
      <c r="B245" t="n">
        <v>710</v>
      </c>
      <c r="C245" t="inlineStr">
        <is>
          <t>Story</t>
        </is>
      </c>
      <c r="D245" s="5" t="inlineStr">
        <is>
          <t xml:space="preserve">        Dashboards with scope and freshness, shared by viewer permissions</t>
        </is>
      </c>
      <c r="E245" t="inlineStr">
        <is>
          <t>Platform services</t>
        </is>
      </c>
      <c r="F245" t="inlineStr">
        <is>
          <t>Metric layer, dashboards and analytics</t>
        </is>
      </c>
      <c r="G245" t="inlineStr">
        <is>
          <t>New</t>
        </is>
      </c>
      <c r="I245">
        <f>IF(H245&lt;&gt;"",H245,G245)</f>
        <v/>
      </c>
      <c r="J245" t="inlineStr">
        <is>
          <t>Step 5</t>
        </is>
      </c>
      <c r="K245" t="n">
        <v>5</v>
      </c>
      <c r="L245" t="n">
        <v>1</v>
      </c>
      <c r="M245" s="5" t="inlineStr">
        <is>
          <t>As a manager, I want dashboards that show their scope and age and only my data so that I trust them.</t>
        </is>
      </c>
      <c r="N245" s="5" t="inlineStr">
        <is>
          <t>• Given a widget or report, when shown, then scope and data freshness are visible; no hidden default entity (YX-MET-05).
• Given a shared dashboard, when another person opens it, then it renders with their permissions, never the author’s (YX-MET-07).
• Given dashboard templates, when a module ships, then starter dashboards are available to copy.</t>
        </is>
      </c>
      <c r="O245" s="5" t="inlineStr">
        <is>
          <t>YX-MET-05, YX-MET-07</t>
        </is>
      </c>
      <c r="P245" t="inlineStr">
        <is>
          <t>P09, APX-C</t>
        </is>
      </c>
      <c r="Q245" t="inlineStr">
        <is>
          <t>US-E-299</t>
        </is>
      </c>
      <c r="R245" s="5" t="inlineStr"/>
    </row>
    <row r="246">
      <c r="A246" t="inlineStr">
        <is>
          <t>US-E-302</t>
        </is>
      </c>
      <c r="B246" t="n">
        <v>715</v>
      </c>
      <c r="C246" t="inlineStr">
        <is>
          <t>Story</t>
        </is>
      </c>
      <c r="D246" s="5" t="inlineStr">
        <is>
          <t xml:space="preserve">        Report builder and calculated metrics</t>
        </is>
      </c>
      <c r="E246" t="inlineStr">
        <is>
          <t>Platform services</t>
        </is>
      </c>
      <c r="F246" t="inlineStr">
        <is>
          <t>Metric layer, dashboards and analytics</t>
        </is>
      </c>
      <c r="G246" t="inlineStr">
        <is>
          <t>New</t>
        </is>
      </c>
      <c r="I246">
        <f>IF(H246&lt;&gt;"",H246,G246)</f>
        <v/>
      </c>
      <c r="J246" t="inlineStr">
        <is>
          <t>Step 5</t>
        </is>
      </c>
      <c r="K246" t="n">
        <v>5</v>
      </c>
      <c r="L246" t="n">
        <v>1</v>
      </c>
      <c r="M246" s="5" t="inlineStr">
        <is>
          <t>As an analyst, I want to build my own reports and formulas so that I answer new questions.</t>
        </is>
      </c>
      <c r="N246" s="5" t="inlineStr">
        <is>
          <t>• Given the metric explorer, when I pick measures and dimensions, then a report is built from governed metrics.
• Given a calculated metric, when created, then it is an expression over governed metrics only (YX-MET-11).
• Given its inputs, when sensitivity is set, then it inherits the most restrictive one (YX-MET-11).</t>
        </is>
      </c>
      <c r="O246" s="5" t="inlineStr">
        <is>
          <t>YX-MET-11</t>
        </is>
      </c>
      <c r="P246" t="inlineStr">
        <is>
          <t>P09, APX-C</t>
        </is>
      </c>
      <c r="Q246" t="inlineStr">
        <is>
          <t>US-E-301</t>
        </is>
      </c>
      <c r="R246" s="5" t="inlineStr"/>
    </row>
    <row r="247">
      <c r="A247" t="inlineStr">
        <is>
          <t>US-E-303</t>
        </is>
      </c>
      <c r="B247" t="n">
        <v>720</v>
      </c>
      <c r="C247" t="inlineStr">
        <is>
          <t>Story</t>
        </is>
      </c>
      <c r="D247" s="5" t="inlineStr">
        <is>
          <t xml:space="preserve">        Scheduled deliveries and audited exports</t>
        </is>
      </c>
      <c r="E247" t="inlineStr">
        <is>
          <t>Platform services</t>
        </is>
      </c>
      <c r="F247" t="inlineStr">
        <is>
          <t>Metric layer, dashboards and analytics</t>
        </is>
      </c>
      <c r="G247" t="inlineStr">
        <is>
          <t>Active</t>
        </is>
      </c>
      <c r="I247">
        <f>IF(H247&lt;&gt;"",H247,G247)</f>
        <v/>
      </c>
      <c r="J247" t="inlineStr">
        <is>
          <t>Step 5</t>
        </is>
      </c>
      <c r="K247" t="n">
        <v>3</v>
      </c>
      <c r="L247" t="n">
        <v>1</v>
      </c>
      <c r="M247" s="5" t="inlineStr">
        <is>
          <t>As a manager, I want reports emailed on a schedule without leaking data so that I stay informed safely.</t>
        </is>
      </c>
      <c r="N247" s="5" t="inlineStr">
        <is>
          <t>• Given a subscription, when delivered, then it renders with the recipient’s permissions (YX-MET-07).
• Given Confidential / Special content, when delivered, then email and WhatsApp carry a secure login link only, no file (YX-MET-08).
• Given an export or scheduled delivery, when made, then it is audited (YX-MET-09).</t>
        </is>
      </c>
      <c r="O247" s="5" t="inlineStr">
        <is>
          <t>YX-MET-08, YX-MET-09</t>
        </is>
      </c>
      <c r="P247" t="inlineStr">
        <is>
          <t>P09, APX-C</t>
        </is>
      </c>
      <c r="Q247" t="inlineStr">
        <is>
          <t>US-E-301</t>
        </is>
      </c>
      <c r="R247" s="5" t="inlineStr">
        <is>
          <t>apps/api/src/scheduled-reports (weekly digest) · apps/api/src/reports/exporters (CSV / XLSX / PDF) — exporters and digest exist; subscriptions are new</t>
        </is>
      </c>
    </row>
    <row r="248">
      <c r="A248" t="inlineStr">
        <is>
          <t>US-E-304</t>
        </is>
      </c>
      <c r="B248" t="n">
        <v>725</v>
      </c>
      <c r="C248" t="inlineStr">
        <is>
          <t>Story</t>
        </is>
      </c>
      <c r="D248" s="5" t="inlineStr">
        <is>
          <t xml:space="preserve">        Standard report library per APX-C</t>
        </is>
      </c>
      <c r="E248" t="inlineStr">
        <is>
          <t>Platform services</t>
        </is>
      </c>
      <c r="F248" t="inlineStr">
        <is>
          <t>Metric layer, dashboards and analytics</t>
        </is>
      </c>
      <c r="G248" t="inlineStr">
        <is>
          <t>New</t>
        </is>
      </c>
      <c r="I248">
        <f>IF(H248&lt;&gt;"",H248,G248)</f>
        <v/>
      </c>
      <c r="J248" t="inlineStr">
        <is>
          <t>Step 5</t>
        </is>
      </c>
      <c r="K248" t="n">
        <v>5</v>
      </c>
      <c r="L248" t="n">
        <v>1</v>
      </c>
      <c r="M248" s="5" t="inlineStr">
        <is>
          <t>As an HR head, I want the standard reports for each module so that I do not build common reports myself.</t>
        </is>
      </c>
      <c r="N248" s="5" t="inlineStr">
        <is>
          <t>• Given each module step, when it ships, then its APX-C reports ship with catalogue rows (YX-MET-13).
• Given a report, when run, then as-on or period, format and audience follow the catalogue.
• Given the APX-C §2 metric dictionary, when registered, then each metric has a golden test.</t>
        </is>
      </c>
      <c r="O248" s="5" t="inlineStr">
        <is>
          <t>YX-MET-13</t>
        </is>
      </c>
      <c r="P248" t="inlineStr">
        <is>
          <t>P09, APX-C</t>
        </is>
      </c>
      <c r="Q248" t="inlineStr">
        <is>
          <t>US-E-302</t>
        </is>
      </c>
      <c r="R248" s="5" t="inlineStr"/>
    </row>
    <row r="249">
      <c r="A249" t="inlineStr">
        <is>
          <t>US-E-308</t>
        </is>
      </c>
      <c r="B249" t="n">
        <v>790</v>
      </c>
      <c r="C249" t="inlineStr">
        <is>
          <t>Story</t>
        </is>
      </c>
      <c r="D249" s="5" t="inlineStr">
        <is>
          <t xml:space="preserve">        Tenant health feed without personal data</t>
        </is>
      </c>
      <c r="E249" t="inlineStr">
        <is>
          <t>Platform services</t>
        </is>
      </c>
      <c r="F249" t="inlineStr">
        <is>
          <t>Metric layer, dashboards and analytics</t>
        </is>
      </c>
      <c r="G249" t="inlineStr">
        <is>
          <t>New</t>
        </is>
      </c>
      <c r="I249">
        <f>IF(H249&lt;&gt;"",H249,G249)</f>
        <v/>
      </c>
      <c r="J249" t="inlineStr">
        <is>
          <t>Step 5 · before paid pilot</t>
        </is>
      </c>
      <c r="K249" t="n">
        <v>3</v>
      </c>
      <c r="L249" t="n">
        <v>1</v>
      </c>
      <c r="M249" s="5" t="inlineStr">
        <is>
          <t>As a customer success manager, I want health scores per tenant so that I help customers early, without seeing their people data.</t>
        </is>
      </c>
      <c r="N249" s="5" t="inlineStr">
        <is>
          <t>• Given the platform.tenant_health.* feed, when built, then it carries only counts, rates, scores and object IDs (YX-MET-15).
• Given names, HR content or Confidential values, when the feed is built, then they are never included (YX-MET-15).
• Given tenant admins, when they look, then they see the same health data (YX-MET-15).</t>
        </is>
      </c>
      <c r="O249" s="5" t="inlineStr">
        <is>
          <t>YX-MET-15</t>
        </is>
      </c>
      <c r="P249" t="inlineStr">
        <is>
          <t>P09, APX-C</t>
        </is>
      </c>
      <c r="Q249" t="inlineStr">
        <is>
          <t>US-E-298</t>
        </is>
      </c>
      <c r="R249" s="5" t="inlineStr"/>
    </row>
    <row r="250">
      <c r="A250" t="inlineStr">
        <is>
          <t>US-E-309</t>
        </is>
      </c>
      <c r="B250" t="n">
        <v>793</v>
      </c>
      <c r="C250" t="inlineStr">
        <is>
          <t>Story</t>
        </is>
      </c>
      <c r="D250" s="5" t="inlineStr">
        <is>
          <t xml:space="preserve">        Product analytics events and storage</t>
        </is>
      </c>
      <c r="E250" t="inlineStr">
        <is>
          <t>Platform services</t>
        </is>
      </c>
      <c r="F250" t="inlineStr">
        <is>
          <t>Metric layer, dashboards and analytics</t>
        </is>
      </c>
      <c r="G250" t="inlineStr">
        <is>
          <t>New</t>
        </is>
      </c>
      <c r="I250">
        <f>IF(H250&lt;&gt;"",H250,G250)</f>
        <v/>
      </c>
      <c r="J250" t="inlineStr">
        <is>
          <t>Before public launch</t>
        </is>
      </c>
      <c r="K250" t="n">
        <v>5</v>
      </c>
      <c r="L250" t="n">
        <v>1</v>
      </c>
      <c r="M250" s="5" t="inlineStr">
        <is>
          <t>As a product manager, I want privacy-safe usage events so that we improve the product.</t>
        </is>
      </c>
      <c r="N250" s="5" t="inlineStr">
        <is>
          <t>• Given product events, when registered in code, then they carry only the allowed properties (key, minute timestamp, product, module, screen, pseudonyms, role, surface, locale, size band) (YX-MET-19).
• Given storage, when used, then events live in the separate product_analytics schema, raw events deleted after 13 months, readable only by staff with the role (YX-MET-20).
• Given a tenant opts out of non-essential analytics, when events fire, then they are not stored (YX-MET-20).</t>
        </is>
      </c>
      <c r="O250" s="5" t="inlineStr">
        <is>
          <t>YX-MET-19, YX-MET-20</t>
        </is>
      </c>
      <c r="P250" t="inlineStr">
        <is>
          <t>P09, APX-C</t>
        </is>
      </c>
      <c r="Q250" t="inlineStr">
        <is>
          <t>US-E-298</t>
        </is>
      </c>
      <c r="R250" s="5" t="inlineStr"/>
    </row>
    <row r="251">
      <c r="A251" t="inlineStr">
        <is>
          <t>US-E-310</t>
        </is>
      </c>
      <c r="B251" t="n">
        <v>794</v>
      </c>
      <c r="C251" t="inlineStr">
        <is>
          <t>Story</t>
        </is>
      </c>
      <c r="D251" s="5" t="inlineStr">
        <is>
          <t xml:space="preserve">        Product metrics: funnel, activation and retention</t>
        </is>
      </c>
      <c r="E251" t="inlineStr">
        <is>
          <t>Platform services</t>
        </is>
      </c>
      <c r="F251" t="inlineStr">
        <is>
          <t>Metric layer, dashboards and analytics</t>
        </is>
      </c>
      <c r="G251" t="inlineStr">
        <is>
          <t>New</t>
        </is>
      </c>
      <c r="I251">
        <f>IF(H251&lt;&gt;"",H251,G251)</f>
        <v/>
      </c>
      <c r="J251" t="inlineStr">
        <is>
          <t>Before public launch</t>
        </is>
      </c>
      <c r="K251" t="n">
        <v>3</v>
      </c>
      <c r="L251" t="n">
        <v>1</v>
      </c>
      <c r="M251" s="5" t="inlineStr">
        <is>
          <t>As the founder, I want activation and trial conversion numbers so that I know if the product works.</t>
        </is>
      </c>
      <c r="N251" s="5" t="inlineStr">
        <is>
          <t>• Given product events, when computed, then funnel (sign-up → first value → activated → paid), time to first value per product and activation rate are shown (YX-MET-21).
• Given trials, when computed, then trial conversion and cohort retention are shown (YX-MET-21).
• Given features, when computed, then adoption and quick-start completion are shown (YX-MET-21).</t>
        </is>
      </c>
      <c r="O251" s="5" t="inlineStr">
        <is>
          <t>YX-MET-21</t>
        </is>
      </c>
      <c r="P251" t="inlineStr">
        <is>
          <t>P09, APX-C</t>
        </is>
      </c>
      <c r="Q251" t="inlineStr">
        <is>
          <t>US-E-309</t>
        </is>
      </c>
      <c r="R251" s="5" t="inlineStr"/>
    </row>
    <row r="252">
      <c r="A252" t="inlineStr">
        <is>
          <t>US-E-306</t>
        </is>
      </c>
      <c r="B252" t="n">
        <v>1000</v>
      </c>
      <c r="C252" t="inlineStr">
        <is>
          <t>Story</t>
        </is>
      </c>
      <c r="D252" s="5" t="inlineStr">
        <is>
          <t xml:space="preserve">        Anonymous survey results always grouped</t>
        </is>
      </c>
      <c r="E252" t="inlineStr">
        <is>
          <t>Platform services</t>
        </is>
      </c>
      <c r="F252" t="inlineStr">
        <is>
          <t>Metric layer, dashboards and analytics</t>
        </is>
      </c>
      <c r="G252" t="inlineStr">
        <is>
          <t>New</t>
        </is>
      </c>
      <c r="I252">
        <f>IF(H252&lt;&gt;"",H252,G252)</f>
        <v/>
      </c>
      <c r="J252" t="inlineStr">
        <is>
          <t>Step 6+ (HR modules)</t>
        </is>
      </c>
      <c r="K252" t="n">
        <v>3</v>
      </c>
      <c r="L252" t="n">
        <v>1</v>
      </c>
      <c r="M252" s="5" t="inlineStr">
        <is>
          <t>As an employee answering an anonymous survey, I want no one to see my answers so that I can be honest.</t>
        </is>
      </c>
      <c r="N252" s="5" t="inlineStr">
        <is>
          <t>• Given anonymous survey results, when any viewer opens them (incl. HR / Payroll Admin), then minimum group size applies (YX-MET-12).
• Given a team below the minimum, when shown, then it rolls up to its parent group (YX-MET-12).
• Given an export, when made, then the same rule applies.</t>
        </is>
      </c>
      <c r="O252" s="5" t="inlineStr">
        <is>
          <t>YX-MET-12</t>
        </is>
      </c>
      <c r="P252" t="inlineStr">
        <is>
          <t>P09, APX-C</t>
        </is>
      </c>
      <c r="Q252" t="inlineStr">
        <is>
          <t>US-E-299</t>
        </is>
      </c>
      <c r="R252" s="5" t="inlineStr"/>
    </row>
    <row r="253">
      <c r="A253" t="inlineStr">
        <is>
          <t>US-E-307</t>
        </is>
      </c>
      <c r="B253" t="n">
        <v>1100</v>
      </c>
      <c r="C253" t="inlineStr">
        <is>
          <t>Story</t>
        </is>
      </c>
      <c r="D253" s="5" t="inlineStr">
        <is>
          <t xml:space="preserve">        Attrition risk scores, confidential and explained</t>
        </is>
      </c>
      <c r="E253" t="inlineStr">
        <is>
          <t>Platform services</t>
        </is>
      </c>
      <c r="F253" t="inlineStr">
        <is>
          <t>Metric layer, dashboards and analytics</t>
        </is>
      </c>
      <c r="G253" t="inlineStr">
        <is>
          <t>New</t>
        </is>
      </c>
      <c r="I253">
        <f>IF(H253&lt;&gt;"",H253,G253)</f>
        <v/>
      </c>
      <c r="J253" t="inlineStr">
        <is>
          <t>Step 6+ (HR modules)</t>
        </is>
      </c>
      <c r="K253" t="n">
        <v>5</v>
      </c>
      <c r="L253" t="n">
        <v>2</v>
      </c>
      <c r="M253" s="5" t="inlineStr">
        <is>
          <t>As an HR business partner, I want attrition risk with its reasons so that I can act early.</t>
        </is>
      </c>
      <c r="N253" s="5" t="inlineStr">
        <is>
          <t>• Given risk scores, when shown, then only holders of analytics.attrition_risk.view see them (YX-MET-16).
• Given a score, when shown, then contributing factors and model version are shown (YX-MET-16).
• Given bulk exports or subscriptions, when the recipient lacks the grant, then scores are not included (YX-MET-16).</t>
        </is>
      </c>
      <c r="O253" s="5" t="inlineStr">
        <is>
          <t>YX-MET-16</t>
        </is>
      </c>
      <c r="P253" t="inlineStr">
        <is>
          <t>P09, APX-C</t>
        </is>
      </c>
      <c r="Q253" t="inlineStr">
        <is>
          <t>US-E-299, US-E-293</t>
        </is>
      </c>
      <c r="R253" s="5" t="inlineStr"/>
    </row>
    <row r="254">
      <c r="A254" t="inlineStr">
        <is>
          <t>US-E-305</t>
        </is>
      </c>
      <c r="B254" t="n">
        <v>1215</v>
      </c>
      <c r="C254" t="inlineStr">
        <is>
          <t>Story</t>
        </is>
      </c>
      <c r="D254" s="5" t="inlineStr">
        <is>
          <t xml:space="preserve">        Ask analytics in plain words</t>
        </is>
      </c>
      <c r="E254" t="inlineStr">
        <is>
          <t>Platform services</t>
        </is>
      </c>
      <c r="F254" t="inlineStr">
        <is>
          <t>Metric layer, dashboards and analytics</t>
        </is>
      </c>
      <c r="G254" t="inlineStr">
        <is>
          <t>New</t>
        </is>
      </c>
      <c r="I254">
        <f>IF(H254&lt;&gt;"",H254,G254)</f>
        <v/>
      </c>
      <c r="J254" t="inlineStr">
        <is>
          <t>Step 6+ (HR modules)</t>
        </is>
      </c>
      <c r="K254" t="n">
        <v>5</v>
      </c>
      <c r="L254" t="n">
        <v>2</v>
      </c>
      <c r="M254" s="5" t="inlineStr">
        <is>
          <t>As a manager, I want to ask a question in words and get a governed answer so that I do not need a report builder.</t>
        </is>
      </c>
      <c r="N254" s="5" t="inlineStr">
        <is>
          <t>• Given a question, when answered, then only governed metrics through the planner are used; no free-form SQL (YX-MET-10).
• Given an answer, when shown, then definitions and filters used are shown (YX-MET-10).
• Given a question outside my scope, when asked, then the answer respects my permissions.</t>
        </is>
      </c>
      <c r="O254" s="5" t="inlineStr">
        <is>
          <t>YX-MET-10</t>
        </is>
      </c>
      <c r="P254" t="inlineStr">
        <is>
          <t>P09, APX-C</t>
        </is>
      </c>
      <c r="Q254" t="inlineStr">
        <is>
          <t>US-E-302, US-E-288</t>
        </is>
      </c>
      <c r="R254" s="5" t="inlineStr"/>
    </row>
    <row r="255">
      <c r="A255" t="inlineStr">
        <is>
          <t>US-E-311</t>
        </is>
      </c>
      <c r="B255" t="n">
        <v>1300</v>
      </c>
      <c r="C255" t="inlineStr">
        <is>
          <t>Story</t>
        </is>
      </c>
      <c r="D255" s="5" t="inlineStr">
        <is>
          <t xml:space="preserve">        BRSR and Board’s-report disclosure packs</t>
        </is>
      </c>
      <c r="E255" t="inlineStr">
        <is>
          <t>Platform services</t>
        </is>
      </c>
      <c r="F255" t="inlineStr">
        <is>
          <t>Metric layer, dashboards and analytics</t>
        </is>
      </c>
      <c r="G255" t="inlineStr">
        <is>
          <t>New</t>
        </is>
      </c>
      <c r="I255">
        <f>IF(H255&lt;&gt;"",H255,G255)</f>
        <v/>
      </c>
      <c r="J255" t="inlineStr">
        <is>
          <t>Step 6+ (HR modules)</t>
        </is>
      </c>
      <c r="K255" t="n">
        <v>5</v>
      </c>
      <c r="L255" t="n">
        <v>2</v>
      </c>
      <c r="M255" s="5" t="inlineStr">
        <is>
          <t>As a CFO, I want workforce disclosure packs built from metrics so that statutory reports are accurate.</t>
        </is>
      </c>
      <c r="N255" s="5" t="inlineStr">
        <is>
          <t>• Given a legal entity and financial year, when a pack is built, then only registered esg.*, cases.*, learning.* and workforce metrics are used (YX-MET-23).
• Given the pack, when reviewed, then it goes preparer → reviewer → approver with audit (YX-MET-23).
• Given breakdowns below entity totals, when shown, then the small-group threshold applies to every viewer; legal totals show in full only to preparers and approvers (YX-MET-24).</t>
        </is>
      </c>
      <c r="O255" s="5" t="inlineStr">
        <is>
          <t>YX-MET-23, YX-MET-24</t>
        </is>
      </c>
      <c r="P255" t="inlineStr">
        <is>
          <t>P09, APX-C</t>
        </is>
      </c>
      <c r="Q255" t="inlineStr">
        <is>
          <t>US-E-304</t>
        </is>
      </c>
      <c r="R255" s="5" t="inlineStr"/>
    </row>
    <row r="256">
      <c r="A256" s="9" t="inlineStr">
        <is>
          <t>FT-E-43</t>
        </is>
      </c>
      <c r="B256" s="9" t="n">
        <v>760</v>
      </c>
      <c r="C256" s="9" t="inlineStr">
        <is>
          <t>Feature</t>
        </is>
      </c>
      <c r="D256" s="10" t="inlineStr">
        <is>
          <t xml:space="preserve">    Partner and accountant console</t>
        </is>
      </c>
      <c r="E256" s="9" t="inlineStr">
        <is>
          <t>Platform services</t>
        </is>
      </c>
      <c r="F256" s="9" t="inlineStr">
        <is>
          <t>Partner and accountant console</t>
        </is>
      </c>
      <c r="G256" s="9" t="inlineStr">
        <is>
          <t>New</t>
        </is>
      </c>
      <c r="H256" s="9" t="n"/>
      <c r="I256" s="9">
        <f>IF(H256&lt;&gt;"",H256,G256)</f>
        <v/>
      </c>
      <c r="J256" s="9" t="inlineStr">
        <is>
          <t>Step 5</t>
        </is>
      </c>
      <c r="K256" s="9" t="n"/>
      <c r="L256" s="9" t="n"/>
      <c r="M256" s="10" t="inlineStr"/>
      <c r="N256" s="10" t="inlineStr"/>
      <c r="O256" s="10" t="inlineStr">
        <is>
          <t>YX-PTR-01, YX-PTR-02, YX-PTR-03, YX-PTR-04, YX-PTR-05, YX-PTR-06, YX-PTR-07, YX-PTR-08, YX-PTR-09, YX-PTR-10, YX-PTR-11, YX-PTR-12, YX-PTR-13, YX-PTR-14</t>
        </is>
      </c>
      <c r="P256" s="9" t="inlineStr">
        <is>
          <t>P16</t>
        </is>
      </c>
      <c r="Q256" s="9" t="inlineStr"/>
      <c r="R256" s="10" t="inlineStr"/>
      <c r="S256" s="9" t="n"/>
    </row>
    <row r="257">
      <c r="A257" t="inlineStr">
        <is>
          <t>US-E-312</t>
        </is>
      </c>
      <c r="B257" t="n">
        <v>760</v>
      </c>
      <c r="C257" t="inlineStr">
        <is>
          <t>Story</t>
        </is>
      </c>
      <c r="D257" s="5" t="inlineStr">
        <is>
          <t xml:space="preserve">        Partner firm verification and suspension</t>
        </is>
      </c>
      <c r="E257" t="inlineStr">
        <is>
          <t>Platform services</t>
        </is>
      </c>
      <c r="F257" t="inlineStr">
        <is>
          <t>Partner and accountant console</t>
        </is>
      </c>
      <c r="G257" t="inlineStr">
        <is>
          <t>New</t>
        </is>
      </c>
      <c r="I257">
        <f>IF(H257&lt;&gt;"",H257,G257)</f>
        <v/>
      </c>
      <c r="J257" t="inlineStr">
        <is>
          <t>Step 5</t>
        </is>
      </c>
      <c r="K257" t="n">
        <v>3</v>
      </c>
      <c r="L257" t="n">
        <v>1</v>
      </c>
      <c r="M257" s="5" t="inlineStr">
        <is>
          <t>As YukthiX staff, I want partners verified before they reach clients so that only trusted firms get access.</t>
        </is>
      </c>
      <c r="N257" s="5" t="inlineStr">
        <is>
          <t>• Given a partner firm, when identity, tax ids and agreement are not verified, then no client link can be active (YX-PTR-01).
• Given a partner is suspended, when it happens, then all its client access stops at once (YX-PTR-01).
• Given verification, when done, then it is audited.</t>
        </is>
      </c>
      <c r="O257" s="5" t="inlineStr">
        <is>
          <t>YX-PTR-01</t>
        </is>
      </c>
      <c r="P257" t="inlineStr">
        <is>
          <t>P16</t>
        </is>
      </c>
      <c r="Q257" t="inlineStr"/>
      <c r="R257" s="5" t="inlineStr"/>
    </row>
    <row r="258">
      <c r="A258" t="inlineStr">
        <is>
          <t>US-E-313</t>
        </is>
      </c>
      <c r="B258" t="n">
        <v>760</v>
      </c>
      <c r="C258" t="inlineStr">
        <is>
          <t>Story</t>
        </is>
      </c>
      <c r="D258" s="5" t="inlineStr">
        <is>
          <t xml:space="preserve">        Tenant ownership and client-approved grants</t>
        </is>
      </c>
      <c r="E258" t="inlineStr">
        <is>
          <t>Platform services</t>
        </is>
      </c>
      <c r="F258" t="inlineStr">
        <is>
          <t>Partner and accountant console</t>
        </is>
      </c>
      <c r="G258" t="inlineStr">
        <is>
          <t>New</t>
        </is>
      </c>
      <c r="I258">
        <f>IF(H258&lt;&gt;"",H258,G258)</f>
        <v/>
      </c>
      <c r="J258" t="inlineStr">
        <is>
          <t>Step 5</t>
        </is>
      </c>
      <c r="K258" t="n">
        <v>5</v>
      </c>
      <c r="L258" t="n">
        <v>1</v>
      </c>
      <c r="M258" s="5" t="inlineStr">
        <is>
          <t>As a client admin, I want to control what my accountant can do so that our data stays ours.</t>
        </is>
      </c>
      <c r="N258" s="5" t="inlineStr">
        <is>
          <t>• Given tenant creation, when done, then ownership (client-owned or partner-owned) is recorded on the link (YX-PTR-02).
• Given a client-owned tenant, when a partner needs access, then a client admin approves a grant and can view, change or end it at any time (YX-PTR-02).
• Given partner users, when they act, then only assigned users within the grant’s modules, entities and actions can; Special data is never in a grant (YX-PTR-03).</t>
        </is>
      </c>
      <c r="O258" s="5" t="inlineStr">
        <is>
          <t>YX-PTR-02, YX-PTR-03</t>
        </is>
      </c>
      <c r="P258" t="inlineStr">
        <is>
          <t>P16</t>
        </is>
      </c>
      <c r="Q258" t="inlineStr">
        <is>
          <t>US-E-312</t>
        </is>
      </c>
      <c r="R258" s="5" t="inlineStr"/>
    </row>
    <row r="259">
      <c r="A259" t="inlineStr">
        <is>
          <t>US-E-314</t>
        </is>
      </c>
      <c r="B259" t="n">
        <v>760</v>
      </c>
      <c r="C259" t="inlineStr">
        <is>
          <t>Story</t>
        </is>
      </c>
      <c r="D259" s="5" t="inlineStr">
        <is>
          <t xml:space="preserve">        Partner actions in the client’s audit log</t>
        </is>
      </c>
      <c r="E259" t="inlineStr">
        <is>
          <t>Platform services</t>
        </is>
      </c>
      <c r="F259" t="inlineStr">
        <is>
          <t>Partner and accountant console</t>
        </is>
      </c>
      <c r="G259" t="inlineStr">
        <is>
          <t>New</t>
        </is>
      </c>
      <c r="I259">
        <f>IF(H259&lt;&gt;"",H259,G259)</f>
        <v/>
      </c>
      <c r="J259" t="inlineStr">
        <is>
          <t>Step 5</t>
        </is>
      </c>
      <c r="K259" t="n">
        <v>2</v>
      </c>
      <c r="L259" t="n">
        <v>1</v>
      </c>
      <c r="M259" s="5" t="inlineStr">
        <is>
          <t>As a client admin, I want to see everything the partner did so that I can trust them.</t>
        </is>
      </c>
      <c r="N259" s="5" t="inlineStr">
        <is>
          <t>• Given a partner action in my tenant, when done, then it is in my audit log with firm and user (YX-PTR-04).
• Given "who accessed my data", when an employee opens it, then partner access is included (YX-PTR-04).
• Given a filter, when I choose a partner, then only its actions show.</t>
        </is>
      </c>
      <c r="O259" s="5" t="inlineStr">
        <is>
          <t>YX-PTR-04</t>
        </is>
      </c>
      <c r="P259" t="inlineStr">
        <is>
          <t>P16</t>
        </is>
      </c>
      <c r="Q259" t="inlineStr">
        <is>
          <t>US-E-313</t>
        </is>
      </c>
      <c r="R259" s="5" t="inlineStr"/>
    </row>
    <row r="260">
      <c r="A260" t="inlineStr">
        <is>
          <t>US-E-315</t>
        </is>
      </c>
      <c r="B260" t="n">
        <v>760</v>
      </c>
      <c r="C260" t="inlineStr">
        <is>
          <t>Story</t>
        </is>
      </c>
      <c r="D260" s="5" t="inlineStr">
        <is>
          <t xml:space="preserve">        Client approval for payroll release and filings</t>
        </is>
      </c>
      <c r="E260" t="inlineStr">
        <is>
          <t>Platform services</t>
        </is>
      </c>
      <c r="F260" t="inlineStr">
        <is>
          <t>Partner and accountant console</t>
        </is>
      </c>
      <c r="G260" t="inlineStr">
        <is>
          <t>New</t>
        </is>
      </c>
      <c r="I260">
        <f>IF(H260&lt;&gt;"",H260,G260)</f>
        <v/>
      </c>
      <c r="J260" t="inlineStr">
        <is>
          <t>Step 5</t>
        </is>
      </c>
      <c r="K260" t="n">
        <v>3</v>
      </c>
      <c r="L260" t="n">
        <v>1</v>
      </c>
      <c r="M260" s="5" t="inlineStr">
        <is>
          <t>As a client finance approver, I want to approve payroll release unless I delegated it so that money moves only with our consent.</t>
        </is>
      </c>
      <c r="N260" s="5" t="inlineStr">
        <is>
          <t>• Given payroll release, bank-file release, statutory filing or DSC signing, when the partner starts it, then a client-side approval is needed (YX-PTR-05).
• Given the client delegated that step in the grant, when the partner acts, then no client approval is needed (YX-PTR-05).
• Given either case, when the step runs, then step-up MFA applies (YX-PTR-05).</t>
        </is>
      </c>
      <c r="O260" s="5" t="inlineStr">
        <is>
          <t>YX-PTR-05</t>
        </is>
      </c>
      <c r="P260" t="inlineStr">
        <is>
          <t>P16</t>
        </is>
      </c>
      <c r="Q260" t="inlineStr">
        <is>
          <t>US-E-313</t>
        </is>
      </c>
      <c r="R260" s="5" t="inlineStr"/>
    </row>
    <row r="261">
      <c r="A261" t="inlineStr">
        <is>
          <t>US-E-316</t>
        </is>
      </c>
      <c r="B261" t="n">
        <v>760</v>
      </c>
      <c r="C261" t="inlineStr">
        <is>
          <t>Story</t>
        </is>
      </c>
      <c r="D261" s="5" t="inlineStr">
        <is>
          <t xml:space="preserve">        Partner login security</t>
        </is>
      </c>
      <c r="E261" t="inlineStr">
        <is>
          <t>Platform services</t>
        </is>
      </c>
      <c r="F261" t="inlineStr">
        <is>
          <t>Partner and accountant console</t>
        </is>
      </c>
      <c r="G261" t="inlineStr">
        <is>
          <t>New</t>
        </is>
      </c>
      <c r="I261">
        <f>IF(H261&lt;&gt;"",H261,G261)</f>
        <v/>
      </c>
      <c r="J261" t="inlineStr">
        <is>
          <t>Step 5</t>
        </is>
      </c>
      <c r="K261" t="n">
        <v>2</v>
      </c>
      <c r="L261" t="n">
        <v>1</v>
      </c>
      <c r="M261" s="5" t="inlineStr">
        <is>
          <t>As a security owner, I want partners to use strong login so that client data is safe.</t>
        </is>
      </c>
      <c r="N261" s="5" t="inlineStr">
        <is>
          <t>• Given a partner user, when logging in, then MFA is required (YX-PTR-06).
• Given a partner with 10+ users, when logging in, then SSO or passkeys are required (YX-PTR-06).
• Given partner sessions, when idle, then P12 desk session limits apply (YX-PTR-06).</t>
        </is>
      </c>
      <c r="O261" s="5" t="inlineStr">
        <is>
          <t>YX-PTR-06</t>
        </is>
      </c>
      <c r="P261" t="inlineStr">
        <is>
          <t>P16</t>
        </is>
      </c>
      <c r="Q261" t="inlineStr">
        <is>
          <t>US-E-312</t>
        </is>
      </c>
      <c r="R261" s="5" t="inlineStr"/>
    </row>
    <row r="262">
      <c r="A262" t="inlineStr">
        <is>
          <t>US-E-317</t>
        </is>
      </c>
      <c r="B262" t="n">
        <v>760</v>
      </c>
      <c r="C262" t="inlineStr">
        <is>
          <t>Story</t>
        </is>
      </c>
      <c r="D262" s="5" t="inlineStr">
        <is>
          <t xml:space="preserve">        Cross-client dashboard with statuses only</t>
        </is>
      </c>
      <c r="E262" t="inlineStr">
        <is>
          <t>Platform services</t>
        </is>
      </c>
      <c r="F262" t="inlineStr">
        <is>
          <t>Partner and accountant console</t>
        </is>
      </c>
      <c r="G262" t="inlineStr">
        <is>
          <t>New</t>
        </is>
      </c>
      <c r="I262">
        <f>IF(H262&lt;&gt;"",H262,G262)</f>
        <v/>
      </c>
      <c r="J262" t="inlineStr">
        <is>
          <t>Step 5</t>
        </is>
      </c>
      <c r="K262" t="n">
        <v>3</v>
      </c>
      <c r="L262" t="n">
        <v>1</v>
      </c>
      <c r="M262" s="5" t="inlineStr">
        <is>
          <t>As an accountant, I want one dashboard across my clients so that I see what is due.</t>
        </is>
      </c>
      <c r="N262" s="5" t="inlineStr">
        <is>
          <t>• Given my clients, when I open the dashboard, then I see statuses, counts and due dates from each client’s status feed (YX-PTR-07).
• Given personal data, when the dashboard loads, then none leaves the client tenant (YX-PTR-07).
• Given a client row, when clicked, then I enter that client within my grant.</t>
        </is>
      </c>
      <c r="O262" s="5" t="inlineStr">
        <is>
          <t>YX-PTR-07</t>
        </is>
      </c>
      <c r="P262" t="inlineStr">
        <is>
          <t>P16</t>
        </is>
      </c>
      <c r="Q262" t="inlineStr">
        <is>
          <t>US-E-313</t>
        </is>
      </c>
      <c r="R262" s="5" t="inlineStr"/>
    </row>
    <row r="263">
      <c r="A263" t="inlineStr">
        <is>
          <t>US-E-318</t>
        </is>
      </c>
      <c r="B263" t="n">
        <v>760</v>
      </c>
      <c r="C263" t="inlineStr">
        <is>
          <t>Story</t>
        </is>
      </c>
      <c r="D263" s="5" t="inlineStr">
        <is>
          <t xml:space="preserve">        Named client contact before live payroll</t>
        </is>
      </c>
      <c r="E263" t="inlineStr">
        <is>
          <t>Platform services</t>
        </is>
      </c>
      <c r="F263" t="inlineStr">
        <is>
          <t>Partner and accountant console</t>
        </is>
      </c>
      <c r="G263" t="inlineStr">
        <is>
          <t>New</t>
        </is>
      </c>
      <c r="I263">
        <f>IF(H263&lt;&gt;"",H263,G263)</f>
        <v/>
      </c>
      <c r="J263" t="inlineStr">
        <is>
          <t>Step 5</t>
        </is>
      </c>
      <c r="K263" t="n">
        <v>2</v>
      </c>
      <c r="L263" t="n">
        <v>1</v>
      </c>
      <c r="M263" s="5" t="inlineStr">
        <is>
          <t>As a client, I want a named contact invited at creation so that someone on our side is accountable.</t>
        </is>
      </c>
      <c r="N263" s="5" t="inlineStr">
        <is>
          <t>• Given a partner-created tenant, when created, then a named client contact must be invited (YX-PTR-08).
• Given the contact has not accepted, when live payroll is attempted, then it is blocked (YX-PTR-08).
• Given either ownership model, when checked, then the same rule applies (YX-PTR-08).</t>
        </is>
      </c>
      <c r="O263" s="5" t="inlineStr">
        <is>
          <t>YX-PTR-08</t>
        </is>
      </c>
      <c r="P263" t="inlineStr">
        <is>
          <t>P16</t>
        </is>
      </c>
      <c r="Q263" t="inlineStr">
        <is>
          <t>US-E-313</t>
        </is>
      </c>
      <c r="R263" s="5" t="inlineStr"/>
    </row>
    <row r="264">
      <c r="A264" t="inlineStr">
        <is>
          <t>US-E-319</t>
        </is>
      </c>
      <c r="B264" t="n">
        <v>760</v>
      </c>
      <c r="C264" t="inlineStr">
        <is>
          <t>Story</t>
        </is>
      </c>
      <c r="D264" s="5" t="inlineStr">
        <is>
          <t xml:space="preserve">        Partner templates copied into clients</t>
        </is>
      </c>
      <c r="E264" t="inlineStr">
        <is>
          <t>Platform services</t>
        </is>
      </c>
      <c r="F264" t="inlineStr">
        <is>
          <t>Partner and accountant console</t>
        </is>
      </c>
      <c r="G264" t="inlineStr">
        <is>
          <t>New</t>
        </is>
      </c>
      <c r="I264">
        <f>IF(H264&lt;&gt;"",H264,G264)</f>
        <v/>
      </c>
      <c r="J264" t="inlineStr">
        <is>
          <t>Step 5</t>
        </is>
      </c>
      <c r="K264" t="n">
        <v>2</v>
      </c>
      <c r="L264" t="n">
        <v>2</v>
      </c>
      <c r="M264" s="5" t="inlineStr">
        <is>
          <t>As an accountant, I want to reuse my templates across clients so that setup is quick and isolated.</t>
        </is>
      </c>
      <c r="N264" s="5" t="inlineStr">
        <is>
          <t>• Given a partner template, when applied, then it is copied into the client (YX-PTR-09).
• Given one client edits its copy, when saved, then no other client is affected (YX-PTR-09).
• Given the partner updates its template, when saved, then clients are not changed.</t>
        </is>
      </c>
      <c r="O264" s="5" t="inlineStr">
        <is>
          <t>YX-PTR-09</t>
        </is>
      </c>
      <c r="P264" t="inlineStr">
        <is>
          <t>P16</t>
        </is>
      </c>
      <c r="Q264" t="inlineStr">
        <is>
          <t>US-E-313</t>
        </is>
      </c>
      <c r="R264" s="5" t="inlineStr"/>
    </row>
    <row r="265">
      <c r="A265" t="inlineStr">
        <is>
          <t>US-E-320</t>
        </is>
      </c>
      <c r="B265" t="n">
        <v>760</v>
      </c>
      <c r="C265" t="inlineStr">
        <is>
          <t>Story</t>
        </is>
      </c>
      <c r="D265" s="5" t="inlineStr">
        <is>
          <t xml:space="preserve">        Reseller hierarchy, billing and commissions</t>
        </is>
      </c>
      <c r="E265" t="inlineStr">
        <is>
          <t>Platform services</t>
        </is>
      </c>
      <c r="F265" t="inlineStr">
        <is>
          <t>Partner and accountant console</t>
        </is>
      </c>
      <c r="G265" t="inlineStr">
        <is>
          <t>New</t>
        </is>
      </c>
      <c r="I265">
        <f>IF(H265&lt;&gt;"",H265,G265)</f>
        <v/>
      </c>
      <c r="J265" t="inlineStr">
        <is>
          <t>Step 5</t>
        </is>
      </c>
      <c r="K265" t="n">
        <v>5</v>
      </c>
      <c r="L265" t="n">
        <v>2</v>
      </c>
      <c r="M265" s="5" t="inlineStr">
        <is>
          <t>As a partner, I want commissions or partner billing per client so that the partnership pays.</t>
        </is>
      </c>
      <c r="N265" s="5" t="inlineStr">
        <is>
          <t>• Given resellers, when set up, then the hierarchy is at most two levels and a master never gets client data through a sub-partner (YX-PTR-10).
• Given billing per client, when chosen, then it is direct + referral commission or partner-billed at a discount (YX-PTR-11).
• Given prices, when set, then the client price is never above the published price, rates pass YX-BILL-09 and each commission line links to the client invoice (YX-PTR-11).</t>
        </is>
      </c>
      <c r="O265" s="5" t="inlineStr">
        <is>
          <t>YX-PTR-10, YX-PTR-11</t>
        </is>
      </c>
      <c r="P265" t="inlineStr">
        <is>
          <t>P16</t>
        </is>
      </c>
      <c r="Q265" t="inlineStr">
        <is>
          <t>US-E-313</t>
        </is>
      </c>
      <c r="R265" s="5" t="inlineStr"/>
    </row>
    <row r="266">
      <c r="A266" t="inlineStr">
        <is>
          <t>US-E-321</t>
        </is>
      </c>
      <c r="B266" t="n">
        <v>760</v>
      </c>
      <c r="C266" t="inlineStr">
        <is>
          <t>Story</t>
        </is>
      </c>
      <c r="D266" s="5" t="inlineStr">
        <is>
          <t xml:space="preserve">        Ending a link and ownership transfer</t>
        </is>
      </c>
      <c r="E266" t="inlineStr">
        <is>
          <t>Platform services</t>
        </is>
      </c>
      <c r="F266" t="inlineStr">
        <is>
          <t>Partner and accountant console</t>
        </is>
      </c>
      <c r="G266" t="inlineStr">
        <is>
          <t>New</t>
        </is>
      </c>
      <c r="I266">
        <f>IF(H266&lt;&gt;"",H266,G266)</f>
        <v/>
      </c>
      <c r="J266" t="inlineStr">
        <is>
          <t>Step 5</t>
        </is>
      </c>
      <c r="K266" t="n">
        <v>3</v>
      </c>
      <c r="L266" t="n">
        <v>1</v>
      </c>
      <c r="M266" s="5" t="inlineStr">
        <is>
          <t>As a client, I want to take full ownership from my partner so that I can change providers.</t>
        </is>
      </c>
      <c r="N266" s="5" t="inlineStr">
        <is>
          <t>• Given a partner-owned → client-owned transfer, when requested, then it completes after the notice period (max 30 days) and the partner cannot block it (YX-PTR-13).
• Given open runs, when transferring, then they are completed or handed over and billing moves with ownership (YX-PTR-13).
• Given a link ends, when done, then the partner keeps only its own work records; client data, documents and copied templates stay with the client (YX-PTR-12).</t>
        </is>
      </c>
      <c r="O266" s="5" t="inlineStr">
        <is>
          <t>YX-PTR-12, YX-PTR-13</t>
        </is>
      </c>
      <c r="P266" t="inlineStr">
        <is>
          <t>P16</t>
        </is>
      </c>
      <c r="Q266" t="inlineStr">
        <is>
          <t>US-E-313</t>
        </is>
      </c>
      <c r="R266" s="5" t="inlineStr"/>
    </row>
    <row r="267">
      <c r="A267" t="inlineStr">
        <is>
          <t>US-E-322</t>
        </is>
      </c>
      <c r="B267" t="n">
        <v>760</v>
      </c>
      <c r="C267" t="inlineStr">
        <is>
          <t>Story</t>
        </is>
      </c>
      <c r="D267" s="5" t="inlineStr">
        <is>
          <t xml:space="preserve">        Partner directory of verified partners</t>
        </is>
      </c>
      <c r="E267" t="inlineStr">
        <is>
          <t>Platform services</t>
        </is>
      </c>
      <c r="F267" t="inlineStr">
        <is>
          <t>Partner and accountant console</t>
        </is>
      </c>
      <c r="G267" t="inlineStr">
        <is>
          <t>New</t>
        </is>
      </c>
      <c r="I267">
        <f>IF(H267&lt;&gt;"",H267,G267)</f>
        <v/>
      </c>
      <c r="J267" t="inlineStr">
        <is>
          <t>Step 5</t>
        </is>
      </c>
      <c r="K267" t="n">
        <v>2</v>
      </c>
      <c r="L267" t="n">
        <v>2</v>
      </c>
      <c r="M267" s="5" t="inlineStr">
        <is>
          <t>As a company, I want to find a verified payroll partner so that we get managed payroll from a trusted firm.</t>
        </is>
      </c>
      <c r="N267" s="5" t="inlineStr">
        <is>
          <t>• Given the directory, when listed, then only verified partners appear (YX-PTR-14).
• Given ordering, when computed, then it never depends on payment to YukthiX (YX-PTR-14).
• Given YukthiX itself, when asked, then it does not offer payroll or filings as a service (YX-PTR-14).</t>
        </is>
      </c>
      <c r="O267" s="5" t="inlineStr">
        <is>
          <t>YX-PTR-14</t>
        </is>
      </c>
      <c r="P267" t="inlineStr">
        <is>
          <t>P16</t>
        </is>
      </c>
      <c r="Q267" t="inlineStr">
        <is>
          <t>US-E-312</t>
        </is>
      </c>
      <c r="R267" s="5" t="inlineStr"/>
    </row>
    <row r="268">
      <c r="A268" s="9" t="inlineStr">
        <is>
          <t>FT-E-44</t>
        </is>
      </c>
      <c r="B268" s="9" t="n">
        <v>780</v>
      </c>
      <c r="C268" s="9" t="inlineStr">
        <is>
          <t>Feature</t>
        </is>
      </c>
      <c r="D268" s="10" t="inlineStr">
        <is>
          <t xml:space="preserve">    Employee and manager assistants and marketplaces</t>
        </is>
      </c>
      <c r="E268" s="9" t="inlineStr">
        <is>
          <t>Platform services</t>
        </is>
      </c>
      <c r="F268" s="9" t="inlineStr">
        <is>
          <t>Employee and manager assistants and marketplaces</t>
        </is>
      </c>
      <c r="G268" s="9" t="inlineStr">
        <is>
          <t>New</t>
        </is>
      </c>
      <c r="H268" s="9" t="n"/>
      <c r="I268" s="9">
        <f>IF(H268&lt;&gt;"",H268,G268)</f>
        <v/>
      </c>
      <c r="J268" s="9" t="inlineStr">
        <is>
          <t>Step 5</t>
        </is>
      </c>
      <c r="K268" s="9" t="n"/>
      <c r="L268" s="9" t="n"/>
      <c r="M268" s="10" t="inlineStr"/>
      <c r="N268" s="10" t="inlineStr"/>
      <c r="O268" s="10" t="inlineStr">
        <is>
          <t>YX-AST-01, YX-AST-02, YX-AST-03, YX-AST-04, YX-AST-05, YX-AST-06, YX-AST-07, YX-AST-08, YX-AST-09, YX-AST-10, YX-AST-11, YX-AST-12, YX-AST-13, YX-AST-14, YX-AST-15, YX-AST-16, YX-AST-17, YX-AST-18, YX-AST-19</t>
        </is>
      </c>
      <c r="P268" s="9" t="inlineStr">
        <is>
          <t>P23</t>
        </is>
      </c>
      <c r="Q268" s="9" t="inlineStr"/>
      <c r="R268" s="10" t="inlineStr"/>
      <c r="S268" s="9" t="n"/>
    </row>
    <row r="269">
      <c r="A269" t="inlineStr">
        <is>
          <t>US-E-323</t>
        </is>
      </c>
      <c r="B269" t="n">
        <v>780</v>
      </c>
      <c r="C269" t="inlineStr">
        <is>
          <t>Story</t>
        </is>
      </c>
      <c r="D269" s="5" t="inlineStr">
        <is>
          <t xml:space="preserve">        Payslip explainer from payroll data</t>
        </is>
      </c>
      <c r="E269" t="inlineStr">
        <is>
          <t>Platform services</t>
        </is>
      </c>
      <c r="F269" t="inlineStr">
        <is>
          <t>Employee and manager assistants and marketplaces</t>
        </is>
      </c>
      <c r="G269" t="inlineStr">
        <is>
          <t>New</t>
        </is>
      </c>
      <c r="I269">
        <f>IF(H269&lt;&gt;"",H269,G269)</f>
        <v/>
      </c>
      <c r="J269" t="inlineStr">
        <is>
          <t>Step 5</t>
        </is>
      </c>
      <c r="K269" t="n">
        <v>5</v>
      </c>
      <c r="L269" t="n">
        <v>1</v>
      </c>
      <c r="M269" s="5" t="inlineStr">
        <is>
          <t>As an employee, I want to know why my pay changed so that I do not need to raise a ticket.</t>
        </is>
      </c>
      <c r="N269" s="5" t="inlineStr">
        <is>
          <t>• Given two payslips, when compared, then the pay-diff engine names a cause only when a payroll record supports it (YX-AST-04).
• Given anything left over, when shown, then it is "not explained" with a Raise payslip query button (YX-AST-04).
• Given amounts, when shown, then they come from M03 / P07 engines, never from AI (YX-AST-05).
• Given someone else’s payslip, when asked, then it is refused and logged (YX-AST-03).</t>
        </is>
      </c>
      <c r="O269" s="5" t="inlineStr">
        <is>
          <t>YX-AST-03, YX-AST-04, YX-AST-05</t>
        </is>
      </c>
      <c r="P269" t="inlineStr">
        <is>
          <t>P23</t>
        </is>
      </c>
      <c r="Q269" t="inlineStr"/>
      <c r="R269" s="5" t="inlineStr"/>
    </row>
    <row r="270">
      <c r="A270" t="inlineStr">
        <is>
          <t>US-E-324</t>
        </is>
      </c>
      <c r="B270" t="n">
        <v>780</v>
      </c>
      <c r="C270" t="inlineStr">
        <is>
          <t>Story</t>
        </is>
      </c>
      <c r="D270" s="5" t="inlineStr">
        <is>
          <t xml:space="preserve">        Employee tax planner</t>
        </is>
      </c>
      <c r="E270" t="inlineStr">
        <is>
          <t>Platform services</t>
        </is>
      </c>
      <c r="F270" t="inlineStr">
        <is>
          <t>Employee and manager assistants and marketplaces</t>
        </is>
      </c>
      <c r="G270" t="inlineStr">
        <is>
          <t>New</t>
        </is>
      </c>
      <c r="I270">
        <f>IF(H270&lt;&gt;"",H270,G270)</f>
        <v/>
      </c>
      <c r="J270" t="inlineStr">
        <is>
          <t>Step 5</t>
        </is>
      </c>
      <c r="K270" t="n">
        <v>3</v>
      </c>
      <c r="L270" t="n">
        <v>1</v>
      </c>
      <c r="M270" s="5" t="inlineStr">
        <is>
          <t>As an employee, I want to compare tax regimes on my real salary so that I choose well.</t>
        </is>
      </c>
      <c r="N270" s="5" t="inlineStr">
        <is>
          <t>• Given my projected salary and the IN.TDS law version, when I plan, then estimates come from the engine (YX-AST-12).
• Given results, when shown, then "Estimate, not tax advice" is shown and no regime is chosen for me (YX-AST-12).
• Given my scenarios, when saved, then they are private to me and never in manager views or reports (YX-AST-12).</t>
        </is>
      </c>
      <c r="O270" s="5" t="inlineStr">
        <is>
          <t>YX-AST-12</t>
        </is>
      </c>
      <c r="P270" t="inlineStr">
        <is>
          <t>P23</t>
        </is>
      </c>
      <c r="Q270" t="inlineStr">
        <is>
          <t>US-E-323</t>
        </is>
      </c>
      <c r="R270" s="5" t="inlineStr"/>
    </row>
    <row r="271">
      <c r="A271" t="inlineStr">
        <is>
          <t>US-E-325</t>
        </is>
      </c>
      <c r="B271" t="n">
        <v>780</v>
      </c>
      <c r="C271" t="inlineStr">
        <is>
          <t>Story</t>
        </is>
      </c>
      <c r="D271" s="5" t="inlineStr">
        <is>
          <t xml:space="preserve">        Salary structure optimiser for HR</t>
        </is>
      </c>
      <c r="E271" t="inlineStr">
        <is>
          <t>Platform services</t>
        </is>
      </c>
      <c r="F271" t="inlineStr">
        <is>
          <t>Employee and manager assistants and marketplaces</t>
        </is>
      </c>
      <c r="G271" t="inlineStr">
        <is>
          <t>New</t>
        </is>
      </c>
      <c r="I271">
        <f>IF(H271&lt;&gt;"",H271,G271)</f>
        <v/>
      </c>
      <c r="J271" t="inlineStr">
        <is>
          <t>Step 5</t>
        </is>
      </c>
      <c r="K271" t="n">
        <v>3</v>
      </c>
      <c r="L271" t="n">
        <v>2</v>
      </c>
      <c r="M271" s="5" t="inlineStr">
        <is>
          <t>As an HR admin, I want suggested salary splits that pass company and legal rules so that I offer tax-efficient structures safely.</t>
        </is>
      </c>
      <c r="N271" s="5" t="inlineStr">
        <is>
          <t>• Given a suggested split, when shown, then it passes company CTC rules, the 50 % wage rule, minimum wage and PF / ESI (YX-AST-13).
• Given HR chooses, when saved, then options shown and the choice are audited (YX-AST-13).
• Given a later law change, when published, then saved suggestions are marked stale (YX-AST-13).</t>
        </is>
      </c>
      <c r="O271" s="5" t="inlineStr">
        <is>
          <t>YX-AST-13</t>
        </is>
      </c>
      <c r="P271" t="inlineStr">
        <is>
          <t>P23</t>
        </is>
      </c>
      <c r="Q271" t="inlineStr">
        <is>
          <t>US-E-268</t>
        </is>
      </c>
      <c r="R271" s="5" t="inlineStr"/>
    </row>
    <row r="272">
      <c r="A272" t="inlineStr">
        <is>
          <t>US-E-333</t>
        </is>
      </c>
      <c r="B272" t="n">
        <v>780</v>
      </c>
      <c r="C272" t="inlineStr">
        <is>
          <t>Story</t>
        </is>
      </c>
      <c r="D272" s="5" t="inlineStr">
        <is>
          <t xml:space="preserve">        Company switches, advisory-only rule and audit for helpers</t>
        </is>
      </c>
      <c r="E272" t="inlineStr">
        <is>
          <t>Platform services</t>
        </is>
      </c>
      <c r="F272" t="inlineStr">
        <is>
          <t>Employee and manager assistants and marketplaces</t>
        </is>
      </c>
      <c r="G272" t="inlineStr">
        <is>
          <t>New</t>
        </is>
      </c>
      <c r="I272">
        <f>IF(H272&lt;&gt;"",H272,G272)</f>
        <v/>
      </c>
      <c r="J272" t="inlineStr">
        <is>
          <t>Step 5</t>
        </is>
      </c>
      <c r="K272" t="n">
        <v>3</v>
      </c>
      <c r="L272" t="n">
        <v>1</v>
      </c>
      <c r="M272" s="5" t="inlineStr">
        <is>
          <t>As a system admin, I want to switch each helper on or off and audit them so that we control AI use.</t>
        </is>
      </c>
      <c r="N272" s="5" t="inlineStr">
        <is>
          <t>• Given each P23 helper and marketplace, when the company switches it off, then it is hidden (YX-AST-18).
• Given any P23 output, when shown, then it is a suggestion; nothing is submitted, published, chosen or bought without the person (YX-AST-01).
• Given AI calls, policy approvals, salary choices, insurance purchases and perk redemptions, when done, then they are audited with person, feature version and data classes (YX-AST-19).</t>
        </is>
      </c>
      <c r="O272" s="5" t="inlineStr">
        <is>
          <t>YX-AST-01, YX-AST-18, YX-AST-19</t>
        </is>
      </c>
      <c r="P272" t="inlineStr">
        <is>
          <t>P23</t>
        </is>
      </c>
      <c r="Q272" t="inlineStr"/>
      <c r="R272" s="5" t="inlineStr"/>
    </row>
    <row r="273">
      <c r="A273" t="inlineStr">
        <is>
          <t>US-E-326</t>
        </is>
      </c>
      <c r="B273" t="n">
        <v>1150</v>
      </c>
      <c r="C273" t="inlineStr">
        <is>
          <t>Story</t>
        </is>
      </c>
      <c r="D273" s="5" t="inlineStr">
        <is>
          <t xml:space="preserve">        Payslip and pay questions by AI chat with data tiers</t>
        </is>
      </c>
      <c r="E273" t="inlineStr">
        <is>
          <t>Platform services</t>
        </is>
      </c>
      <c r="F273" t="inlineStr">
        <is>
          <t>Employee and manager assistants and marketplaces</t>
        </is>
      </c>
      <c r="G273" t="inlineStr">
        <is>
          <t>New</t>
        </is>
      </c>
      <c r="I273">
        <f>IF(H273&lt;&gt;"",H273,G273)</f>
        <v/>
      </c>
      <c r="J273" t="inlineStr">
        <is>
          <t>Step 6+ (HR modules)</t>
        </is>
      </c>
      <c r="K273" t="n">
        <v>5</v>
      </c>
      <c r="L273" t="n">
        <v>2</v>
      </c>
      <c r="M273" s="5" t="inlineStr">
        <is>
          <t>As an employee, I want to ask about my pay in my words so that I understand it.</t>
        </is>
      </c>
      <c r="N273" s="5" t="inlineStr">
        <is>
          <t>• Given a P23 AI feature, when registered, then allowed data classes are declared and Special data never goes out (YX-AST-02).
• Given salary, bank and PAN values, when prompted, then only placeholders are sent and the app fills them (YX-AST-02).
• Given fair use is used up and no credits remain, when I ask, then the rule-based parts still work (YX-AST-17).</t>
        </is>
      </c>
      <c r="O273" s="5" t="inlineStr">
        <is>
          <t>YX-AST-02, YX-AST-17</t>
        </is>
      </c>
      <c r="P273" t="inlineStr">
        <is>
          <t>P23</t>
        </is>
      </c>
      <c r="Q273" t="inlineStr">
        <is>
          <t>US-E-323, US-E-288</t>
        </is>
      </c>
      <c r="R273" s="5" t="inlineStr"/>
    </row>
    <row r="274">
      <c r="A274" t="inlineStr">
        <is>
          <t>US-E-327</t>
        </is>
      </c>
      <c r="B274" t="n">
        <v>1155</v>
      </c>
      <c r="C274" t="inlineStr">
        <is>
          <t>Story</t>
        </is>
      </c>
      <c r="D274" s="5" t="inlineStr">
        <is>
          <t xml:space="preserve">        AI policy and handbook writer</t>
        </is>
      </c>
      <c r="E274" t="inlineStr">
        <is>
          <t>Platform services</t>
        </is>
      </c>
      <c r="F274" t="inlineStr">
        <is>
          <t>Employee and manager assistants and marketplaces</t>
        </is>
      </c>
      <c r="G274" t="inlineStr">
        <is>
          <t>New</t>
        </is>
      </c>
      <c r="I274">
        <f>IF(H274&lt;&gt;"",H274,G274)</f>
        <v/>
      </c>
      <c r="J274" t="inlineStr">
        <is>
          <t>Step 6+ (HR modules)</t>
        </is>
      </c>
      <c r="K274" t="n">
        <v>5</v>
      </c>
      <c r="L274" t="n">
        <v>2</v>
      </c>
      <c r="M274" s="5" t="inlineStr">
        <is>
          <t>As an HR admin, I want AI to draft a policy that is checked against the law so that I write policies fast.</t>
        </is>
      </c>
      <c r="N274" s="5" t="inlineStr">
        <is>
          <t>• Given a draft, when approval is requested, then the P07 law-floor check must have run for every chosen state with findings resolved or acknowledged (YX-AST-06).
• Given a draft, when approved, then values enter P19 with impact preview and text enters M08 as a new policy version; never auto-published (YX-AST-06).
• Given each clause, when shown, then it is tagged law, company answer or AI suggestion until approval (YX-AST-07).</t>
        </is>
      </c>
      <c r="O274" s="5" t="inlineStr">
        <is>
          <t>YX-AST-06, YX-AST-07</t>
        </is>
      </c>
      <c r="P274" t="inlineStr">
        <is>
          <t>P23</t>
        </is>
      </c>
      <c r="Q274" t="inlineStr">
        <is>
          <t>US-E-270, US-E-288</t>
        </is>
      </c>
      <c r="R274" s="5" t="inlineStr"/>
    </row>
    <row r="275">
      <c r="A275" t="inlineStr">
        <is>
          <t>US-E-328</t>
        </is>
      </c>
      <c r="B275" t="n">
        <v>1160</v>
      </c>
      <c r="C275" t="inlineStr">
        <is>
          <t>Story</t>
        </is>
      </c>
      <c r="D275" s="5" t="inlineStr">
        <is>
          <t xml:space="preserve">        Timesheet auto-fill from work tools</t>
        </is>
      </c>
      <c r="E275" t="inlineStr">
        <is>
          <t>Platform services</t>
        </is>
      </c>
      <c r="F275" t="inlineStr">
        <is>
          <t>Employee and manager assistants and marketplaces</t>
        </is>
      </c>
      <c r="G275" t="inlineStr">
        <is>
          <t>New</t>
        </is>
      </c>
      <c r="I275">
        <f>IF(H275&lt;&gt;"",H275,G275)</f>
        <v/>
      </c>
      <c r="J275" t="inlineStr">
        <is>
          <t>Step 6+ (HR modules)</t>
        </is>
      </c>
      <c r="K275" t="n">
        <v>5</v>
      </c>
      <c r="L275" t="n">
        <v>2</v>
      </c>
      <c r="M275" s="5" t="inlineStr">
        <is>
          <t>As an employee, I want my timesheet pre-filled from my calendar and Jira so that I save time.</t>
        </is>
      </c>
      <c r="N275" s="5" t="inlineStr">
        <is>
          <t>• Given Calendar, Jira or GitHub, when connected, then it is per user by OAuth, read-only and revocable (tokens deleted on revoke or exit) (YX-AST-08).
• Given reading, when done, then only metadata (titles, times, keys, repo names) is read; no code or message bodies (YX-AST-08).
• Given suggestions, when made, then they fill a draft I submit; raw activity is visible only to me (YX-AST-09).</t>
        </is>
      </c>
      <c r="O275" s="5" t="inlineStr">
        <is>
          <t>YX-AST-08, YX-AST-09</t>
        </is>
      </c>
      <c r="P275" t="inlineStr">
        <is>
          <t>P23</t>
        </is>
      </c>
      <c r="Q275" t="inlineStr"/>
      <c r="R275" s="5" t="inlineStr"/>
    </row>
    <row r="276">
      <c r="A276" t="inlineStr">
        <is>
          <t>US-E-329</t>
        </is>
      </c>
      <c r="B276" t="n">
        <v>1165</v>
      </c>
      <c r="C276" t="inlineStr">
        <is>
          <t>Story</t>
        </is>
      </c>
      <c r="D276" s="5" t="inlineStr">
        <is>
          <t xml:space="preserve">        AI manager coach nudges</t>
        </is>
      </c>
      <c r="E276" t="inlineStr">
        <is>
          <t>Platform services</t>
        </is>
      </c>
      <c r="F276" t="inlineStr">
        <is>
          <t>Employee and manager assistants and marketplaces</t>
        </is>
      </c>
      <c r="G276" t="inlineStr">
        <is>
          <t>New</t>
        </is>
      </c>
      <c r="I276">
        <f>IF(H276&lt;&gt;"",H276,G276)</f>
        <v/>
      </c>
      <c r="J276" t="inlineStr">
        <is>
          <t>Step 6+ (HR modules)</t>
        </is>
      </c>
      <c r="K276" t="n">
        <v>3</v>
      </c>
      <c r="L276" t="n">
        <v>3</v>
      </c>
      <c r="M276" s="5" t="inlineStr">
        <is>
          <t>As a manager, I want timely nudges about my team so that I manage better.</t>
        </is>
      </c>
      <c r="N276" s="5" t="inlineStr">
        <is>
          <t>• Given nudges, when made, then they use only signals I can see; never Special data, leave reasons or health (YX-AST-10).
• Given attrition risk, when used, then only where I already have that access (YX-AST-10).
• Given company frequency, when set, then it applies and I can opt out (YX-AST-10).</t>
        </is>
      </c>
      <c r="O276" s="5" t="inlineStr">
        <is>
          <t>YX-AST-10</t>
        </is>
      </c>
      <c r="P276" t="inlineStr">
        <is>
          <t>P23</t>
        </is>
      </c>
      <c r="Q276" t="inlineStr">
        <is>
          <t>US-E-333</t>
        </is>
      </c>
      <c r="R276" s="5" t="inlineStr"/>
    </row>
    <row r="277">
      <c r="A277" t="inlineStr">
        <is>
          <t>US-E-330</t>
        </is>
      </c>
      <c r="B277" t="n">
        <v>1170</v>
      </c>
      <c r="C277" t="inlineStr">
        <is>
          <t>Story</t>
        </is>
      </c>
      <c r="D277" s="5" t="inlineStr">
        <is>
          <t xml:space="preserve">        Review assistant with bias check</t>
        </is>
      </c>
      <c r="E277" t="inlineStr">
        <is>
          <t>Platform services</t>
        </is>
      </c>
      <c r="F277" t="inlineStr">
        <is>
          <t>Employee and manager assistants and marketplaces</t>
        </is>
      </c>
      <c r="G277" t="inlineStr">
        <is>
          <t>New</t>
        </is>
      </c>
      <c r="I277">
        <f>IF(H277&lt;&gt;"",H277,G277)</f>
        <v/>
      </c>
      <c r="J277" t="inlineStr">
        <is>
          <t>Step 6+ (HR modules)</t>
        </is>
      </c>
      <c r="K277" t="n">
        <v>3</v>
      </c>
      <c r="L277" t="n">
        <v>3</v>
      </c>
      <c r="M277" s="5" t="inlineStr">
        <is>
          <t>As a manager, I want my review text checked for bias so that my reviews are fair.</t>
        </is>
      </c>
      <c r="N277" s="5" t="inlineStr">
        <is>
          <t>• Given my draft review, when checked, then bias flags are suggestions and my text and rating are final (YX-AST-11).
• Given flag acceptance, when reported, then only in aggregate with small-group suppression (YX-AST-11).
• Given an EU tenant, when used, then P10 EU classification and the tenant AI review opt-in apply (YX-AST-11).</t>
        </is>
      </c>
      <c r="O277" s="5" t="inlineStr">
        <is>
          <t>YX-AST-11</t>
        </is>
      </c>
      <c r="P277" t="inlineStr">
        <is>
          <t>P23</t>
        </is>
      </c>
      <c r="Q277" t="inlineStr">
        <is>
          <t>US-E-293, US-E-333</t>
        </is>
      </c>
      <c r="R277" s="5" t="inlineStr"/>
    </row>
    <row r="278">
      <c r="A278" t="inlineStr">
        <is>
          <t>US-E-331</t>
        </is>
      </c>
      <c r="B278" t="n">
        <v>1175</v>
      </c>
      <c r="C278" t="inlineStr">
        <is>
          <t>Story</t>
        </is>
      </c>
      <c r="D278" s="5" t="inlineStr">
        <is>
          <t xml:space="preserve">        Group insurance through a licensed partner</t>
        </is>
      </c>
      <c r="E278" t="inlineStr">
        <is>
          <t>Platform services</t>
        </is>
      </c>
      <c r="F278" t="inlineStr">
        <is>
          <t>Employee and manager assistants and marketplaces</t>
        </is>
      </c>
      <c r="G278" t="inlineStr">
        <is>
          <t>New</t>
        </is>
      </c>
      <c r="I278">
        <f>IF(H278&lt;&gt;"",H278,G278)</f>
        <v/>
      </c>
      <c r="J278" t="inlineStr">
        <is>
          <t>Step 6+ (HR modules)</t>
        </is>
      </c>
      <c r="K278" t="n">
        <v>5</v>
      </c>
      <c r="L278" t="n">
        <v>3</v>
      </c>
      <c r="M278" s="5" t="inlineStr">
        <is>
          <t>As a small company owner, I want group health insurance quotes so that I cover my team easily.</t>
        </is>
      </c>
      <c r="N278" s="5" t="inlineStr">
        <is>
          <t>• Given the offer, when shown, then it is only from an IRDAI-licensed broker or corporate agent with an in-date licence (YX-AST-14).
• Given quotes, when compared, then the same fields are used for every quote and YukthiX gives no advice (YX-AST-14).
• Given eligibility, when checked, then only companies at the insurer minimum headcount (default 7) see it; the partner gets census fields only (YX-AST-15).</t>
        </is>
      </c>
      <c r="O278" s="5" t="inlineStr">
        <is>
          <t>YX-AST-14, YX-AST-15</t>
        </is>
      </c>
      <c r="P278" t="inlineStr">
        <is>
          <t>P23</t>
        </is>
      </c>
      <c r="Q278" t="inlineStr">
        <is>
          <t>US-E-333</t>
        </is>
      </c>
      <c r="R278" s="5" t="inlineStr"/>
    </row>
    <row r="279">
      <c r="A279" t="inlineStr">
        <is>
          <t>US-E-332</t>
        </is>
      </c>
      <c r="B279" t="n">
        <v>1180</v>
      </c>
      <c r="C279" t="inlineStr">
        <is>
          <t>Story</t>
        </is>
      </c>
      <c r="D279" s="5" t="inlineStr">
        <is>
          <t xml:space="preserve">        Employee perks marketplace</t>
        </is>
      </c>
      <c r="E279" t="inlineStr">
        <is>
          <t>Platform services</t>
        </is>
      </c>
      <c r="F279" t="inlineStr">
        <is>
          <t>Employee and manager assistants and marketplaces</t>
        </is>
      </c>
      <c r="G279" t="inlineStr">
        <is>
          <t>New</t>
        </is>
      </c>
      <c r="I279">
        <f>IF(H279&lt;&gt;"",H279,G279)</f>
        <v/>
      </c>
      <c r="J279" t="inlineStr">
        <is>
          <t>Step 6+ (HR modules)</t>
        </is>
      </c>
      <c r="K279" t="n">
        <v>3</v>
      </c>
      <c r="L279" t="n">
        <v>3</v>
      </c>
      <c r="M279" s="5" t="inlineStr">
        <is>
          <t>As an employee, I want partner discounts so that I save money.</t>
        </is>
      </c>
      <c r="N279" s="5" t="inlineStr">
        <is>
          <t>• Given perks, when the company has not switched them on, then they are off; the company chooses categories (YX-AST-16).
• Given an offer, when shown, then it is labelled "Partner offer" and never appears on payroll, payslip, tax or statutory screens (YX-AST-16).
• Given redemption, when done, then only fields I consent to go to the merchant, with consent recorded (YX-AST-16).</t>
        </is>
      </c>
      <c r="O279" s="5" t="inlineStr">
        <is>
          <t>YX-AST-16</t>
        </is>
      </c>
      <c r="P279" t="inlineStr">
        <is>
          <t>P23</t>
        </is>
      </c>
      <c r="Q279" t="inlineStr">
        <is>
          <t>US-E-333</t>
        </is>
      </c>
      <c r="R279" s="5" t="inlineStr"/>
    </row>
    <row r="280">
      <c r="A280" s="9" t="inlineStr">
        <is>
          <t>FT-E-45</t>
        </is>
      </c>
      <c r="B280" s="9" t="n">
        <v>1200</v>
      </c>
      <c r="C280" s="9" t="inlineStr">
        <is>
          <t>Feature</t>
        </is>
      </c>
      <c r="D280" s="10" t="inlineStr">
        <is>
          <t xml:space="preserve">    Workflow Studio and AI assistant</t>
        </is>
      </c>
      <c r="E280" s="9" t="inlineStr">
        <is>
          <t>Platform services</t>
        </is>
      </c>
      <c r="F280" s="9" t="inlineStr">
        <is>
          <t>Workflow Studio and AI assistant</t>
        </is>
      </c>
      <c r="G280" s="9" t="inlineStr">
        <is>
          <t>New</t>
        </is>
      </c>
      <c r="H280" s="9" t="n"/>
      <c r="I280" s="9">
        <f>IF(H280&lt;&gt;"",H280,G280)</f>
        <v/>
      </c>
      <c r="J280" s="9" t="inlineStr">
        <is>
          <t>Step 6+ (HR modules)</t>
        </is>
      </c>
      <c r="K280" s="9" t="n"/>
      <c r="L280" s="9" t="n"/>
      <c r="M280" s="10" t="inlineStr"/>
      <c r="N280" s="10" t="inlineStr"/>
      <c r="O280" s="10" t="inlineStr">
        <is>
          <t>YX-WFS-01, YX-WFS-02, YX-WFS-03, YX-WFS-04, YX-WFS-05, YX-WFS-06, YX-WFS-07, YX-WFS-08, YX-WFS-09, YX-WFS-10, YX-WFS-11, YX-WFS-12, YX-WFS-13, YX-WFS-14, YX-WFS-15, YX-WFS-16, YX-WFS-17, YX-WFS-18, YX-WFS-19, YX-WFS-20</t>
        </is>
      </c>
      <c r="P280" s="9" t="inlineStr">
        <is>
          <t>P22</t>
        </is>
      </c>
      <c r="Q280" s="9" t="inlineStr"/>
      <c r="R280" s="10" t="inlineStr"/>
      <c r="S280" s="9" t="n"/>
    </row>
    <row r="281">
      <c r="A281" t="inlineStr">
        <is>
          <t>US-E-334</t>
        </is>
      </c>
      <c r="B281" t="n">
        <v>1200</v>
      </c>
      <c r="C281" t="inlineStr">
        <is>
          <t>Story</t>
        </is>
      </c>
      <c r="D281" s="5" t="inlineStr">
        <is>
          <t xml:space="preserve">        Every automation is a one-step workflow</t>
        </is>
      </c>
      <c r="E281" t="inlineStr">
        <is>
          <t>Platform services</t>
        </is>
      </c>
      <c r="F281" t="inlineStr">
        <is>
          <t>Workflow Studio and AI assistant</t>
        </is>
      </c>
      <c r="G281" t="inlineStr">
        <is>
          <t>New</t>
        </is>
      </c>
      <c r="I281">
        <f>IF(H281&lt;&gt;"",H281,G281)</f>
        <v/>
      </c>
      <c r="J281" t="inlineStr">
        <is>
          <t>Step 6+ (HR modules)</t>
        </is>
      </c>
      <c r="K281" t="n">
        <v>3</v>
      </c>
      <c r="L281" t="n">
        <v>1</v>
      </c>
      <c r="M281" s="5" t="inlineStr">
        <is>
          <t>As a system admin, I want my P19 automations to open in Workflow Studio unchanged so that I can grow them later.</t>
        </is>
      </c>
      <c r="N281" s="5" t="inlineStr">
        <is>
          <t>• Given a P19 automation, when opened in Studio, then it is a one-step workflow (YX-WFS-01).
• Given conversion, when done, then behaviour is unchanged (YX-WFS-01).
• Given a one-step workflow, when edited, then the P19 form stays available (YX-WFS-01).</t>
        </is>
      </c>
      <c r="O281" s="5" t="inlineStr">
        <is>
          <t>YX-WFS-01</t>
        </is>
      </c>
      <c r="P281" t="inlineStr">
        <is>
          <t>P22</t>
        </is>
      </c>
      <c r="Q281" t="inlineStr">
        <is>
          <t>US-E-274</t>
        </is>
      </c>
      <c r="R281" s="5" t="inlineStr"/>
    </row>
    <row r="282">
      <c r="A282" t="inlineStr">
        <is>
          <t>US-E-335</t>
        </is>
      </c>
      <c r="B282" t="n">
        <v>1200</v>
      </c>
      <c r="C282" t="inlineStr">
        <is>
          <t>Story</t>
        </is>
      </c>
      <c r="D282" s="5" t="inlineStr">
        <is>
          <t xml:space="preserve">        Workflow designer with safe steps, waits and loops</t>
        </is>
      </c>
      <c r="E282" t="inlineStr">
        <is>
          <t>Platform services</t>
        </is>
      </c>
      <c r="F282" t="inlineStr">
        <is>
          <t>Workflow Studio and AI assistant</t>
        </is>
      </c>
      <c r="G282" t="inlineStr">
        <is>
          <t>New</t>
        </is>
      </c>
      <c r="I282">
        <f>IF(H282&lt;&gt;"",H282,G282)</f>
        <v/>
      </c>
      <c r="J282" t="inlineStr">
        <is>
          <t>Step 6+ (HR modules)</t>
        </is>
      </c>
      <c r="K282" t="n">
        <v>8</v>
      </c>
      <c r="L282" t="n">
        <v>1</v>
      </c>
      <c r="M282" s="5" t="inlineStr">
        <is>
          <t>As a system admin, I want multi-step workflows with waits and loops so that I automate real processes.</t>
        </is>
      </c>
      <c r="N282" s="5" t="inlineStr">
        <is>
          <t>• Given a create / update step, when it targets governed fields (statutory, locked periods, audit, consent), then it is refused at save and at run (YX-WFS-02).
• Given a wait, when saved without a timeout and timeout branch, then save fails (YX-WFS-06).
• Given a loop, when saved without a max item count, then save fails (YX-WFS-06).</t>
        </is>
      </c>
      <c r="O282" s="5" t="inlineStr">
        <is>
          <t>YX-WFS-02, YX-WFS-06</t>
        </is>
      </c>
      <c r="P282" t="inlineStr">
        <is>
          <t>P22</t>
        </is>
      </c>
      <c r="Q282" t="inlineStr">
        <is>
          <t>US-E-334</t>
        </is>
      </c>
      <c r="R282" s="5" t="inlineStr"/>
    </row>
    <row r="283">
      <c r="A283" t="inlineStr">
        <is>
          <t>US-E-336</t>
        </is>
      </c>
      <c r="B283" t="n">
        <v>1200</v>
      </c>
      <c r="C283" t="inlineStr">
        <is>
          <t>Story</t>
        </is>
      </c>
      <c r="D283" s="5" t="inlineStr">
        <is>
          <t xml:space="preserve">        Publish with preview, test run, second approver and versions</t>
        </is>
      </c>
      <c r="E283" t="inlineStr">
        <is>
          <t>Platform services</t>
        </is>
      </c>
      <c r="F283" t="inlineStr">
        <is>
          <t>Workflow Studio and AI assistant</t>
        </is>
      </c>
      <c r="G283" t="inlineStr">
        <is>
          <t>New</t>
        </is>
      </c>
      <c r="I283">
        <f>IF(H283&lt;&gt;"",H283,G283)</f>
        <v/>
      </c>
      <c r="J283" t="inlineStr">
        <is>
          <t>Step 6+ (HR modules)</t>
        </is>
      </c>
      <c r="K283" t="n">
        <v>5</v>
      </c>
      <c r="L283" t="n">
        <v>1</v>
      </c>
      <c r="M283" s="5" t="inlineStr">
        <is>
          <t>As a system admin, I want publishing to require a preview and test so that workflows are safe.</t>
        </is>
      </c>
      <c r="N283" s="5" t="inlineStr">
        <is>
          <t>• Given a version, when published, then an impact preview and a test run on sample records are required and stored (YX-WFS-03).
• Given a version touching pay, leave balances, access or people data, when published, then a second approver is required (YX-WFS-04).
• Given any past version, when needed, then it can be viewed, compared and re-published; runs record their version (YX-WFS-05).</t>
        </is>
      </c>
      <c r="O283" s="5" t="inlineStr">
        <is>
          <t>YX-WFS-03, YX-WFS-04, YX-WFS-05</t>
        </is>
      </c>
      <c r="P283" t="inlineStr">
        <is>
          <t>P22</t>
        </is>
      </c>
      <c r="Q283" t="inlineStr">
        <is>
          <t>US-E-335</t>
        </is>
      </c>
      <c r="R283" s="5" t="inlineStr"/>
    </row>
    <row r="284">
      <c r="A284" t="inlineStr">
        <is>
          <t>US-E-337</t>
        </is>
      </c>
      <c r="B284" t="n">
        <v>1200</v>
      </c>
      <c r="C284" t="inlineStr">
        <is>
          <t>Story</t>
        </is>
      </c>
      <c r="D284" s="5" t="inlineStr">
        <is>
          <t xml:space="preserve">        Run limits and loop protection</t>
        </is>
      </c>
      <c r="E284" t="inlineStr">
        <is>
          <t>Platform services</t>
        </is>
      </c>
      <c r="F284" t="inlineStr">
        <is>
          <t>Workflow Studio and AI assistant</t>
        </is>
      </c>
      <c r="G284" t="inlineStr">
        <is>
          <t>New</t>
        </is>
      </c>
      <c r="I284">
        <f>IF(H284&lt;&gt;"",H284,G284)</f>
        <v/>
      </c>
      <c r="J284" t="inlineStr">
        <is>
          <t>Step 6+ (HR modules)</t>
        </is>
      </c>
      <c r="K284" t="n">
        <v>3</v>
      </c>
      <c r="L284" t="n">
        <v>1</v>
      </c>
      <c r="M284" s="5" t="inlineStr">
        <is>
          <t>As a system admin, I want runaway workflows stopped so that one mistake does not touch thousands of records.</t>
        </is>
      </c>
      <c r="N284" s="5" t="inlineStr">
        <is>
          <t>• Given per-run limits (records, steps, duration), when reached, then the run stops with an alert (YX-WFS-07).
• Given tenant daily limits, when at 80 % / 100 %, then alerts go; beyond is the usage add-on, never a silent stop of in-flight runs (YX-WFS-07).
• Given a workflow action, when it would re-trigger itself on the same record, then it is stopped; cross-workflow chains stop at a depth limit with a warning (YX-WFS-08).</t>
        </is>
      </c>
      <c r="O284" s="5" t="inlineStr">
        <is>
          <t>YX-WFS-07, YX-WFS-08</t>
        </is>
      </c>
      <c r="P284" t="inlineStr">
        <is>
          <t>P22</t>
        </is>
      </c>
      <c r="Q284" t="inlineStr">
        <is>
          <t>US-E-335</t>
        </is>
      </c>
      <c r="R284" s="5" t="inlineStr"/>
    </row>
    <row r="285">
      <c r="A285" t="inlineStr">
        <is>
          <t>US-E-338</t>
        </is>
      </c>
      <c r="B285" t="n">
        <v>1200</v>
      </c>
      <c r="C285" t="inlineStr">
        <is>
          <t>Story</t>
        </is>
      </c>
      <c r="D285" s="5" t="inlineStr">
        <is>
          <t xml:space="preserve">        Step failure handling and failure queue</t>
        </is>
      </c>
      <c r="E285" t="inlineStr">
        <is>
          <t>Platform services</t>
        </is>
      </c>
      <c r="F285" t="inlineStr">
        <is>
          <t>Workflow Studio and AI assistant</t>
        </is>
      </c>
      <c r="G285" t="inlineStr">
        <is>
          <t>New</t>
        </is>
      </c>
      <c r="I285">
        <f>IF(H285&lt;&gt;"",H285,G285)</f>
        <v/>
      </c>
      <c r="J285" t="inlineStr">
        <is>
          <t>Step 6+ (HR modules)</t>
        </is>
      </c>
      <c r="K285" t="n">
        <v>3</v>
      </c>
      <c r="L285" t="n">
        <v>1</v>
      </c>
      <c r="M285" s="5" t="inlineStr">
        <is>
          <t>As a system admin, I want each step to retry or branch on failure so that problems are handled.</t>
        </is>
      </c>
      <c r="N285" s="5" t="inlineStr">
        <is>
          <t>• Given each step, when saved, then it declares retry, fallback branch or stop-and-alert (YX-WFS-09).
• Given a failed run, when it fails, then it appears in the failure queue with step, input and error (YX-WFS-09).
• Given the failure queue, when I act, then I can retry or skip with a reason.</t>
        </is>
      </c>
      <c r="O285" s="5" t="inlineStr">
        <is>
          <t>YX-WFS-09</t>
        </is>
      </c>
      <c r="P285" t="inlineStr">
        <is>
          <t>P22</t>
        </is>
      </c>
      <c r="Q285" t="inlineStr">
        <is>
          <t>US-E-335, US-E-278</t>
        </is>
      </c>
      <c r="R285" s="5" t="inlineStr"/>
    </row>
    <row r="286">
      <c r="A286" t="inlineStr">
        <is>
          <t>US-E-339</t>
        </is>
      </c>
      <c r="B286" t="n">
        <v>1200</v>
      </c>
      <c r="C286" t="inlineStr">
        <is>
          <t>Story</t>
        </is>
      </c>
      <c r="D286" s="5" t="inlineStr">
        <is>
          <t xml:space="preserve">        Undo a workflow run</t>
        </is>
      </c>
      <c r="E286" t="inlineStr">
        <is>
          <t>Platform services</t>
        </is>
      </c>
      <c r="F286" t="inlineStr">
        <is>
          <t>Workflow Studio and AI assistant</t>
        </is>
      </c>
      <c r="G286" t="inlineStr">
        <is>
          <t>New</t>
        </is>
      </c>
      <c r="I286">
        <f>IF(H286&lt;&gt;"",H286,G286)</f>
        <v/>
      </c>
      <c r="J286" t="inlineStr">
        <is>
          <t>Step 6+ (HR modules)</t>
        </is>
      </c>
      <c r="K286" t="n">
        <v>5</v>
      </c>
      <c r="L286" t="n">
        <v>2</v>
      </c>
      <c r="M286" s="5" t="inlineStr">
        <is>
          <t>As a system admin, I want to undo a bad run so that mistakes are reversed quickly.</t>
        </is>
      </c>
      <c r="N286" s="5" t="inlineStr">
        <is>
          <t>• Given a run, when undone, then reversible steps are reversed in reverse order using compensating actions (YX-WFS-10).
• Given irreversible steps, when undoing, then they are listed and left as they are (YX-WFS-10).
• Given a step whose record changed since or whose period is locked, when undoing, then undo is refused and the conflict shown (YX-WFS-10).</t>
        </is>
      </c>
      <c r="O286" s="5" t="inlineStr">
        <is>
          <t>YX-WFS-10</t>
        </is>
      </c>
      <c r="P286" t="inlineStr">
        <is>
          <t>P22</t>
        </is>
      </c>
      <c r="Q286" t="inlineStr">
        <is>
          <t>US-E-338</t>
        </is>
      </c>
      <c r="R286" s="5" t="inlineStr"/>
    </row>
    <row r="287">
      <c r="A287" t="inlineStr">
        <is>
          <t>US-E-340</t>
        </is>
      </c>
      <c r="B287" t="n">
        <v>1200</v>
      </c>
      <c r="C287" t="inlineStr">
        <is>
          <t>Story</t>
        </is>
      </c>
      <c r="D287" s="5" t="inlineStr">
        <is>
          <t xml:space="preserve">        Outbound HTTP, inbound webhook and email steps</t>
        </is>
      </c>
      <c r="E287" t="inlineStr">
        <is>
          <t>Platform services</t>
        </is>
      </c>
      <c r="F287" t="inlineStr">
        <is>
          <t>Workflow Studio and AI assistant</t>
        </is>
      </c>
      <c r="G287" t="inlineStr">
        <is>
          <t>New</t>
        </is>
      </c>
      <c r="I287">
        <f>IF(H287&lt;&gt;"",H287,G287)</f>
        <v/>
      </c>
      <c r="J287" t="inlineStr">
        <is>
          <t>Step 6+ (HR modules)</t>
        </is>
      </c>
      <c r="K287" t="n">
        <v>5</v>
      </c>
      <c r="L287" t="n">
        <v>2</v>
      </c>
      <c r="M287" s="5" t="inlineStr">
        <is>
          <t>As a system admin, I want workflows to call our other systems safely so that processes cross tools.</t>
        </is>
      </c>
      <c r="N287" s="5" t="inlineStr">
        <is>
          <t>• Given an outbound HTTP or connection step, when run, then it calls only admin-approved endpoints or P10 connectors (YX-WFS-11).
• Given an inbound webhook, when received, then a valid HMAC signature and timestamp within 5 minutes are required (YX-WFS-11).
• Given inbound email, when received, then only allow-listed senders are accepted (YX-WFS-11).</t>
        </is>
      </c>
      <c r="O287" s="5" t="inlineStr">
        <is>
          <t>YX-WFS-11</t>
        </is>
      </c>
      <c r="P287" t="inlineStr">
        <is>
          <t>P22</t>
        </is>
      </c>
      <c r="Q287" t="inlineStr">
        <is>
          <t>US-E-335, US-E-279</t>
        </is>
      </c>
      <c r="R287" s="5" t="inlineStr"/>
    </row>
    <row r="288">
      <c r="A288" t="inlineStr">
        <is>
          <t>US-E-341</t>
        </is>
      </c>
      <c r="B288" t="n">
        <v>1200</v>
      </c>
      <c r="C288" t="inlineStr">
        <is>
          <t>Story</t>
        </is>
      </c>
      <c r="D288" s="5" t="inlineStr">
        <is>
          <t xml:space="preserve">        Pause one or all workflows</t>
        </is>
      </c>
      <c r="E288" t="inlineStr">
        <is>
          <t>Platform services</t>
        </is>
      </c>
      <c r="F288" t="inlineStr">
        <is>
          <t>Workflow Studio and AI assistant</t>
        </is>
      </c>
      <c r="G288" t="inlineStr">
        <is>
          <t>New</t>
        </is>
      </c>
      <c r="I288">
        <f>IF(H288&lt;&gt;"",H288,G288)</f>
        <v/>
      </c>
      <c r="J288" t="inlineStr">
        <is>
          <t>Step 6+ (HR modules)</t>
        </is>
      </c>
      <c r="K288" t="n">
        <v>2</v>
      </c>
      <c r="L288" t="n">
        <v>1</v>
      </c>
      <c r="M288" s="5" t="inlineStr">
        <is>
          <t>As a system admin, I want a kill switch so that I can stop all automation in an emergency.</t>
        </is>
      </c>
      <c r="N288" s="5" t="inlineStr">
        <is>
          <t>• Given one workflow, when paused, then it stops before the next step of every run (YX-WFS-12).
• Given the tenant switch, when used, then all workflows pause before their next step (YX-WFS-12).
• Given a resume, when done, then paused runs continue.</t>
        </is>
      </c>
      <c r="O288" s="5" t="inlineStr">
        <is>
          <t>YX-WFS-12</t>
        </is>
      </c>
      <c r="P288" t="inlineStr">
        <is>
          <t>P22</t>
        </is>
      </c>
      <c r="Q288" t="inlineStr">
        <is>
          <t>US-E-335</t>
        </is>
      </c>
      <c r="R288" s="5" t="inlineStr"/>
    </row>
    <row r="289">
      <c r="A289" t="inlineStr">
        <is>
          <t>US-E-342</t>
        </is>
      </c>
      <c r="B289" t="n">
        <v>1200</v>
      </c>
      <c r="C289" t="inlineStr">
        <is>
          <t>Story</t>
        </is>
      </c>
      <c r="D289" s="5" t="inlineStr">
        <is>
          <t xml:space="preserve">        Sandboxed scripts with limited identity and review</t>
        </is>
      </c>
      <c r="E289" t="inlineStr">
        <is>
          <t>Platform services</t>
        </is>
      </c>
      <c r="F289" t="inlineStr">
        <is>
          <t>Workflow Studio and AI assistant</t>
        </is>
      </c>
      <c r="G289" t="inlineStr">
        <is>
          <t>New</t>
        </is>
      </c>
      <c r="I289">
        <f>IF(H289&lt;&gt;"",H289,G289)</f>
        <v/>
      </c>
      <c r="J289" t="inlineStr">
        <is>
          <t>Step 6+ (HR modules)</t>
        </is>
      </c>
      <c r="K289" t="n">
        <v>8</v>
      </c>
      <c r="L289" t="n">
        <v>2</v>
      </c>
      <c r="M289" s="5" t="inlineStr">
        <is>
          <t>As a developer admin, I want script steps for special logic so that workflows can do anything safe.</t>
        </is>
      </c>
      <c r="N289" s="5" t="inlineStr">
        <is>
          <t>• Given a script, when run, then it has no file system, no network except approved endpoints, CPU / memory / time limits and a safe SDK subset; inputs, outputs and calls are logged (YX-WFS-13).
• Given a script, when it runs, then it uses a service identity no broader than the publisher; secrets come only from the vault; if the publisher’s rights drop, the workflow pauses (YX-WFS-14).
• Given publish, when done, then static checks pass, versions are kept and pay or people data needs a second approver (YX-WFS-15).</t>
        </is>
      </c>
      <c r="O289" s="5" t="inlineStr">
        <is>
          <t>YX-WFS-13, YX-WFS-14, YX-WFS-15</t>
        </is>
      </c>
      <c r="P289" t="inlineStr">
        <is>
          <t>P22</t>
        </is>
      </c>
      <c r="Q289" t="inlineStr">
        <is>
          <t>US-E-336</t>
        </is>
      </c>
      <c r="R289" s="5" t="inlineStr"/>
    </row>
    <row r="290">
      <c r="A290" t="inlineStr">
        <is>
          <t>US-E-343</t>
        </is>
      </c>
      <c r="B290" t="n">
        <v>1200</v>
      </c>
      <c r="C290" t="inlineStr">
        <is>
          <t>Story</t>
        </is>
      </c>
      <c r="D290" s="5" t="inlineStr">
        <is>
          <t xml:space="preserve">        AI build mode drafts workflows but never publishes</t>
        </is>
      </c>
      <c r="E290" t="inlineStr">
        <is>
          <t>Platform services</t>
        </is>
      </c>
      <c r="F290" t="inlineStr">
        <is>
          <t>Workflow Studio and AI assistant</t>
        </is>
      </c>
      <c r="G290" t="inlineStr">
        <is>
          <t>New</t>
        </is>
      </c>
      <c r="I290">
        <f>IF(H290&lt;&gt;"",H290,G290)</f>
        <v/>
      </c>
      <c r="J290" t="inlineStr">
        <is>
          <t>Step 6+ (HR modules)</t>
        </is>
      </c>
      <c r="K290" t="n">
        <v>5</v>
      </c>
      <c r="L290" t="n">
        <v>2</v>
      </c>
      <c r="M290" s="5" t="inlineStr">
        <is>
          <t>As a system admin, I want AI to draft a workflow from my words so that I build faster.</t>
        </is>
      </c>
      <c r="N290" s="5" t="inlineStr">
        <is>
          <t>• Given my description, when AI drafts, then it can draft workflows and scripts, explain them and run the impact preview (YX-WFS-16).
• Given the AI, when asked to publish, then it cannot; a person with publish rights publishes (YX-WFS-16).
• Given the draft, when published, then YX-WFS-03 / 04 / 15 apply.</t>
        </is>
      </c>
      <c r="O290" s="5" t="inlineStr">
        <is>
          <t>YX-WFS-16</t>
        </is>
      </c>
      <c r="P290" t="inlineStr">
        <is>
          <t>P22</t>
        </is>
      </c>
      <c r="Q290" t="inlineStr">
        <is>
          <t>US-E-336, US-E-288</t>
        </is>
      </c>
      <c r="R290" s="5" t="inlineStr"/>
    </row>
    <row r="291">
      <c r="A291" t="inlineStr">
        <is>
          <t>US-E-345</t>
        </is>
      </c>
      <c r="B291" t="n">
        <v>1200</v>
      </c>
      <c r="C291" t="inlineStr">
        <is>
          <t>Story</t>
        </is>
      </c>
      <c r="D291" s="5" t="inlineStr">
        <is>
          <t xml:space="preserve">        Audit and promotion of workflows</t>
        </is>
      </c>
      <c r="E291" t="inlineStr">
        <is>
          <t>Platform services</t>
        </is>
      </c>
      <c r="F291" t="inlineStr">
        <is>
          <t>Workflow Studio and AI assistant</t>
        </is>
      </c>
      <c r="G291" t="inlineStr">
        <is>
          <t>New</t>
        </is>
      </c>
      <c r="I291">
        <f>IF(H291&lt;&gt;"",H291,G291)</f>
        <v/>
      </c>
      <c r="J291" t="inlineStr">
        <is>
          <t>Step 6+ (HR modules)</t>
        </is>
      </c>
      <c r="K291" t="n">
        <v>3</v>
      </c>
      <c r="L291" t="n">
        <v>1</v>
      </c>
      <c r="M291" s="5" t="inlineStr">
        <is>
          <t>As an auditor, I want every run and plan step audited so that automation is accountable.</t>
        </is>
      </c>
      <c r="N291" s="5" t="inlineStr">
        <is>
          <t>• Given any run, script call, agent plan or plan step, when done, then who, what, version, identity, records, result and undo are audited (YX-WFS-19).
• Given "promotion required", when on, then workflows move from sandbox to production through P15 promotion (YX-WFS-20).
• Given a gallery template update, when YukthiX ships it, then tenant workflows are unchanged without acceptance (YX-WFS-20).</t>
        </is>
      </c>
      <c r="O291" s="5" t="inlineStr">
        <is>
          <t>YX-WFS-19, YX-WFS-20</t>
        </is>
      </c>
      <c r="P291" t="inlineStr">
        <is>
          <t>P22</t>
        </is>
      </c>
      <c r="Q291" t="inlineStr">
        <is>
          <t>US-E-336, US-E-257</t>
        </is>
      </c>
      <c r="R291" s="5" t="inlineStr"/>
    </row>
    <row r="292">
      <c r="A292" t="inlineStr">
        <is>
          <t>US-E-344</t>
        </is>
      </c>
      <c r="B292" t="n">
        <v>1212</v>
      </c>
      <c r="C292" t="inlineStr">
        <is>
          <t>Story</t>
        </is>
      </c>
      <c r="D292" s="5" t="inlineStr">
        <is>
          <t xml:space="preserve">        AI do mode with plan approval and always-confirm steps</t>
        </is>
      </c>
      <c r="E292" t="inlineStr">
        <is>
          <t>Platform services</t>
        </is>
      </c>
      <c r="F292" t="inlineStr">
        <is>
          <t>Workflow Studio and AI assistant</t>
        </is>
      </c>
      <c r="G292" t="inlineStr">
        <is>
          <t>New</t>
        </is>
      </c>
      <c r="I292">
        <f>IF(H292&lt;&gt;"",H292,G292)</f>
        <v/>
      </c>
      <c r="J292" t="inlineStr">
        <is>
          <t>Step 6+ (HR modules)</t>
        </is>
      </c>
      <c r="K292" t="n">
        <v>5</v>
      </c>
      <c r="L292" t="n">
        <v>1</v>
      </c>
      <c r="M292" s="5" t="inlineStr">
        <is>
          <t>As a manager, I want the assistant to do multi-step tasks after I approve the plan so that work gets done safely.</t>
        </is>
      </c>
      <c r="N292" s="5" t="inlineStr">
        <is>
          <t>• Given a plan, when not approved, then nothing runs; execution uses public APIs with my permissions within the plan; an out-of-plan step stops the run (YX-WFS-17).
• Given money, statutory filing, approving others’ requests, candidate rejection, dismissal or pay changes, when reached, then a separate confirmation on the app screen is required per step (YX-WFS-18).
• Given such a step, when the AI or a workflow tries it alone, then it is never executed autonomously (YX-WFS-18).</t>
        </is>
      </c>
      <c r="O292" s="5" t="inlineStr">
        <is>
          <t>YX-WFS-17, YX-WFS-18</t>
        </is>
      </c>
      <c r="P292" t="inlineStr">
        <is>
          <t>P22</t>
        </is>
      </c>
      <c r="Q292" t="inlineStr">
        <is>
          <t>US-E-297</t>
        </is>
      </c>
      <c r="R292" s="5" t="inlineStr"/>
    </row>
    <row r="293">
      <c r="A293" s="9" t="inlineStr">
        <is>
          <t>FT-E-46</t>
        </is>
      </c>
      <c r="B293" s="9" t="n">
        <v>1450</v>
      </c>
      <c r="C293" s="9" t="inlineStr">
        <is>
          <t>Feature</t>
        </is>
      </c>
      <c r="D293" s="10" t="inlineStr">
        <is>
          <t xml:space="preserve">    Global readiness (GCC, EU, Singapore)</t>
        </is>
      </c>
      <c r="E293" s="9" t="inlineStr">
        <is>
          <t>Platform services</t>
        </is>
      </c>
      <c r="F293" s="9" t="inlineStr">
        <is>
          <t>Global readiness (GCC, EU, Singapore)</t>
        </is>
      </c>
      <c r="G293" s="9" t="inlineStr">
        <is>
          <t>New</t>
        </is>
      </c>
      <c r="H293" s="9" t="n"/>
      <c r="I293" s="9">
        <f>IF(H293&lt;&gt;"",H293,G293)</f>
        <v/>
      </c>
      <c r="J293" s="9" t="inlineStr">
        <is>
          <t>Global readiness</t>
        </is>
      </c>
      <c r="K293" s="9" t="n"/>
      <c r="L293" s="9" t="n"/>
      <c r="M293" s="10" t="inlineStr"/>
      <c r="N293" s="10" t="inlineStr"/>
      <c r="O293" s="10" t="inlineStr">
        <is>
          <t>YX-GLB-01, YX-GLB-02, YX-GLB-03, YX-GLB-04, YX-GLB-05, YX-GLB-06, YX-GLB-07, YX-GLB-08, YX-GLB-09, YX-GLB-10, YX-GLB-11, YX-GLB-12, YX-GLB-13, YX-GLB-14, YX-GLB-15, YX-GLB-16</t>
        </is>
      </c>
      <c r="P293" s="9" t="inlineStr">
        <is>
          <t>P21</t>
        </is>
      </c>
      <c r="Q293" s="9" t="inlineStr"/>
      <c r="R293" s="10" t="inlineStr"/>
      <c r="S293" s="9" t="n"/>
    </row>
    <row r="294">
      <c r="A294" t="inlineStr">
        <is>
          <t>US-E-347</t>
        </is>
      </c>
      <c r="B294" t="n">
        <v>705</v>
      </c>
      <c r="C294" t="inlineStr">
        <is>
          <t>Story</t>
        </is>
      </c>
      <c r="D294" s="5" t="inlineStr">
        <is>
          <t xml:space="preserve">        No country constants in code</t>
        </is>
      </c>
      <c r="E294" t="inlineStr">
        <is>
          <t>Platform services</t>
        </is>
      </c>
      <c r="F294" t="inlineStr">
        <is>
          <t>Global readiness (GCC, EU, Singapore)</t>
        </is>
      </c>
      <c r="G294" t="inlineStr">
        <is>
          <t>New</t>
        </is>
      </c>
      <c r="I294">
        <f>IF(H294&lt;&gt;"",H294,G294)</f>
        <v/>
      </c>
      <c r="J294" t="inlineStr">
        <is>
          <t>Step 5</t>
        </is>
      </c>
      <c r="K294" t="n">
        <v>3</v>
      </c>
      <c r="L294" t="n">
        <v>1</v>
      </c>
      <c r="M294" s="5" t="inlineStr">
        <is>
          <t>As an engineer, I want every country value in P07 packs so that laws change without a release.</t>
        </is>
      </c>
      <c r="N294" s="5" t="inlineStr">
        <is>
          <t>• Given a dated value in P21 (holidays, quotas, rates, deadlines, formats), when used, then it comes from a P07 pack with source, version and maker ≠ checker (YX-GLB-16).
• Given a hard-coded country constant, when CI scans P21 code, then it fails (YX-GLB-16).
• Given a pack update, when published, then it is versioned.</t>
        </is>
      </c>
      <c r="O294" s="5" t="inlineStr">
        <is>
          <t>YX-GLB-16</t>
        </is>
      </c>
      <c r="P294" t="inlineStr">
        <is>
          <t>P21</t>
        </is>
      </c>
      <c r="Q294" t="inlineStr"/>
      <c r="R294" s="5" t="inlineStr"/>
    </row>
    <row r="295">
      <c r="A295" t="inlineStr">
        <is>
          <t>US-E-346</t>
        </is>
      </c>
      <c r="B295" t="n">
        <v>1450</v>
      </c>
      <c r="C295" t="inlineStr">
        <is>
          <t>Story</t>
        </is>
      </c>
      <c r="D295" s="5" t="inlineStr">
        <is>
          <t xml:space="preserve">        Country gate before offering a country</t>
        </is>
      </c>
      <c r="E295" t="inlineStr">
        <is>
          <t>Platform services</t>
        </is>
      </c>
      <c r="F295" t="inlineStr">
        <is>
          <t>Global readiness (GCC, EU, Singapore)</t>
        </is>
      </c>
      <c r="G295" t="inlineStr">
        <is>
          <t>New</t>
        </is>
      </c>
      <c r="I295">
        <f>IF(H295&lt;&gt;"",H295,G295)</f>
        <v/>
      </c>
      <c r="J295" t="inlineStr">
        <is>
          <t>Global readiness</t>
        </is>
      </c>
      <c r="K295" t="n">
        <v>3</v>
      </c>
      <c r="L295" t="n">
        <v>1</v>
      </c>
      <c r="M295" s="5" t="inlineStr">
        <is>
          <t>As YukthiX staff, I want a country offered only when it is fully ready so that no customer gets a half product.</t>
        </is>
      </c>
      <c r="N295" s="5" t="inlineStr">
        <is>
          <t>• Given a country, when its region is not live or any §5a gate item is not live, then it is not offered at sign-up, new entity or region move (YX-GLB-01).
• Given the platform console, when opened, then the gate per country is shown (YX-GLB-01).
• Given a staff override, when tried, then it is not possible (YX-GLB-01).</t>
        </is>
      </c>
      <c r="O295" s="5" t="inlineStr">
        <is>
          <t>YX-GLB-01</t>
        </is>
      </c>
      <c r="P295" t="inlineStr">
        <is>
          <t>P21</t>
        </is>
      </c>
      <c r="Q295" t="inlineStr"/>
      <c r="R295" s="5" t="inlineStr"/>
    </row>
    <row r="296">
      <c r="A296" t="inlineStr">
        <is>
          <t>US-E-348</t>
        </is>
      </c>
      <c r="B296" t="n">
        <v>1450</v>
      </c>
      <c r="C296" t="inlineStr">
        <is>
          <t>Story</t>
        </is>
      </c>
      <c r="D296" s="5" t="inlineStr">
        <is>
          <t xml:space="preserve">        Right-to-left layout from locale</t>
        </is>
      </c>
      <c r="E296" t="inlineStr">
        <is>
          <t>Platform services</t>
        </is>
      </c>
      <c r="F296" t="inlineStr">
        <is>
          <t>Global readiness (GCC, EU, Singapore)</t>
        </is>
      </c>
      <c r="G296" t="inlineStr">
        <is>
          <t>New</t>
        </is>
      </c>
      <c r="I296">
        <f>IF(H296&lt;&gt;"",H296,G296)</f>
        <v/>
      </c>
      <c r="J296" t="inlineStr">
        <is>
          <t>Global readiness</t>
        </is>
      </c>
      <c r="K296" t="n">
        <v>5</v>
      </c>
      <c r="L296" t="n">
        <v>1</v>
      </c>
      <c r="M296" s="5" t="inlineStr">
        <is>
          <t>As an Arabic-speaking user, I want the app in right-to-left so that it reads naturally.</t>
        </is>
      </c>
      <c r="N296" s="5" t="inlineStr">
        <is>
          <t>• Given my locale is Arabic, when the app loads, then dir="rtl" is set (YX-GLB-02).
• Given shared components, when CI lints, then left / right CSS properties fail the build (YX-GLB-02).
• Given directional icons, steppers, timelines and charts, when RTL, then they mirror; media controls do not (YX-GLB-02).</t>
        </is>
      </c>
      <c r="O296" s="5" t="inlineStr">
        <is>
          <t>YX-GLB-02</t>
        </is>
      </c>
      <c r="P296" t="inlineStr">
        <is>
          <t>P21</t>
        </is>
      </c>
      <c r="Q296" t="inlineStr"/>
      <c r="R296" s="5" t="inlineStr"/>
    </row>
    <row r="297">
      <c r="A297" t="inlineStr">
        <is>
          <t>US-E-349</t>
        </is>
      </c>
      <c r="B297" t="n">
        <v>1450</v>
      </c>
      <c r="C297" t="inlineStr">
        <is>
          <t>Story</t>
        </is>
      </c>
      <c r="D297" s="5" t="inlineStr">
        <is>
          <t xml:space="preserve">        Display digits and Hijri dates</t>
        </is>
      </c>
      <c r="E297" t="inlineStr">
        <is>
          <t>Platform services</t>
        </is>
      </c>
      <c r="F297" t="inlineStr">
        <is>
          <t>Global readiness (GCC, EU, Singapore)</t>
        </is>
      </c>
      <c r="G297" t="inlineStr">
        <is>
          <t>New</t>
        </is>
      </c>
      <c r="I297">
        <f>IF(H297&lt;&gt;"",H297,G297)</f>
        <v/>
      </c>
      <c r="J297" t="inlineStr">
        <is>
          <t>Global readiness</t>
        </is>
      </c>
      <c r="K297" t="n">
        <v>3</v>
      </c>
      <c r="L297" t="n">
        <v>1</v>
      </c>
      <c r="M297" s="5" t="inlineStr">
        <is>
          <t>As a GCC user, I want Arabic-Indic digits and Hijri dates if I choose so that dates look familiar.</t>
        </is>
      </c>
      <c r="N297" s="5" t="inlineStr">
        <is>
          <t>• Given stored numbers and dates, when saved, then they are Western digits and Gregorian (YX-GLB-03).
• Given my display choice, when on, then Arabic-Indic digits and a Hijri (Umm al-Qura) date beside Gregorian are shown (YX-GLB-03).
• Given bank, WPS, GOSI, tax and e-invoice files, when made, then they use the format the receiver requires (YX-GLB-03).</t>
        </is>
      </c>
      <c r="O297" s="5" t="inlineStr">
        <is>
          <t>YX-GLB-03</t>
        </is>
      </c>
      <c r="P297" t="inlineStr">
        <is>
          <t>P21</t>
        </is>
      </c>
      <c r="Q297" t="inlineStr">
        <is>
          <t>US-E-348</t>
        </is>
      </c>
      <c r="R297" s="5" t="inlineStr"/>
    </row>
    <row r="298">
      <c r="A298" t="inlineStr">
        <is>
          <t>US-E-350</t>
        </is>
      </c>
      <c r="B298" t="n">
        <v>1450</v>
      </c>
      <c r="C298" t="inlineStr">
        <is>
          <t>Story</t>
        </is>
      </c>
      <c r="D298" s="5" t="inlineStr">
        <is>
          <t xml:space="preserve">        Arabic content and bilingual contracts</t>
        </is>
      </c>
      <c r="E298" t="inlineStr">
        <is>
          <t>Platform services</t>
        </is>
      </c>
      <c r="F298" t="inlineStr">
        <is>
          <t>Global readiness (GCC, EU, Singapore)</t>
        </is>
      </c>
      <c r="G298" t="inlineStr">
        <is>
          <t>New</t>
        </is>
      </c>
      <c r="I298">
        <f>IF(H298&lt;&gt;"",H298,G298)</f>
        <v/>
      </c>
      <c r="J298" t="inlineStr">
        <is>
          <t>Global readiness</t>
        </is>
      </c>
      <c r="K298" t="n">
        <v>5</v>
      </c>
      <c r="L298" t="n">
        <v>1</v>
      </c>
      <c r="M298" s="5" t="inlineStr">
        <is>
          <t>As a GCC employee, I want screens, messages and contracts in Arabic so that I understand them.</t>
        </is>
      </c>
      <c r="N298" s="5" t="inlineStr">
        <is>
          <t>• Given employee screens, notifications and GCC starter templates, when shipped, then they are in Arabic (YX-GLB-04).
• Given UAE / KSA contracts and payslips, when issued, then they are bilingual with Arabic marked as prevailing where required (YX-GLB-04).
• Given a missing Arabic string, when CI runs, then it fails for GCC templates.</t>
        </is>
      </c>
      <c r="O298" s="5" t="inlineStr">
        <is>
          <t>YX-GLB-04</t>
        </is>
      </c>
      <c r="P298" t="inlineStr">
        <is>
          <t>P21</t>
        </is>
      </c>
      <c r="Q298" t="inlineStr">
        <is>
          <t>US-E-348</t>
        </is>
      </c>
      <c r="R298" s="5" t="inlineStr"/>
    </row>
    <row r="299">
      <c r="A299" t="inlineStr">
        <is>
          <t>US-E-351</t>
        </is>
      </c>
      <c r="B299" t="n">
        <v>1450</v>
      </c>
      <c r="C299" t="inlineStr">
        <is>
          <t>Story</t>
        </is>
      </c>
      <c r="D299" s="5" t="inlineStr">
        <is>
          <t xml:space="preserve">        Holiday feeds with expected and confirmed dates</t>
        </is>
      </c>
      <c r="E299" t="inlineStr">
        <is>
          <t>Platform services</t>
        </is>
      </c>
      <c r="F299" t="inlineStr">
        <is>
          <t>Global readiness (GCC, EU, Singapore)</t>
        </is>
      </c>
      <c r="G299" t="inlineStr">
        <is>
          <t>New</t>
        </is>
      </c>
      <c r="I299">
        <f>IF(H299&lt;&gt;"",H299,G299)</f>
        <v/>
      </c>
      <c r="J299" t="inlineStr">
        <is>
          <t>Global readiness</t>
        </is>
      </c>
      <c r="K299" t="n">
        <v>3</v>
      </c>
      <c r="L299" t="n">
        <v>1</v>
      </c>
      <c r="M299" s="5" t="inlineStr">
        <is>
          <t>As an HR admin, I want moving holidays updated automatically so that leave and OT stay right.</t>
        </is>
      </c>
      <c r="N299" s="5" t="inlineStr">
        <is>
          <t>• Given each country pack, when loaded, then it names its holiday feed and each item cites its source (YX-GLB-05).
• Given a moving holiday, when published, then it is expected and later confirmed (YX-GLB-05).
• Given a confirmed date that differs, when updated, then calendars, leave counts, attendance and holiday OT in open periods are re-computed (YX-GLB-05).</t>
        </is>
      </c>
      <c r="O299" s="5" t="inlineStr">
        <is>
          <t>YX-GLB-05</t>
        </is>
      </c>
      <c r="P299" t="inlineStr">
        <is>
          <t>P21</t>
        </is>
      </c>
      <c r="Q299" t="inlineStr">
        <is>
          <t>US-E-347</t>
        </is>
      </c>
      <c r="R299" s="5" t="inlineStr"/>
    </row>
    <row r="300">
      <c r="A300" t="inlineStr">
        <is>
          <t>US-E-352</t>
        </is>
      </c>
      <c r="B300" t="n">
        <v>1450</v>
      </c>
      <c r="C300" t="inlineStr">
        <is>
          <t>Story</t>
        </is>
      </c>
      <c r="D300" s="5" t="inlineStr">
        <is>
          <t xml:space="preserve">        Work authorisations and identifiers for filings</t>
        </is>
      </c>
      <c r="E300" t="inlineStr">
        <is>
          <t>Platform services</t>
        </is>
      </c>
      <c r="F300" t="inlineStr">
        <is>
          <t>Global readiness (GCC, EU, Singapore)</t>
        </is>
      </c>
      <c r="G300" t="inlineStr">
        <is>
          <t>New</t>
        </is>
      </c>
      <c r="I300">
        <f>IF(H300&lt;&gt;"",H300,G300)</f>
        <v/>
      </c>
      <c r="J300" t="inlineStr">
        <is>
          <t>Global readiness</t>
        </is>
      </c>
      <c r="K300" t="n">
        <v>5</v>
      </c>
      <c r="L300" t="n">
        <v>1</v>
      </c>
      <c r="M300" s="5" t="inlineStr">
        <is>
          <t>As an HR admin, I want visa and permit expiries tracked so that no one works without a valid permit.</t>
        </is>
      </c>
      <c r="N300" s="5" t="inlineStr">
        <is>
          <t>• Given a person, when added, then several authorisations with type, expiry and sponsor entity can be held (YX-GLB-06).
• Given reminders at 90 / 60 / 30 / 7 days, when due, then a renewal task opens; an expired or missing authorisation flags payroll pre-flight (YX-GLB-06).
• Given WPS (SIF, Mudad), GOSI and pack filings, when made, then identifiers come from work_authorisations / employee_identifiers; a missing one fails pre-flight with a Fix link (YX-GLB-07).</t>
        </is>
      </c>
      <c r="O300" s="5" t="inlineStr">
        <is>
          <t>YX-GLB-06, YX-GLB-07</t>
        </is>
      </c>
      <c r="P300" t="inlineStr">
        <is>
          <t>P21</t>
        </is>
      </c>
      <c r="Q300" t="inlineStr">
        <is>
          <t>US-E-347</t>
        </is>
      </c>
      <c r="R300" s="5" t="inlineStr"/>
    </row>
    <row r="301">
      <c r="A301" t="inlineStr">
        <is>
          <t>US-E-353</t>
        </is>
      </c>
      <c r="B301" t="n">
        <v>1450</v>
      </c>
      <c r="C301" t="inlineStr">
        <is>
          <t>Story</t>
        </is>
      </c>
      <c r="D301" s="5" t="inlineStr">
        <is>
          <t xml:space="preserve">        Country bank validation and payment file formats</t>
        </is>
      </c>
      <c r="E301" t="inlineStr">
        <is>
          <t>Platform services</t>
        </is>
      </c>
      <c r="F301" t="inlineStr">
        <is>
          <t>Global readiness (GCC, EU, Singapore)</t>
        </is>
      </c>
      <c r="G301" t="inlineStr">
        <is>
          <t>New</t>
        </is>
      </c>
      <c r="I301">
        <f>IF(H301&lt;&gt;"",H301,G301)</f>
        <v/>
      </c>
      <c r="J301" t="inlineStr">
        <is>
          <t>Global readiness</t>
        </is>
      </c>
      <c r="K301" t="n">
        <v>5</v>
      </c>
      <c r="L301" t="n">
        <v>1</v>
      </c>
      <c r="M301" s="5" t="inlineStr">
        <is>
          <t>As a payroll admin, I want bank details validated per country and the right payment file so that pay is not rejected.</t>
        </is>
      </c>
      <c r="N301" s="5" t="inlineStr">
        <is>
          <t>• Given account details, when saved, then IBAN, BIC, ABA, sort code or IFSC are validated by country (YX-GLB-08).
• Given a pack, when payment files are made, then SEPA pain.001, NACHA, BACS or the pack format is produced by M03 exporters (YX-GLB-08).
• Given an invalid detail, when saving, then a clear error is shown.</t>
        </is>
      </c>
      <c r="O301" s="5" t="inlineStr">
        <is>
          <t>YX-GLB-08</t>
        </is>
      </c>
      <c r="P301" t="inlineStr">
        <is>
          <t>P21</t>
        </is>
      </c>
      <c r="Q301" t="inlineStr">
        <is>
          <t>US-E-347</t>
        </is>
      </c>
      <c r="R301" s="5" t="inlineStr"/>
    </row>
    <row r="302">
      <c r="A302" t="inlineStr">
        <is>
          <t>US-E-354</t>
        </is>
      </c>
      <c r="B302" t="n">
        <v>1450</v>
      </c>
      <c r="C302" t="inlineStr">
        <is>
          <t>Story</t>
        </is>
      </c>
      <c r="D302" s="5" t="inlineStr">
        <is>
          <t xml:space="preserve">        Multi-currency payout and split pay</t>
        </is>
      </c>
      <c r="E302" t="inlineStr">
        <is>
          <t>Platform services</t>
        </is>
      </c>
      <c r="F302" t="inlineStr">
        <is>
          <t>Global readiness (GCC, EU, Singapore)</t>
        </is>
      </c>
      <c r="G302" t="inlineStr">
        <is>
          <t>New</t>
        </is>
      </c>
      <c r="I302">
        <f>IF(H302&lt;&gt;"",H302,G302)</f>
        <v/>
      </c>
      <c r="J302" t="inlineStr">
        <is>
          <t>Global readiness</t>
        </is>
      </c>
      <c r="K302" t="n">
        <v>5</v>
      </c>
      <c r="L302" t="n">
        <v>1</v>
      </c>
      <c r="M302" s="5" t="inlineStr">
        <is>
          <t>As an employee, I want my pay split across accounts and currencies so that I manage my money.</t>
        </is>
      </c>
      <c r="N302" s="5" t="inlineStr">
        <is>
          <t>• Given pay, when computed, then it is in the employment pay currency (YX-GLB-09).
• Given payout in another currency, when made, then a dated rate from a named source is used and stored with the payslip (YX-GLB-09).
• Given split pay, when set, then at most 3 accounts: fixed amounts first, then %, remainder to primary (YX-GLB-09).</t>
        </is>
      </c>
      <c r="O302" s="5" t="inlineStr">
        <is>
          <t>YX-GLB-09</t>
        </is>
      </c>
      <c r="P302" t="inlineStr">
        <is>
          <t>P21</t>
        </is>
      </c>
      <c r="Q302" t="inlineStr">
        <is>
          <t>US-E-353</t>
        </is>
      </c>
      <c r="R302" s="5" t="inlineStr"/>
    </row>
    <row r="303">
      <c r="A303" t="inlineStr">
        <is>
          <t>US-E-355</t>
        </is>
      </c>
      <c r="B303" t="n">
        <v>1450</v>
      </c>
      <c r="C303" t="inlineStr">
        <is>
          <t>Story</t>
        </is>
      </c>
      <c r="D303" s="5" t="inlineStr">
        <is>
          <t xml:space="preserve">        Data residency and multi-region tenants</t>
        </is>
      </c>
      <c r="E303" t="inlineStr">
        <is>
          <t>Platform services</t>
        </is>
      </c>
      <c r="F303" t="inlineStr">
        <is>
          <t>Global readiness (GCC, EU, Singapore)</t>
        </is>
      </c>
      <c r="G303" t="inlineStr">
        <is>
          <t>New</t>
        </is>
      </c>
      <c r="I303">
        <f>IF(H303&lt;&gt;"",H303,G303)</f>
        <v/>
      </c>
      <c r="J303" t="inlineStr">
        <is>
          <t>Global readiness</t>
        </is>
      </c>
      <c r="K303" t="n">
        <v>8</v>
      </c>
      <c r="L303" t="n">
        <v>1</v>
      </c>
      <c r="M303" s="5" t="inlineStr">
        <is>
          <t>As a GCC customer, I want our data kept in-country so that we meet residency law.</t>
        </is>
      </c>
      <c r="N303" s="5" t="inlineStr">
        <is>
          <t>• Given a legal entity, when its people data is stored, then it lives in its data region; UAE / KSA data, files, backups and DR stay in-country (YX-GLB-10).
• Given a multi-region tenant, when set up, then control data has one home region (YX-GLB-10).
• Given a cross-region screen, when opened, then it queries each entity’s region at read time (YX-GLB-10).</t>
        </is>
      </c>
      <c r="O303" s="5" t="inlineStr">
        <is>
          <t>YX-GLB-10</t>
        </is>
      </c>
      <c r="P303" t="inlineStr">
        <is>
          <t>P21</t>
        </is>
      </c>
      <c r="Q303" t="inlineStr">
        <is>
          <t>US-E-210</t>
        </is>
      </c>
      <c r="R303" s="5" t="inlineStr"/>
    </row>
    <row r="304">
      <c r="A304" t="inlineStr">
        <is>
          <t>US-E-356</t>
        </is>
      </c>
      <c r="B304" t="n">
        <v>1450</v>
      </c>
      <c r="C304" t="inlineStr">
        <is>
          <t>Story</t>
        </is>
      </c>
      <c r="D304" s="5" t="inlineStr">
        <is>
          <t xml:space="preserve">        Region move with verification</t>
        </is>
      </c>
      <c r="E304" t="inlineStr">
        <is>
          <t>Platform services</t>
        </is>
      </c>
      <c r="F304" t="inlineStr">
        <is>
          <t>Global readiness (GCC, EU, Singapore)</t>
        </is>
      </c>
      <c r="G304" t="inlineStr">
        <is>
          <t>New</t>
        </is>
      </c>
      <c r="I304">
        <f>IF(H304&lt;&gt;"",H304,G304)</f>
        <v/>
      </c>
      <c r="J304" t="inlineStr">
        <is>
          <t>Global readiness</t>
        </is>
      </c>
      <c r="K304" t="n">
        <v>8</v>
      </c>
      <c r="L304" t="n">
        <v>3</v>
      </c>
      <c r="M304" s="5" t="inlineStr">
        <is>
          <t>As a system admin, I want to move our data to another region safely so that we can meet new rules.</t>
        </is>
      </c>
      <c r="N304" s="5" t="inlineStr">
        <is>
          <t>• Given a move, when requested by a System Admin and approved by YukthiX, then it runs outside the payroll-critical window with a freeze of at most 24 hours (YX-GLB-11).
• Given the copy, when done, then checksums and row counts verify it before cut-over (YX-GLB-11).
• Given cut-over, when complete, then source data is deleted (YX-GLB-11).</t>
        </is>
      </c>
      <c r="O304" s="5" t="inlineStr">
        <is>
          <t>YX-GLB-11</t>
        </is>
      </c>
      <c r="P304" t="inlineStr">
        <is>
          <t>P21</t>
        </is>
      </c>
      <c r="Q304" t="inlineStr">
        <is>
          <t>US-E-355</t>
        </is>
      </c>
      <c r="R304" s="5" t="inlineStr"/>
    </row>
    <row r="305">
      <c r="A305" t="inlineStr">
        <is>
          <t>US-E-357</t>
        </is>
      </c>
      <c r="B305" t="n">
        <v>1450</v>
      </c>
      <c r="C305" t="inlineStr">
        <is>
          <t>Story</t>
        </is>
      </c>
      <c r="D305" s="5" t="inlineStr">
        <is>
          <t xml:space="preserve">        Country e-invoicing for YukthiX and staffing invoices</t>
        </is>
      </c>
      <c r="E305" t="inlineStr">
        <is>
          <t>Platform services</t>
        </is>
      </c>
      <c r="F305" t="inlineStr">
        <is>
          <t>Global readiness (GCC, EU, Singapore)</t>
        </is>
      </c>
      <c r="G305" t="inlineStr">
        <is>
          <t>New</t>
        </is>
      </c>
      <c r="I305">
        <f>IF(H305&lt;&gt;"",H305,G305)</f>
        <v/>
      </c>
      <c r="J305" t="inlineStr">
        <is>
          <t>Global readiness</t>
        </is>
      </c>
      <c r="K305" t="n">
        <v>8</v>
      </c>
      <c r="L305" t="n">
        <v>3</v>
      </c>
      <c r="M305" s="5" t="inlineStr">
        <is>
          <t>As a finance user in KSA, UAE or the EU, I want invoices in the national scheme so that they are legal.</t>
        </is>
      </c>
      <c r="N305" s="5" t="inlineStr">
        <is>
          <t>• Given KSA, when an invoice is made, then ZATCA Fatoora clearance / reporting, QR and stamp apply (YX-GLB-12).
• Given UAE or an EU country, when an invoice is made, then the pack scheme applies (YX-GLB-12).
• Given scheme rules, when they change, then they are dated pack data (YX-GLB-12).</t>
        </is>
      </c>
      <c r="O305" s="5" t="inlineStr">
        <is>
          <t>YX-GLB-12</t>
        </is>
      </c>
      <c r="P305" t="inlineStr">
        <is>
          <t>P21</t>
        </is>
      </c>
      <c r="Q305" t="inlineStr">
        <is>
          <t>US-E-347</t>
        </is>
      </c>
      <c r="R305" s="5" t="inlineStr"/>
    </row>
    <row r="306">
      <c r="A306" t="inlineStr">
        <is>
          <t>US-E-358</t>
        </is>
      </c>
      <c r="B306" t="n">
        <v>1450</v>
      </c>
      <c r="C306" t="inlineStr">
        <is>
          <t>Story</t>
        </is>
      </c>
      <c r="D306" s="5" t="inlineStr">
        <is>
          <t xml:space="preserve">        Emiratisation and Nitaqat tracking</t>
        </is>
      </c>
      <c r="E306" t="inlineStr">
        <is>
          <t>Platform services</t>
        </is>
      </c>
      <c r="F306" t="inlineStr">
        <is>
          <t>Global readiness (GCC, EU, Singapore)</t>
        </is>
      </c>
      <c r="G306" t="inlineStr">
        <is>
          <t>New</t>
        </is>
      </c>
      <c r="I306">
        <f>IF(H306&lt;&gt;"",H306,G306)</f>
        <v/>
      </c>
      <c r="J306" t="inlineStr">
        <is>
          <t>Global readiness</t>
        </is>
      </c>
      <c r="K306" t="n">
        <v>5</v>
      </c>
      <c r="L306" t="n">
        <v>3</v>
      </c>
      <c r="M306" s="5" t="inlineStr">
        <is>
          <t>As a GCC HR admin, I want our nationalisation band tracked so that we meet quotas.</t>
        </is>
      </c>
      <c r="N306" s="5" t="inlineStr">
        <is>
          <t>• Given each GCC entity, when the month closes, then a snapshot of nationals / non-nationals, band, target and gap is made (YX-GLB-13).
• Given a planned exit or hire, when it would breach the target, then a warning is shown (YX-GLB-13).
• Given rules, when used, then they come from AE.EMIRATISATION / SA.NITAQAT P07 data (YX-GLB-13).</t>
        </is>
      </c>
      <c r="O306" s="5" t="inlineStr">
        <is>
          <t>YX-GLB-13</t>
        </is>
      </c>
      <c r="P306" t="inlineStr">
        <is>
          <t>P21</t>
        </is>
      </c>
      <c r="Q306" t="inlineStr">
        <is>
          <t>US-E-347</t>
        </is>
      </c>
      <c r="R306" s="5" t="inlineStr"/>
    </row>
    <row r="307">
      <c r="A307" t="inlineStr">
        <is>
          <t>US-E-359</t>
        </is>
      </c>
      <c r="B307" t="n">
        <v>1450</v>
      </c>
      <c r="C307" t="inlineStr">
        <is>
          <t>Story</t>
        </is>
      </c>
      <c r="D307" s="5" t="inlineStr">
        <is>
          <t xml:space="preserve">        Singapore pack: CPF, SDL, IR8A, KETs and flexible-work requests</t>
        </is>
      </c>
      <c r="E307" t="inlineStr">
        <is>
          <t>Platform services</t>
        </is>
      </c>
      <c r="F307" t="inlineStr">
        <is>
          <t>Global readiness (GCC, EU, Singapore)</t>
        </is>
      </c>
      <c r="G307" t="inlineStr">
        <is>
          <t>New</t>
        </is>
      </c>
      <c r="I307">
        <f>IF(H307&lt;&gt;"",H307,G307)</f>
        <v/>
      </c>
      <c r="J307" t="inlineStr">
        <is>
          <t>Global readiness</t>
        </is>
      </c>
      <c r="K307" t="n">
        <v>8</v>
      </c>
      <c r="L307" t="n">
        <v>3</v>
      </c>
      <c r="M307" s="5" t="inlineStr">
        <is>
          <t>As a Singapore HR admin, I want local payroll and MOM rules so that we comply.</t>
        </is>
      </c>
      <c r="N307" s="5" t="inlineStr">
        <is>
          <t>• Given SG.* packs, when payroll runs, then CPF age bands and ceilings, SDL and IR8A / AIS come from them (YX-GLB-14).
• Given Key Employment Terms and payslips, when issued, then MOM content and timing apply (YX-GLB-14).
• Given a flexible-work request, when submitted, then it is a P03 request with the response deadline and written-reason rule (YX-GLB-14).</t>
        </is>
      </c>
      <c r="O307" s="5" t="inlineStr">
        <is>
          <t>YX-GLB-14</t>
        </is>
      </c>
      <c r="P307" t="inlineStr">
        <is>
          <t>P21</t>
        </is>
      </c>
      <c r="Q307" t="inlineStr">
        <is>
          <t>US-E-347</t>
        </is>
      </c>
      <c r="R307" s="5" t="inlineStr"/>
    </row>
    <row r="308">
      <c r="A308" t="inlineStr">
        <is>
          <t>US-E-360</t>
        </is>
      </c>
      <c r="B308" t="n">
        <v>1450</v>
      </c>
      <c r="C308" t="inlineStr">
        <is>
          <t>Story</t>
        </is>
      </c>
      <c r="D308" s="5" t="inlineStr">
        <is>
          <t xml:space="preserve">        EU whistleblower timings</t>
        </is>
      </c>
      <c r="E308" t="inlineStr">
        <is>
          <t>Platform services</t>
        </is>
      </c>
      <c r="F308" t="inlineStr">
        <is>
          <t>Global readiness (GCC, EU, Singapore)</t>
        </is>
      </c>
      <c r="G308" t="inlineStr">
        <is>
          <t>New</t>
        </is>
      </c>
      <c r="I308">
        <f>IF(H308&lt;&gt;"",H308,G308)</f>
        <v/>
      </c>
      <c r="J308" t="inlineStr">
        <is>
          <t>Global readiness</t>
        </is>
      </c>
      <c r="K308" t="n">
        <v>3</v>
      </c>
      <c r="L308" t="n">
        <v>3</v>
      </c>
      <c r="M308" s="5" t="inlineStr">
        <is>
          <t>As an ethics officer in an EU entity, I want the legal clocks applied so that we answer reporters on time.</t>
        </is>
      </c>
      <c r="N308" s="5" t="inlineStr">
        <is>
          <t>• Given an EU entity with 50+ workers, when a whistleblower case opens, then acknowledgement is due within 7 days (YX-GLB-15).
• Given acknowledgement, when done, then feedback is due within 3 months (YX-GLB-15).
• Given records, when kept, then only as long as the pack allows (YX-GLB-15).</t>
        </is>
      </c>
      <c r="O308" s="5" t="inlineStr">
        <is>
          <t>YX-GLB-15</t>
        </is>
      </c>
      <c r="P308" t="inlineStr">
        <is>
          <t>P21</t>
        </is>
      </c>
      <c r="Q308" t="inlineStr">
        <is>
          <t>US-E-347</t>
        </is>
      </c>
      <c r="R308" s="5" t="inlineStr"/>
    </row>
    <row r="309">
      <c r="A309" s="7" t="inlineStr">
        <is>
          <t>EP-A-5</t>
        </is>
      </c>
      <c r="B309" s="7" t="n">
        <v>400</v>
      </c>
      <c r="C309" s="7" t="inlineStr">
        <is>
          <t>Epic</t>
        </is>
      </c>
      <c r="D309" s="8" t="inlineStr">
        <is>
          <t>Later steps · rules from the step 0–2 docs</t>
        </is>
      </c>
      <c r="E309" s="7" t="inlineStr">
        <is>
          <t>Later steps · rules from the step 0–2 docs</t>
        </is>
      </c>
      <c r="F309" s="7" t="inlineStr"/>
      <c r="G309" s="7" t="inlineStr">
        <is>
          <t>New</t>
        </is>
      </c>
      <c r="H309" s="7" t="n"/>
      <c r="I309" s="7">
        <f>IF(H309&lt;&gt;"",H309,G309)</f>
        <v/>
      </c>
      <c r="J309" s="7" t="inlineStr">
        <is>
          <t>Step 3+</t>
        </is>
      </c>
      <c r="K309" s="7" t="n"/>
      <c r="L309" s="7" t="n">
        <v>1</v>
      </c>
      <c r="M309" s="8" t="inlineStr"/>
      <c r="N309" s="8" t="inlineStr"/>
      <c r="O309" s="8" t="inlineStr"/>
      <c r="P309" s="7" t="inlineStr">
        <is>
          <t>P01, P02, P06, P12, M01</t>
        </is>
      </c>
      <c r="Q309" s="7" t="inlineStr"/>
      <c r="R309" s="8" t="inlineStr"/>
      <c r="S309" s="7" t="n"/>
    </row>
    <row r="310">
      <c r="A310" s="9" t="inlineStr">
        <is>
          <t>FT-A-040</t>
        </is>
      </c>
      <c r="B310" s="9" t="n">
        <v>410</v>
      </c>
      <c r="C310" s="9" t="inlineStr">
        <is>
          <t>Feature</t>
        </is>
      </c>
      <c r="D310" s="10" t="inlineStr">
        <is>
          <t xml:space="preserve">    Step 3 · YukthiX staff access and support</t>
        </is>
      </c>
      <c r="E310" s="9" t="inlineStr">
        <is>
          <t>Later steps · rules from the step 0–2 docs</t>
        </is>
      </c>
      <c r="F310" s="9" t="inlineStr">
        <is>
          <t>Step 3 · YukthiX staff access and support</t>
        </is>
      </c>
      <c r="G310" s="9" t="inlineStr">
        <is>
          <t>New</t>
        </is>
      </c>
      <c r="H310" s="9" t="n"/>
      <c r="I310" s="9">
        <f>IF(H310&lt;&gt;"",H310,G310)</f>
        <v/>
      </c>
      <c r="J310" s="9" t="inlineStr">
        <is>
          <t>Step 3</t>
        </is>
      </c>
      <c r="K310" s="9" t="n"/>
      <c r="L310" s="9" t="n">
        <v>1</v>
      </c>
      <c r="M310" s="10" t="inlineStr"/>
      <c r="N310" s="10" t="inlineStr"/>
      <c r="O310" s="10" t="inlineStr"/>
      <c r="P310" s="9" t="inlineStr">
        <is>
          <t>P02 Q8, P12 Q7, P14</t>
        </is>
      </c>
      <c r="Q310" s="9" t="inlineStr"/>
      <c r="R310" s="10" t="inlineStr"/>
      <c r="S310" s="9" t="n"/>
    </row>
    <row r="311">
      <c r="A311" t="inlineStr">
        <is>
          <t>US-A-140</t>
        </is>
      </c>
      <c r="B311" t="n">
        <v>411</v>
      </c>
      <c r="C311" t="inlineStr">
        <is>
          <t>Story</t>
        </is>
      </c>
      <c r="D311" s="5" t="inlineStr">
        <is>
          <t xml:space="preserve">        Support sessions the company approves</t>
        </is>
      </c>
      <c r="E311" t="inlineStr">
        <is>
          <t>Later steps · rules from the step 0–2 docs</t>
        </is>
      </c>
      <c r="F311" t="inlineStr">
        <is>
          <t>Step 3 · YukthiX staff access and support</t>
        </is>
      </c>
      <c r="G311" t="inlineStr">
        <is>
          <t>New</t>
        </is>
      </c>
      <c r="I311">
        <f>IF(H311&lt;&gt;"",H311,G311)</f>
        <v/>
      </c>
      <c r="J311" t="inlineStr">
        <is>
          <t>Step 3</t>
        </is>
      </c>
      <c r="K311" t="n">
        <v>5</v>
      </c>
      <c r="L311" t="n">
        <v>1</v>
      </c>
      <c r="M311" s="5" t="inlineStr">
        <is>
          <t>As a company admin, I want YukthiX support to see our data only in a session we approve so that staff never have standing access.</t>
        </is>
      </c>
      <c r="N311" s="5" t="inlineStr">
        <is>
          <t>• Given a support request, when a company admin approves it, then a session opens for a fixed window (default 24 h, max 72 h) with a reason (YX-SEC-20).
• Given a support session, when staff read data, then restricted areas are denied and Confidential/Special are masked by default (YX-SEC-20, YX-SEC-10).
• Given the window ends, when time passes, then access ends on its own (YX-SEC-15).
• Given every staff action, when done, then it is audited and listed for the company's admins (YX-SEC-20).</t>
        </is>
      </c>
      <c r="O311" s="5" t="inlineStr">
        <is>
          <t>YX-SEC-20, YX-SEC-15, YX-SEC-10</t>
        </is>
      </c>
      <c r="P311" t="inlineStr">
        <is>
          <t>P02 Q8, P01 §5 #2</t>
        </is>
      </c>
      <c r="Q311" t="inlineStr"/>
      <c r="R311" s="5" t="inlineStr"/>
    </row>
    <row r="312">
      <c r="A312" t="inlineStr">
        <is>
          <t>US-A-141</t>
        </is>
      </c>
      <c r="B312" t="n">
        <v>412</v>
      </c>
      <c r="C312" t="inlineStr">
        <is>
          <t>Story</t>
        </is>
      </c>
      <c r="D312" s="5" t="inlineStr">
        <is>
          <t xml:space="preserve">        Staff elevation needs a second person</t>
        </is>
      </c>
      <c r="E312" t="inlineStr">
        <is>
          <t>Later steps · rules from the step 0–2 docs</t>
        </is>
      </c>
      <c r="F312" t="inlineStr">
        <is>
          <t>Step 3 · YukthiX staff access and support</t>
        </is>
      </c>
      <c r="G312" t="inlineStr">
        <is>
          <t>New</t>
        </is>
      </c>
      <c r="I312">
        <f>IF(H312&lt;&gt;"",H312,G312)</f>
        <v/>
      </c>
      <c r="J312" t="inlineStr">
        <is>
          <t>Step 3</t>
        </is>
      </c>
      <c r="K312" t="n">
        <v>5</v>
      </c>
      <c r="L312" t="n">
        <v>1</v>
      </c>
      <c r="M312" s="5" t="inlineStr">
        <is>
          <t>As YukthiX staff, I want just-in-time production access approved by a colleague so that no one holds standing admin rights.</t>
        </is>
      </c>
      <c r="N312" s="5" t="inlineStr">
        <is>
          <t>• Given a staff member, when they ask for production elevation, then a second staff member must approve and it auto-expires (YX-SECOPS-08).
• Given staff sign-in, when done, then only hardware security keys are accepted (YX-SECOPS-08).
• Given staff actions, when a month ends, then they are listed for the monthly review (YX-SECOPS-08).</t>
        </is>
      </c>
      <c r="O312" s="5" t="inlineStr">
        <is>
          <t>YX-SECOPS-08</t>
        </is>
      </c>
      <c r="P312" t="inlineStr">
        <is>
          <t>P12 Q7</t>
        </is>
      </c>
      <c r="Q312" t="inlineStr">
        <is>
          <t>US-A-034</t>
        </is>
      </c>
      <c r="R312" s="5" t="inlineStr"/>
    </row>
    <row r="313">
      <c r="A313" t="inlineStr">
        <is>
          <t>US-A-142</t>
        </is>
      </c>
      <c r="B313" t="n">
        <v>413</v>
      </c>
      <c r="C313" t="inlineStr">
        <is>
          <t>Story</t>
        </is>
      </c>
      <c r="D313" s="5" t="inlineStr">
        <is>
          <t xml:space="preserve">        Recover a staff account that lost its keys</t>
        </is>
      </c>
      <c r="E313" t="inlineStr">
        <is>
          <t>Later steps · rules from the step 0–2 docs</t>
        </is>
      </c>
      <c r="F313" t="inlineStr">
        <is>
          <t>Step 3 · YukthiX staff access and support</t>
        </is>
      </c>
      <c r="G313" t="inlineStr">
        <is>
          <t>New</t>
        </is>
      </c>
      <c r="I313">
        <f>IF(H313&lt;&gt;"",H313,G313)</f>
        <v/>
      </c>
      <c r="J313" t="inlineStr">
        <is>
          <t>Step 3</t>
        </is>
      </c>
      <c r="K313" t="n">
        <v>3</v>
      </c>
      <c r="L313" t="n">
        <v>2</v>
      </c>
      <c r="M313" s="5" t="inlineStr">
        <is>
          <t>As YukthiX staff, I want a safe recovery when I lose my security keys so that I am not locked out for good.</t>
        </is>
      </c>
      <c r="N313" s="5" t="inlineStr">
        <is>
          <t>• Given a staff member with no working key, when they ask for recovery, then two other staff must approve (YX-IAM-11, YX-SECOPS-08).
• Given recovery, when completed, then old keys are revoked and the action is audited (YX-IAM-10).
• Given staff enrolment, when done, then two keys are registered (YX-SECOPS-08).</t>
        </is>
      </c>
      <c r="O313" s="5" t="inlineStr">
        <is>
          <t>YX-IAM-11, YX-SECOPS-08, YX-IAM-10</t>
        </is>
      </c>
      <c r="P313" t="inlineStr">
        <is>
          <t>P12 Q7, deferred D-103</t>
        </is>
      </c>
      <c r="Q313" t="inlineStr"/>
      <c r="R313" s="5" t="inlineStr"/>
    </row>
    <row r="314">
      <c r="A314" t="inlineStr">
        <is>
          <t>US-A-143</t>
        </is>
      </c>
      <c r="B314" t="n">
        <v>414</v>
      </c>
      <c r="C314" t="inlineStr">
        <is>
          <t>Story</t>
        </is>
      </c>
      <c r="D314" s="5" t="inlineStr">
        <is>
          <t xml:space="preserve">        Proctor-service grant per slot</t>
        </is>
      </c>
      <c r="E314" t="inlineStr">
        <is>
          <t>Later steps · rules from the step 0–2 docs</t>
        </is>
      </c>
      <c r="F314" t="inlineStr">
        <is>
          <t>Step 3 · YukthiX staff access and support</t>
        </is>
      </c>
      <c r="G314" t="inlineStr">
        <is>
          <t>New</t>
        </is>
      </c>
      <c r="I314">
        <f>IF(H314&lt;&gt;"",H314,G314)</f>
        <v/>
      </c>
      <c r="J314" t="inlineStr">
        <is>
          <t>Step 3</t>
        </is>
      </c>
      <c r="K314" t="n">
        <v>3</v>
      </c>
      <c r="L314" t="n">
        <v>2</v>
      </c>
      <c r="M314" s="5" t="inlineStr">
        <is>
          <t>As a company admin, I want YukthiX proctors to see only the sessions they watch, only during the slot, so that proctoring doesn't open our data.</t>
        </is>
      </c>
      <c r="N314" s="5" t="inlineStr">
        <is>
          <t>• Given the proctoring add-on opt-in, when a proctor is assigned a slot, then a grant covers only that slot's sessions and time (YX-SEC-23).
• Given the slot ends, when time passes, then the grant expires (YX-SEC-23).
• Given MFA or confidentiality terms are missing, when a grant is due, then it is not issued (YX-SEC-23).
• Given every view, when made, then it is audited and listed for the company's admins (YX-SEC-23).</t>
        </is>
      </c>
      <c r="O314" s="5" t="inlineStr">
        <is>
          <t>YX-SEC-23</t>
        </is>
      </c>
      <c r="P314" t="inlineStr">
        <is>
          <t>P02 §4.7, T04</t>
        </is>
      </c>
      <c r="Q314" t="inlineStr"/>
      <c r="R314" s="5" t="inlineStr"/>
    </row>
    <row r="315">
      <c r="A315" t="inlineStr">
        <is>
          <t>US-A-144</t>
        </is>
      </c>
      <c r="B315" t="n">
        <v>415</v>
      </c>
      <c r="C315" t="inlineStr">
        <is>
          <t>Story</t>
        </is>
      </c>
      <c r="D315" s="5" t="inlineStr">
        <is>
          <t xml:space="preserve">        Shared SMS account moves to the platform console</t>
        </is>
      </c>
      <c r="E315" t="inlineStr">
        <is>
          <t>Later steps · rules from the step 0–2 docs</t>
        </is>
      </c>
      <c r="F315" t="inlineStr">
        <is>
          <t>Step 3 · YukthiX staff access and support</t>
        </is>
      </c>
      <c r="G315" t="inlineStr">
        <is>
          <t>New</t>
        </is>
      </c>
      <c r="I315">
        <f>IF(H315&lt;&gt;"",H315,G315)</f>
        <v/>
      </c>
      <c r="J315" t="inlineStr">
        <is>
          <t>Step 3</t>
        </is>
      </c>
      <c r="K315" t="n">
        <v>3</v>
      </c>
      <c r="L315" t="n">
        <v>2</v>
      </c>
      <c r="M315" s="5" t="inlineStr">
        <is>
          <t>As YukthiX staff, I want the shared SMS account managed in the platform console so that companies only see their own accounts.</t>
        </is>
      </c>
      <c r="N315" s="5" t="inlineStr">
        <is>
          <t>• Given the platform console, when staff open channel accounts, then the shared SMS account is managed there (YX-NTF-12).
• Given a company, when it opens Settings › SMS, then it sees usage of the shared account but not its secrets (YX-NTF-12).
• Given the monthly cap, when counted, then the month follows each company's time zone (YX-NTF-12).</t>
        </is>
      </c>
      <c r="O315" s="5" t="inlineStr">
        <is>
          <t>YX-NTF-12</t>
        </is>
      </c>
      <c r="P315" t="inlineStr">
        <is>
          <t>BACKEND-ROADMAP.md step 3, deferred D-056</t>
        </is>
      </c>
      <c r="Q315" t="inlineStr"/>
      <c r="R315" s="5" t="inlineStr"/>
    </row>
    <row r="316">
      <c r="A316" s="9" t="inlineStr">
        <is>
          <t>FT-A-041</t>
        </is>
      </c>
      <c r="B316" s="9" t="n">
        <v>510</v>
      </c>
      <c r="C316" s="9" t="inlineStr">
        <is>
          <t>Feature</t>
        </is>
      </c>
      <c r="D316" s="10" t="inlineStr">
        <is>
          <t xml:space="preserve">    Step 3b · Restricted areas</t>
        </is>
      </c>
      <c r="E316" s="9" t="inlineStr">
        <is>
          <t>Later steps · rules from the step 0–2 docs</t>
        </is>
      </c>
      <c r="F316" s="9" t="inlineStr">
        <is>
          <t>Step 3b · Restricted areas</t>
        </is>
      </c>
      <c r="G316" s="9" t="inlineStr">
        <is>
          <t>New</t>
        </is>
      </c>
      <c r="H316" s="9" t="n"/>
      <c r="I316" s="9">
        <f>IF(H316&lt;&gt;"",H316,G316)</f>
        <v/>
      </c>
      <c r="J316" s="9" t="inlineStr">
        <is>
          <t>Step 3b</t>
        </is>
      </c>
      <c r="K316" s="9" t="n"/>
      <c r="L316" s="9" t="n">
        <v>1</v>
      </c>
      <c r="M316" s="10" t="inlineStr"/>
      <c r="N316" s="10" t="inlineStr"/>
      <c r="O316" s="10" t="inlineStr"/>
      <c r="P316" s="9" t="inlineStr">
        <is>
          <t>P02 §4.3, M08</t>
        </is>
      </c>
      <c r="Q316" s="9" t="inlineStr"/>
      <c r="R316" s="10" t="inlineStr"/>
      <c r="S316" s="9" t="n"/>
    </row>
    <row r="317">
      <c r="A317" t="inlineStr">
        <is>
          <t>US-A-145</t>
        </is>
      </c>
      <c r="B317" t="n">
        <v>511</v>
      </c>
      <c r="C317" t="inlineStr">
        <is>
          <t>Story</t>
        </is>
      </c>
      <c r="D317" s="5" t="inlineStr">
        <is>
          <t xml:space="preserve">        Restricted cases visible only to their members</t>
        </is>
      </c>
      <c r="E317" t="inlineStr">
        <is>
          <t>Later steps · rules from the step 0–2 docs</t>
        </is>
      </c>
      <c r="F317" t="inlineStr">
        <is>
          <t>Step 3b · Restricted areas</t>
        </is>
      </c>
      <c r="G317" t="inlineStr">
        <is>
          <t>New</t>
        </is>
      </c>
      <c r="I317">
        <f>IF(H317&lt;&gt;"",H317,G317)</f>
        <v/>
      </c>
      <c r="J317" t="inlineStr">
        <is>
          <t>Step 3b</t>
        </is>
      </c>
      <c r="K317" t="n">
        <v>5</v>
      </c>
      <c r="L317" t="n">
        <v>1</v>
      </c>
      <c r="M317" s="5" t="inlineStr">
        <is>
          <t>As an IC member, I want POSH and other restricted cases visible only to appointed members so that complainants are protected.</t>
        </is>
      </c>
      <c r="N317" s="5" t="inlineStr">
        <is>
          <t>• Given a POSH, disciplinary, grievance, whistleblower or medical case, when someone not a member queries it, then the database returns no rows (YX-SEC-10).
• Given a company admin or YukthiX support without membership, when they run a report, then the cases are not included (YX-SEC-10).
• Given a restricted area, when shown, then it has a lock badge and member list (YX-SEC-10).</t>
        </is>
      </c>
      <c r="O317" s="5" t="inlineStr">
        <is>
          <t>YX-SEC-10</t>
        </is>
      </c>
      <c r="P317" t="inlineStr">
        <is>
          <t>P02 §4.3, P02 §7</t>
        </is>
      </c>
      <c r="Q317" t="inlineStr">
        <is>
          <t>US-A-114</t>
        </is>
      </c>
      <c r="R317" s="5" t="inlineStr"/>
    </row>
    <row r="318">
      <c r="A318" s="9" t="inlineStr">
        <is>
          <t>FT-A-042</t>
        </is>
      </c>
      <c r="B318" s="9" t="n">
        <v>610</v>
      </c>
      <c r="C318" s="9" t="inlineStr">
        <is>
          <t>Feature</t>
        </is>
      </c>
      <c r="D318" s="10" t="inlineStr">
        <is>
          <t xml:space="preserve">    Step 4 · Host postings</t>
        </is>
      </c>
      <c r="E318" s="9" t="inlineStr">
        <is>
          <t>Later steps · rules from the step 0–2 docs</t>
        </is>
      </c>
      <c r="F318" s="9" t="inlineStr">
        <is>
          <t>Step 4 · Host postings</t>
        </is>
      </c>
      <c r="G318" s="9" t="inlineStr">
        <is>
          <t>New</t>
        </is>
      </c>
      <c r="H318" s="9" t="n"/>
      <c r="I318" s="9">
        <f>IF(H318&lt;&gt;"",H318,G318)</f>
        <v/>
      </c>
      <c r="J318" s="9" t="inlineStr">
        <is>
          <t>Step 4</t>
        </is>
      </c>
      <c r="K318" s="9" t="n"/>
      <c r="L318" s="9" t="n">
        <v>1</v>
      </c>
      <c r="M318" s="10" t="inlineStr"/>
      <c r="N318" s="10" t="inlineStr"/>
      <c r="O318" s="10" t="inlineStr"/>
      <c r="P318" s="9" t="inlineStr">
        <is>
          <t>P01 §4.4, M01 §3.3</t>
        </is>
      </c>
      <c r="Q318" s="9" t="inlineStr"/>
      <c r="R318" s="10" t="inlineStr"/>
      <c r="S318" s="9" t="n"/>
    </row>
    <row r="319">
      <c r="A319" t="inlineStr">
        <is>
          <t>US-A-146</t>
        </is>
      </c>
      <c r="B319" t="n">
        <v>611</v>
      </c>
      <c r="C319" t="inlineStr">
        <is>
          <t>Story</t>
        </is>
      </c>
      <c r="D319" s="5" t="inlineStr">
        <is>
          <t xml:space="preserve">        Deputation, secondment and client-site postings</t>
        </is>
      </c>
      <c r="E319" t="inlineStr">
        <is>
          <t>Later steps · rules from the step 0–2 docs</t>
        </is>
      </c>
      <c r="F319" t="inlineStr">
        <is>
          <t>Step 4 · Host postings</t>
        </is>
      </c>
      <c r="G319" t="inlineStr">
        <is>
          <t>New</t>
        </is>
      </c>
      <c r="I319">
        <f>IF(H319&lt;&gt;"",H319,G319)</f>
        <v/>
      </c>
      <c r="J319" t="inlineStr">
        <is>
          <t>Step 4</t>
        </is>
      </c>
      <c r="K319" t="n">
        <v>5</v>
      </c>
      <c r="L319" t="n">
        <v>2</v>
      </c>
      <c r="M319" s="5" t="inlineStr">
        <is>
          <t>As an HR admin, I want to post someone to a host entity or client site so that their holidays, PT state and geofence follow where they work.</t>
        </is>
      </c>
      <c r="N319" s="5" t="inlineStr">
        <is>
          <t>• Given a posting on the assignment, when saved, then the employing entity does not change (YX-ORG-21, YX-EMP-07).
• Given a host location, when set, then holiday calendar, PT state and geofence come from it for those dates (YX-ORG-21, YX-EMP-07).
• Given a recharge flag, when set, then the person is listed in the monthly recharge report (YX-ORG-21, YX-EMP-07).
• Given start and end, when made, then they are dated changes with an impact preview (YX-HIS-11).</t>
        </is>
      </c>
      <c r="O319" s="5" t="inlineStr">
        <is>
          <t>YX-ORG-21, YX-EMP-07, YX-HIS-11</t>
        </is>
      </c>
      <c r="P319" t="inlineStr">
        <is>
          <t>P01 E8, M01 §3.3</t>
        </is>
      </c>
      <c r="Q319" t="inlineStr"/>
      <c r="R319" s="5" t="inlineStr"/>
    </row>
    <row r="320">
      <c r="A320" s="9" t="inlineStr">
        <is>
          <t>FT-A-043</t>
        </is>
      </c>
      <c r="B320" s="9" t="n">
        <v>710</v>
      </c>
      <c r="C320" s="9" t="inlineStr">
        <is>
          <t>Feature</t>
        </is>
      </c>
      <c r="D320" s="10" t="inlineStr">
        <is>
          <t xml:space="preserve">    Step 5 · Payroll-linked history and duties</t>
        </is>
      </c>
      <c r="E320" s="9" t="inlineStr">
        <is>
          <t>Later steps · rules from the step 0–2 docs</t>
        </is>
      </c>
      <c r="F320" s="9" t="inlineStr">
        <is>
          <t>Step 5 · Payroll-linked history and duties</t>
        </is>
      </c>
      <c r="G320" s="9" t="inlineStr">
        <is>
          <t>New</t>
        </is>
      </c>
      <c r="H320" s="9" t="n"/>
      <c r="I320" s="9">
        <f>IF(H320&lt;&gt;"",H320,G320)</f>
        <v/>
      </c>
      <c r="J320" s="9" t="inlineStr">
        <is>
          <t>Step 5</t>
        </is>
      </c>
      <c r="K320" s="9" t="n"/>
      <c r="L320" s="9" t="n">
        <v>1</v>
      </c>
      <c r="M320" s="10" t="inlineStr"/>
      <c r="N320" s="10" t="inlineStr"/>
      <c r="O320" s="10" t="inlineStr"/>
      <c r="P320" s="9" t="inlineStr">
        <is>
          <t>P06, P02, P01</t>
        </is>
      </c>
      <c r="Q320" s="9" t="inlineStr"/>
      <c r="R320" s="10" t="inlineStr"/>
      <c r="S320" s="9" t="n"/>
    </row>
    <row r="321">
      <c r="A321" t="inlineStr">
        <is>
          <t>US-A-150</t>
        </is>
      </c>
      <c r="B321" t="n">
        <v>711</v>
      </c>
      <c r="C321" t="inlineStr">
        <is>
          <t>Story</t>
        </is>
      </c>
      <c r="D321" s="5" t="inlineStr">
        <is>
          <t xml:space="preserve">        Corrections into processed payroll</t>
        </is>
      </c>
      <c r="E321" t="inlineStr">
        <is>
          <t>Later steps · rules from the step 0–2 docs</t>
        </is>
      </c>
      <c r="F321" t="inlineStr">
        <is>
          <t>Step 5 · Payroll-linked history and duties</t>
        </is>
      </c>
      <c r="G321" t="inlineStr">
        <is>
          <t>New</t>
        </is>
      </c>
      <c r="I321">
        <f>IF(H321&lt;&gt;"",H321,G321)</f>
        <v/>
      </c>
      <c r="J321" t="inlineStr">
        <is>
          <t>Step 5</t>
        </is>
      </c>
      <c r="K321" t="n">
        <v>5</v>
      </c>
      <c r="L321" t="n">
        <v>1</v>
      </c>
      <c r="M321" s="5" t="inlineStr">
        <is>
          <t>As a payroll admin, I want past corrections that touch paid months to come to me and flow as arrears so that issued payslips never change.</t>
        </is>
      </c>
      <c r="N321" s="5" t="inlineStr">
        <is>
          <t>• Given a change reaching a processed payroll, when sent, then a Payroll Admin approval step is added (YX-HIS-12).
• Given the correction is approved, when the next run happens, then arrears or recoveries are computed per month with the reason (YX-HIS-08, YX-ORG-10).
• Given issued payslips, when a correction applies, then they are never altered (YX-HIS-08).</t>
        </is>
      </c>
      <c r="O321" s="5" t="inlineStr">
        <is>
          <t>YX-HIS-12, YX-HIS-08, YX-ORG-10</t>
        </is>
      </c>
      <c r="P321" t="inlineStr">
        <is>
          <t>P06 §4.5, P06 Q4, deferred D-034</t>
        </is>
      </c>
      <c r="Q321" t="inlineStr"/>
      <c r="R321" s="5" t="inlineStr"/>
    </row>
    <row r="322">
      <c r="A322" t="inlineStr">
        <is>
          <t>US-A-151</t>
        </is>
      </c>
      <c r="B322" t="n">
        <v>712</v>
      </c>
      <c r="C322" t="inlineStr">
        <is>
          <t>Story</t>
        </is>
      </c>
      <c r="D322" s="5" t="inlineStr">
        <is>
          <t xml:space="preserve">        Payroll runs freeze their inputs</t>
        </is>
      </c>
      <c r="E322" t="inlineStr">
        <is>
          <t>Later steps · rules from the step 0–2 docs</t>
        </is>
      </c>
      <c r="F322" t="inlineStr">
        <is>
          <t>Step 5 · Payroll-linked history and duties</t>
        </is>
      </c>
      <c r="G322" t="inlineStr">
        <is>
          <t>New</t>
        </is>
      </c>
      <c r="I322">
        <f>IF(H322&lt;&gt;"",H322,G322)</f>
        <v/>
      </c>
      <c r="J322" t="inlineStr">
        <is>
          <t>Step 5</t>
        </is>
      </c>
      <c r="K322" t="n">
        <v>3</v>
      </c>
      <c r="L322" t="n">
        <v>1</v>
      </c>
      <c r="M322" s="5" t="inlineStr">
        <is>
          <t>As a payroll admin, I want each run to store the inputs it used so that any payslip can be reproduced later.</t>
        </is>
      </c>
      <c r="N322" s="5" t="inlineStr">
        <is>
          <t>• Given a payroll run, when computed, then the as-on result and segments per employee are stored with the rule-pack version (YX-HIS-09).
• Given a later correction, when a past payslip is reproduced, then it matches the issued one (YX-HIS-09).
• Given the frozen inputs, when an auditor opens a payslip, then the rule-pack version used is shown (YX-HIS-09).</t>
        </is>
      </c>
      <c r="O322" s="5" t="inlineStr">
        <is>
          <t>YX-HIS-09</t>
        </is>
      </c>
      <c r="P322" t="inlineStr">
        <is>
          <t>P06 §4.7</t>
        </is>
      </c>
      <c r="Q322" t="inlineStr"/>
      <c r="R322" s="5" t="inlineStr"/>
    </row>
    <row r="323">
      <c r="A323" t="inlineStr">
        <is>
          <t>US-A-152</t>
        </is>
      </c>
      <c r="B323" t="n">
        <v>713</v>
      </c>
      <c r="C323" t="inlineStr">
        <is>
          <t>Story</t>
        </is>
      </c>
      <c r="D323" s="5" t="inlineStr">
        <is>
          <t xml:space="preserve">        Mid-period change policy</t>
        </is>
      </c>
      <c r="E323" t="inlineStr">
        <is>
          <t>Later steps · rules from the step 0–2 docs</t>
        </is>
      </c>
      <c r="F323" t="inlineStr">
        <is>
          <t>Step 5 · Payroll-linked history and duties</t>
        </is>
      </c>
      <c r="G323" t="inlineStr">
        <is>
          <t>New</t>
        </is>
      </c>
      <c r="I323">
        <f>IF(H323&lt;&gt;"",H323,G323)</f>
        <v/>
      </c>
      <c r="J323" t="inlineStr">
        <is>
          <t>Step 5</t>
        </is>
      </c>
      <c r="K323" t="n">
        <v>3</v>
      </c>
      <c r="L323" t="n">
        <v>1</v>
      </c>
      <c r="M323" s="5" t="inlineStr">
        <is>
          <t>As a payroll admin, I want to choose how a mid-month change is split so that pay follows our policy.</t>
        </is>
      </c>
      <c r="N323" s="5" t="inlineStr">
        <is>
          <t>• Given a change type, when the company picks segments, cut-off day N or next month + arrears, then payroll follows it (YX-HIS-13).
• Given statutory items, when computed, then they use the legal basis whatever the policy (YX-HIS-13).
• Given a salary revision on 15 Sep with segments, when September runs, then two segments are paid (YX-HIS-13).</t>
        </is>
      </c>
      <c r="O323" s="5" t="inlineStr">
        <is>
          <t>YX-HIS-13</t>
        </is>
      </c>
      <c r="P323" t="inlineStr">
        <is>
          <t>P06 §4.6, P06 Q6</t>
        </is>
      </c>
      <c r="Q323" t="inlineStr"/>
      <c r="R323" s="5" t="inlineStr"/>
    </row>
    <row r="324">
      <c r="A324" t="inlineStr">
        <is>
          <t>US-A-153</t>
        </is>
      </c>
      <c r="B324" t="n">
        <v>714</v>
      </c>
      <c r="C324" t="inlineStr">
        <is>
          <t>Story</t>
        </is>
      </c>
      <c r="D324" s="5" t="inlineStr">
        <is>
          <t xml:space="preserve">        Statutory defaults per employment type</t>
        </is>
      </c>
      <c r="E324" t="inlineStr">
        <is>
          <t>Later steps · rules from the step 0–2 docs</t>
        </is>
      </c>
      <c r="F324" t="inlineStr">
        <is>
          <t>Step 5 · Payroll-linked history and duties</t>
        </is>
      </c>
      <c r="G324" t="inlineStr">
        <is>
          <t>New</t>
        </is>
      </c>
      <c r="I324">
        <f>IF(H324&lt;&gt;"",H324,G324)</f>
        <v/>
      </c>
      <c r="J324" t="inlineStr">
        <is>
          <t>Step 5</t>
        </is>
      </c>
      <c r="K324" t="n">
        <v>5</v>
      </c>
      <c r="L324" t="n">
        <v>1</v>
      </c>
      <c r="M324" s="5" t="inlineStr">
        <is>
          <t>As a payroll admin, I want PF, ESI, PT, LWF, bonus and gratuity defaults to come from the employment type so that statutory treatment is right from day one.</t>
        </is>
      </c>
      <c r="N324" s="5" t="inlineStr">
        <is>
          <t>• Given an employment-type category, when an employee joins, then default applicability comes from P07 data, never code (YX-ORG-20).
• Given a default the law leaves open, when the company overrides it, then it is allowed and stored as a dated flag (YX-ORG-20).
• Given a statute the law makes mandatory or excluded, when someone overrides it, then it is blocked (YX-ORG-20).</t>
        </is>
      </c>
      <c r="O324" s="5" t="inlineStr">
        <is>
          <t>YX-ORG-20</t>
        </is>
      </c>
      <c r="P324" t="inlineStr">
        <is>
          <t>P01 §4.3, P07, deferred D-023</t>
        </is>
      </c>
      <c r="Q324" t="inlineStr"/>
      <c r="R324" s="5" t="inlineStr"/>
    </row>
    <row r="325">
      <c r="A325" t="inlineStr">
        <is>
          <t>US-A-154</t>
        </is>
      </c>
      <c r="B325" t="n">
        <v>715</v>
      </c>
      <c r="C325" t="inlineStr">
        <is>
          <t>Story</t>
        </is>
      </c>
      <c r="D325" s="5" t="inlineStr">
        <is>
          <t xml:space="preserve">        Payroll maker and checker are different people</t>
        </is>
      </c>
      <c r="E325" t="inlineStr">
        <is>
          <t>Later steps · rules from the step 0–2 docs</t>
        </is>
      </c>
      <c r="F325" t="inlineStr">
        <is>
          <t>Step 5 · Payroll-linked history and duties</t>
        </is>
      </c>
      <c r="G325" t="inlineStr">
        <is>
          <t>New</t>
        </is>
      </c>
      <c r="I325">
        <f>IF(H325&lt;&gt;"",H325,G325)</f>
        <v/>
      </c>
      <c r="J325" t="inlineStr">
        <is>
          <t>Step 5</t>
        </is>
      </c>
      <c r="K325" t="n">
        <v>3</v>
      </c>
      <c r="L325" t="n">
        <v>1</v>
      </c>
      <c r="M325" s="5" t="inlineStr">
        <is>
          <t>As a company admin, I want payroll runs, bank files and statutory payments approved by someone other than the preparer so that fraud is hard.</t>
        </is>
      </c>
      <c r="N325" s="5" t="inlineStr">
        <is>
          <t>• Given two or more approvers for an entity, when the preparer tries to approve, then the button is disabled with a reason (YX-SEC-12).
• Given only one eligible user, when they self-approve, then a reason is required and the System Admin is notified (YX-SEC-12).
• Given the approval, when done, then step-up is asked (YX-IAM-02).</t>
        </is>
      </c>
      <c r="O325" s="5" t="inlineStr">
        <is>
          <t>YX-SEC-12, YX-IAM-02</t>
        </is>
      </c>
      <c r="P325" t="inlineStr">
        <is>
          <t>P02 Q6</t>
        </is>
      </c>
      <c r="Q325" t="inlineStr"/>
      <c r="R325" s="5" t="inlineStr"/>
    </row>
    <row r="326">
      <c r="A326" t="inlineStr">
        <is>
          <t>US-A-155</t>
        </is>
      </c>
      <c r="B326" t="n">
        <v>716</v>
      </c>
      <c r="C326" t="inlineStr">
        <is>
          <t>Story</t>
        </is>
      </c>
      <c r="D326" s="5" t="inlineStr">
        <is>
          <t xml:space="preserve">        Fast bank fix after a returned salary</t>
        </is>
      </c>
      <c r="E326" t="inlineStr">
        <is>
          <t>Later steps · rules from the step 0–2 docs</t>
        </is>
      </c>
      <c r="F326" t="inlineStr">
        <is>
          <t>Step 5 · Payroll-linked history and duties</t>
        </is>
      </c>
      <c r="G326" t="inlineStr">
        <is>
          <t>New</t>
        </is>
      </c>
      <c r="I326">
        <f>IF(H326&lt;&gt;"",H326,G326)</f>
        <v/>
      </c>
      <c r="J326" t="inlineStr">
        <is>
          <t>Step 5</t>
        </is>
      </c>
      <c r="K326" t="n">
        <v>2</v>
      </c>
      <c r="L326" t="n">
        <v>2</v>
      </c>
      <c r="M326" s="5" t="inlineStr">
        <is>
          <t>As a payroll admin, I want a returned salary re-paid quickly to a corrected account so that the employee isn't left without pay.</t>
        </is>
      </c>
      <c r="N326" s="5" t="inlineStr">
        <is>
          <t>• Given a returned payment, when a new account is approved by a checker other than the maker and a penny drop succeeds, then the cooling period is waived (YX-SEC-25).
• Given the fast fix, when applied, then the employee and old contact are still notified (YX-SEC-25).
• Given the maker approves their own entry or the penny drop fails, when tried, then the normal cooling period applies (YX-SEC-25, YX-SEC-13).</t>
        </is>
      </c>
      <c r="O326" s="5" t="inlineStr">
        <is>
          <t>YX-SEC-25, YX-SEC-13</t>
        </is>
      </c>
      <c r="P326" t="inlineStr">
        <is>
          <t>P02 §4.5</t>
        </is>
      </c>
      <c r="Q326" t="inlineStr">
        <is>
          <t>US-A-118</t>
        </is>
      </c>
      <c r="R326" s="5" t="inlineStr"/>
    </row>
    <row r="327">
      <c r="A327" t="inlineStr">
        <is>
          <t>US-A-156</t>
        </is>
      </c>
      <c r="B327" t="n">
        <v>717</v>
      </c>
      <c r="C327" t="inlineStr">
        <is>
          <t>Story</t>
        </is>
      </c>
      <c r="D327" s="5" t="inlineStr">
        <is>
          <t xml:space="preserve">        Employees see only their own rows in statutory registers</t>
        </is>
      </c>
      <c r="E327" t="inlineStr">
        <is>
          <t>Later steps · rules from the step 0–2 docs</t>
        </is>
      </c>
      <c r="F327" t="inlineStr">
        <is>
          <t>Step 5 · Payroll-linked history and duties</t>
        </is>
      </c>
      <c r="G327" t="inlineStr">
        <is>
          <t>New</t>
        </is>
      </c>
      <c r="I327">
        <f>IF(H327&lt;&gt;"",H327,G327)</f>
        <v/>
      </c>
      <c r="J327" t="inlineStr">
        <is>
          <t>Step 5</t>
        </is>
      </c>
      <c r="K327" t="n">
        <v>2</v>
      </c>
      <c r="L327" t="n">
        <v>1</v>
      </c>
      <c r="M327" s="5" t="inlineStr">
        <is>
          <t>As an employee, I want PF, ESI and tax registers to show only my row so that colleagues' data stays private.</t>
        </is>
      </c>
      <c r="N327" s="5" t="inlineStr">
        <is>
          <t>• Given an employee-role user, when they open a PF or ESI register, then only their own row shows (YX-SEC-16).
• Given an HR Executive, when they open it, then identifiers are masked (YX-SEC-16, YX-SEC-07).
• Given an employee guesses another row id in the API, when they call it, then nothing is returned (YX-SEC-16, YX-SEC-05).</t>
        </is>
      </c>
      <c r="O327" s="5" t="inlineStr">
        <is>
          <t>YX-SEC-16, YX-SEC-07, YX-SEC-05</t>
        </is>
      </c>
      <c r="P327" t="inlineStr">
        <is>
          <t>P02 §9</t>
        </is>
      </c>
      <c r="Q327" t="inlineStr"/>
      <c r="R327" s="5" t="inlineStr"/>
    </row>
    <row r="328">
      <c r="A328" t="inlineStr">
        <is>
          <t>US-A-157</t>
        </is>
      </c>
      <c r="B328" t="n">
        <v>718</v>
      </c>
      <c r="C328" t="inlineStr">
        <is>
          <t>Story</t>
        </is>
      </c>
      <c r="D328" s="5" t="inlineStr">
        <is>
          <t xml:space="preserve">        Inter-entity transfer continuity checklist</t>
        </is>
      </c>
      <c r="E328" t="inlineStr">
        <is>
          <t>Later steps · rules from the step 0–2 docs</t>
        </is>
      </c>
      <c r="F328" t="inlineStr">
        <is>
          <t>Step 5 · Payroll-linked history and duties</t>
        </is>
      </c>
      <c r="G328" t="inlineStr">
        <is>
          <t>New</t>
        </is>
      </c>
      <c r="I328">
        <f>IF(H328&lt;&gt;"",H328,G328)</f>
        <v/>
      </c>
      <c r="J328" t="inlineStr">
        <is>
          <t>Step 5</t>
        </is>
      </c>
      <c r="K328" t="n">
        <v>3</v>
      </c>
      <c r="L328" t="n">
        <v>2</v>
      </c>
      <c r="M328" s="5" t="inlineStr">
        <is>
          <t>As a payroll admin, I want a checklist on every inter-entity transfer so that UAN, ESI, Form 12B, loans and leave move correctly.</t>
        </is>
      </c>
      <c r="N328" s="5" t="inlineStr">
        <is>
          <t>• Given an inter-entity transfer, when approved, then a checklist opens: UAN, ESI IP, Form 12B, declarations, loans, leave ledger, gratuity (YX-EMP-08).
• Given open items, when payroll pre-flight runs, then they are shown (YX-EMP-08).
• Given gratuity paid at transfer, when final exit comes, then the exemption already used is carried so the lifetime cap holds (YX-EMP-08).</t>
        </is>
      </c>
      <c r="O328" s="5" t="inlineStr">
        <is>
          <t>YX-EMP-08</t>
        </is>
      </c>
      <c r="P328" t="inlineStr">
        <is>
          <t>M01 §3.3</t>
        </is>
      </c>
      <c r="Q328" t="inlineStr">
        <is>
          <t>US-A-106</t>
        </is>
      </c>
      <c r="R328" s="5" t="inlineStr"/>
    </row>
    <row r="329">
      <c r="A329" s="9" t="inlineStr">
        <is>
          <t>FT-A-044</t>
        </is>
      </c>
      <c r="B329" s="9" t="n">
        <v>760</v>
      </c>
      <c r="C329" s="9" t="inlineStr">
        <is>
          <t>Feature</t>
        </is>
      </c>
      <c r="D329" s="10" t="inlineStr">
        <is>
          <t xml:space="preserve">    Before the pilot · security programme</t>
        </is>
      </c>
      <c r="E329" s="9" t="inlineStr">
        <is>
          <t>Later steps · rules from the step 0–2 docs</t>
        </is>
      </c>
      <c r="F329" s="9" t="inlineStr">
        <is>
          <t>Before the pilot · security programme</t>
        </is>
      </c>
      <c r="G329" s="9" t="inlineStr">
        <is>
          <t>New</t>
        </is>
      </c>
      <c r="H329" s="9" t="n"/>
      <c r="I329" s="9">
        <f>IF(H329&lt;&gt;"",H329,G329)</f>
        <v/>
      </c>
      <c r="J329" s="9" t="inlineStr">
        <is>
          <t>Before pilot</t>
        </is>
      </c>
      <c r="K329" s="9" t="n"/>
      <c r="L329" s="9" t="n">
        <v>1</v>
      </c>
      <c r="M329" s="10" t="inlineStr"/>
      <c r="N329" s="10" t="inlineStr"/>
      <c r="O329" s="10" t="inlineStr"/>
      <c r="P329" s="9" t="inlineStr">
        <is>
          <t>P12 §5, P12 §8</t>
        </is>
      </c>
      <c r="Q329" s="9" t="inlineStr"/>
      <c r="R329" s="10" t="inlineStr"/>
      <c r="S329" s="9" t="n"/>
    </row>
    <row r="330">
      <c r="A330" t="inlineStr">
        <is>
          <t>US-A-160</t>
        </is>
      </c>
      <c r="B330" t="n">
        <v>761</v>
      </c>
      <c r="C330" t="inlineStr">
        <is>
          <t>Story</t>
        </is>
      </c>
      <c r="D330" s="5" t="inlineStr">
        <is>
          <t xml:space="preserve">        Per-company data keys and encryption</t>
        </is>
      </c>
      <c r="E330" t="inlineStr">
        <is>
          <t>Later steps · rules from the step 0–2 docs</t>
        </is>
      </c>
      <c r="F330" t="inlineStr">
        <is>
          <t>Before the pilot · security programme</t>
        </is>
      </c>
      <c r="G330" t="inlineStr">
        <is>
          <t>New</t>
        </is>
      </c>
      <c r="I330">
        <f>IF(H330&lt;&gt;"",H330,G330)</f>
        <v/>
      </c>
      <c r="J330" t="inlineStr">
        <is>
          <t>Before pilot</t>
        </is>
      </c>
      <c r="K330" t="n">
        <v>8</v>
      </c>
      <c r="L330" t="n">
        <v>1</v>
      </c>
      <c r="M330" s="5" t="inlineStr">
        <is>
          <t>As a company admin, I want our Confidential and Special data encrypted with our own data key so that a leak of one company's key never exposes others.</t>
        </is>
      </c>
      <c r="N330" s="5" t="inlineStr">
        <is>
          <t>• Given Confidential and Special fields, when stored, then they use envelope encryption with a per-company key from a cloud KMS (YX-SECOPS-01).
• Given keys, when a year passes, then they are rotated (YX-SECOPS-01).
• Given any connection, when made, then TLS 1.2+ with HSTS is used (YX-SECOPS-01).</t>
        </is>
      </c>
      <c r="O330" s="5" t="inlineStr">
        <is>
          <t>YX-SECOPS-01</t>
        </is>
      </c>
      <c r="P330" t="inlineStr">
        <is>
          <t>P12 Q3</t>
        </is>
      </c>
      <c r="Q330" t="inlineStr"/>
      <c r="R330" s="5" t="inlineStr"/>
    </row>
    <row r="331">
      <c r="A331" t="inlineStr">
        <is>
          <t>US-A-161</t>
        </is>
      </c>
      <c r="B331" t="n">
        <v>762</v>
      </c>
      <c r="C331" t="inlineStr">
        <is>
          <t>Story</t>
        </is>
      </c>
      <c r="D331" s="5" t="inlineStr">
        <is>
          <t xml:space="preserve">        Bring your own key (BYOK)</t>
        </is>
      </c>
      <c r="E331" t="inlineStr">
        <is>
          <t>Later steps · rules from the step 0–2 docs</t>
        </is>
      </c>
      <c r="F331" t="inlineStr">
        <is>
          <t>Before the pilot · security programme</t>
        </is>
      </c>
      <c r="G331" t="inlineStr">
        <is>
          <t>New</t>
        </is>
      </c>
      <c r="I331">
        <f>IF(H331&lt;&gt;"",H331,G331)</f>
        <v/>
      </c>
      <c r="J331" t="inlineStr">
        <is>
          <t>Before pilot</t>
        </is>
      </c>
      <c r="K331" t="n">
        <v>5</v>
      </c>
      <c r="L331" t="n">
        <v>2</v>
      </c>
      <c r="M331" s="5" t="inlineStr">
        <is>
          <t>As a company admin, I want to connect our own key in Azure, AWS or Google so that we control access to our data.</t>
        </is>
      </c>
      <c r="N331" s="5" t="inlineStr">
        <is>
          <t>• Given a customer-managed key, when connected, then YukthiX gets wrap / unwrap only and data keys are wrapped by it (YX-SECOPS-11).
• Given connecting or rotating, when started, then the screen explains that revoking makes data unreadable and asks for typed confirmation (YX-SECOPS-11).
• Given key health checks, when access fails, then admins are alerted; every key operation is logged (YX-SECOPS-11).</t>
        </is>
      </c>
      <c r="O331" s="5" t="inlineStr">
        <is>
          <t>YX-SECOPS-11</t>
        </is>
      </c>
      <c r="P331" t="inlineStr">
        <is>
          <t>P12 Q3</t>
        </is>
      </c>
      <c r="Q331" t="inlineStr">
        <is>
          <t>US-A-160</t>
        </is>
      </c>
      <c r="R331" s="5" t="inlineStr"/>
    </row>
    <row r="332">
      <c r="A332" t="inlineStr">
        <is>
          <t>US-A-162</t>
        </is>
      </c>
      <c r="B332" t="n">
        <v>763</v>
      </c>
      <c r="C332" t="inlineStr">
        <is>
          <t>Story</t>
        </is>
      </c>
      <c r="D332" s="5" t="inlineStr">
        <is>
          <t xml:space="preserve">        Deleting a company destroys its keys</t>
        </is>
      </c>
      <c r="E332" t="inlineStr">
        <is>
          <t>Later steps · rules from the step 0–2 docs</t>
        </is>
      </c>
      <c r="F332" t="inlineStr">
        <is>
          <t>Before the pilot · security programme</t>
        </is>
      </c>
      <c r="G332" t="inlineStr">
        <is>
          <t>New</t>
        </is>
      </c>
      <c r="I332">
        <f>IF(H332&lt;&gt;"",H332,G332)</f>
        <v/>
      </c>
      <c r="J332" t="inlineStr">
        <is>
          <t>Before pilot</t>
        </is>
      </c>
      <c r="K332" t="n">
        <v>3</v>
      </c>
      <c r="L332" t="n">
        <v>1</v>
      </c>
      <c r="M332" s="5" t="inlineStr">
        <is>
          <t>As a company admin, I want our data unreadable after we leave so that old backups can't expose us.</t>
        </is>
      </c>
      <c r="N332" s="5" t="inlineStr">
        <is>
          <t>• Given a deleted company, when the grace period ends, then its data keys are destroyed and recorded (YX-SECOPS-02).
• Given an old backup, when restored, then the company's Special fields cannot be decrypted (YX-SECOPS-02).
• Given the key destruction, when done, then a crypto-shredding record is kept with the date (YX-SECOPS-02).</t>
        </is>
      </c>
      <c r="O332" s="5" t="inlineStr">
        <is>
          <t>YX-SECOPS-02</t>
        </is>
      </c>
      <c r="P332" t="inlineStr">
        <is>
          <t>P12 §5, P14</t>
        </is>
      </c>
      <c r="Q332" t="inlineStr">
        <is>
          <t>US-A-160</t>
        </is>
      </c>
      <c r="R332" s="5" t="inlineStr"/>
    </row>
    <row r="333">
      <c r="A333" t="inlineStr">
        <is>
          <t>US-A-163</t>
        </is>
      </c>
      <c r="B333" t="n">
        <v>764</v>
      </c>
      <c r="C333" t="inlineStr">
        <is>
          <t>Story</t>
        </is>
      </c>
      <c r="D333" s="5" t="inlineStr">
        <is>
          <t xml:space="preserve">        Secrets in a secrets manager</t>
        </is>
      </c>
      <c r="E333" t="inlineStr">
        <is>
          <t>Later steps · rules from the step 0–2 docs</t>
        </is>
      </c>
      <c r="F333" t="inlineStr">
        <is>
          <t>Before the pilot · security programme</t>
        </is>
      </c>
      <c r="G333" t="inlineStr">
        <is>
          <t>New</t>
        </is>
      </c>
      <c r="I333">
        <f>IF(H333&lt;&gt;"",H333,G333)</f>
        <v/>
      </c>
      <c r="J333" t="inlineStr">
        <is>
          <t>Before pilot</t>
        </is>
      </c>
      <c r="K333" t="n">
        <v>3</v>
      </c>
      <c r="L333" t="n">
        <v>1</v>
      </c>
      <c r="M333" s="5" t="inlineStr">
        <is>
          <t>As YukthiX staff, I want all secrets in a secrets manager with rotation so that no secret sits in code or images.</t>
        </is>
      </c>
      <c r="N333" s="5" t="inlineStr">
        <is>
          <t>• Given database, API and partner credentials, when deployed, then they come only from the secrets manager (YX-SECOPS-03).
• Given a secret in code, when CI runs gitleaks, then the build fails (YX-SECOPS-03).
• Given the rotation schedule, when due, then secrets are rotated (YX-SECOPS-03).</t>
        </is>
      </c>
      <c r="O333" s="5" t="inlineStr">
        <is>
          <t>YX-SECOPS-03</t>
        </is>
      </c>
      <c r="P333" t="inlineStr">
        <is>
          <t>P12 §5</t>
        </is>
      </c>
      <c r="Q333" t="inlineStr"/>
      <c r="R333" s="5" t="inlineStr"/>
    </row>
    <row r="334">
      <c r="A334" t="inlineStr">
        <is>
          <t>US-A-164</t>
        </is>
      </c>
      <c r="B334" t="n">
        <v>765</v>
      </c>
      <c r="C334" t="inlineStr">
        <is>
          <t>Story</t>
        </is>
      </c>
      <c r="D334" s="5" t="inlineStr">
        <is>
          <t xml:space="preserve">        Secure-development gates in CI</t>
        </is>
      </c>
      <c r="E334" t="inlineStr">
        <is>
          <t>Later steps · rules from the step 0–2 docs</t>
        </is>
      </c>
      <c r="F334" t="inlineStr">
        <is>
          <t>Before the pilot · security programme</t>
        </is>
      </c>
      <c r="G334" t="inlineStr">
        <is>
          <t>New</t>
        </is>
      </c>
      <c r="I334">
        <f>IF(H334&lt;&gt;"",H334,G334)</f>
        <v/>
      </c>
      <c r="J334" t="inlineStr">
        <is>
          <t>Before pilot</t>
        </is>
      </c>
      <c r="K334" t="n">
        <v>5</v>
      </c>
      <c r="L334" t="n">
        <v>1</v>
      </c>
      <c r="M334" s="5" t="inlineStr">
        <is>
          <t>As YukthiX staff, I want CI to block releases with serious findings so that known holes never ship.</t>
        </is>
      </c>
      <c r="N334" s="5" t="inlineStr">
        <is>
          <t>• Given CI, when it runs, then dependency scan, SAST, secret scan, container and IaC scans run and an SBOM is made per release (YX-SECOPS-04).
• Given staging, when a release is prepared, then DAST runs (YX-SECOPS-04).
• Given an open Critical or High finding, when a release is tried, then it is blocked unless formally risk-accepted (YX-SECOPS-04).</t>
        </is>
      </c>
      <c r="O334" s="5" t="inlineStr">
        <is>
          <t>YX-SECOPS-04</t>
        </is>
      </c>
      <c r="P334" t="inlineStr">
        <is>
          <t>P12 Q5</t>
        </is>
      </c>
      <c r="Q334" t="inlineStr"/>
      <c r="R334" s="5" t="inlineStr"/>
    </row>
    <row r="335">
      <c r="A335" t="inlineStr">
        <is>
          <t>US-A-165</t>
        </is>
      </c>
      <c r="B335" t="n">
        <v>766</v>
      </c>
      <c r="C335" t="inlineStr">
        <is>
          <t>Story</t>
        </is>
      </c>
      <c r="D335" s="5" t="inlineStr">
        <is>
          <t xml:space="preserve">        Vulnerability tracker and pen test</t>
        </is>
      </c>
      <c r="E335" t="inlineStr">
        <is>
          <t>Later steps · rules from the step 0–2 docs</t>
        </is>
      </c>
      <c r="F335" t="inlineStr">
        <is>
          <t>Before the pilot · security programme</t>
        </is>
      </c>
      <c r="G335" t="inlineStr">
        <is>
          <t>New</t>
        </is>
      </c>
      <c r="I335">
        <f>IF(H335&lt;&gt;"",H335,G335)</f>
        <v/>
      </c>
      <c r="J335" t="inlineStr">
        <is>
          <t>Before pilot</t>
        </is>
      </c>
      <c r="K335" t="n">
        <v>3</v>
      </c>
      <c r="L335" t="n">
        <v>1</v>
      </c>
      <c r="M335" s="5" t="inlineStr">
        <is>
          <t>As YukthiX staff, I want every finding tracked against an SLA and a pen test before the pilot so that buyers can trust us.</t>
        </is>
      </c>
      <c r="N335" s="5" t="inlineStr">
        <is>
          <t>• Given a finding, when triaged, then its due date follows the SLA: Critical 72 h, High 14 d, Medium 45 d, Low 90 d (YX-SECOPS-05).
• Given the payroll pilot, when it is near, then an independent pen test is done and its findings tracked (YX-SECOPS-06).
• Given a major architecture change, when it ships, then a new pen test is scheduled (YX-SECOPS-06).</t>
        </is>
      </c>
      <c r="O335" s="5" t="inlineStr">
        <is>
          <t>YX-SECOPS-05, YX-SECOPS-06</t>
        </is>
      </c>
      <c r="P335" t="inlineStr">
        <is>
          <t>P12 Q5</t>
        </is>
      </c>
      <c r="Q335" t="inlineStr"/>
      <c r="R335" s="5" t="inlineStr"/>
    </row>
    <row r="336">
      <c r="A336" t="inlineStr">
        <is>
          <t>US-A-166</t>
        </is>
      </c>
      <c r="B336" t="n">
        <v>767</v>
      </c>
      <c r="C336" t="inlineStr">
        <is>
          <t>Story</t>
        </is>
      </c>
      <c r="D336" s="5" t="inlineStr">
        <is>
          <t xml:space="preserve">        Incident response and breach notices</t>
        </is>
      </c>
      <c r="E336" t="inlineStr">
        <is>
          <t>Later steps · rules from the step 0–2 docs</t>
        </is>
      </c>
      <c r="F336" t="inlineStr">
        <is>
          <t>Before the pilot · security programme</t>
        </is>
      </c>
      <c r="G336" t="inlineStr">
        <is>
          <t>New</t>
        </is>
      </c>
      <c r="I336">
        <f>IF(H336&lt;&gt;"",H336,G336)</f>
        <v/>
      </c>
      <c r="J336" t="inlineStr">
        <is>
          <t>Before pilot</t>
        </is>
      </c>
      <c r="K336" t="n">
        <v>3</v>
      </c>
      <c r="L336" t="n">
        <v>1</v>
      </c>
      <c r="M336" s="5" t="inlineStr">
        <is>
          <t>As a company admin, I want YukthiX to tell us fast about any incident that affects us so that we can meet our own duties.</t>
        </is>
      </c>
      <c r="N336" s="5" t="inlineStr">
        <is>
          <t>• Given a written plan with severities and roles, when an incident is found, then CERT-In is told within 6 hours where reportable (YX-SECOPS-07).
• Given an affected company, when the incident is confirmed, then it is told within 24 hours and updated until closed (YX-SECOPS-07).
• Given every incident, when closed, then a post-mortem is written (YX-SECOPS-07).</t>
        </is>
      </c>
      <c r="O336" s="5" t="inlineStr">
        <is>
          <t>YX-SECOPS-07</t>
        </is>
      </c>
      <c r="P336" t="inlineStr">
        <is>
          <t>P12 Q6</t>
        </is>
      </c>
      <c r="Q336" t="inlineStr"/>
      <c r="R336" s="5" t="inlineStr"/>
    </row>
    <row r="337">
      <c r="A337" t="inlineStr">
        <is>
          <t>US-A-167</t>
        </is>
      </c>
      <c r="B337" t="n">
        <v>768</v>
      </c>
      <c r="C337" t="inlineStr">
        <is>
          <t>Story</t>
        </is>
      </c>
      <c r="D337" s="5" t="inlineStr">
        <is>
          <t xml:space="preserve">        One-click breach containment</t>
        </is>
      </c>
      <c r="E337" t="inlineStr">
        <is>
          <t>Later steps · rules from the step 0–2 docs</t>
        </is>
      </c>
      <c r="F337" t="inlineStr">
        <is>
          <t>Before the pilot · security programme</t>
        </is>
      </c>
      <c r="G337" t="inlineStr">
        <is>
          <t>New</t>
        </is>
      </c>
      <c r="I337">
        <f>IF(H337&lt;&gt;"",H337,G337)</f>
        <v/>
      </c>
      <c r="J337" t="inlineStr">
        <is>
          <t>Before pilot</t>
        </is>
      </c>
      <c r="K337" t="n">
        <v>5</v>
      </c>
      <c r="L337" t="n">
        <v>2</v>
      </c>
      <c r="M337" s="5" t="inlineStr">
        <is>
          <t>As a company owner, I want one 'contain' action during a breach so that every session, key and payout is frozen at once.</t>
        </is>
      </c>
      <c r="N337" s="5" t="inlineStr">
        <is>
          <t>• Given 'contain' with a reason and step-up, when used, then sessions, API keys, OAuth and partner grants are revoked and MFA is forced (YX-SECOPS-12).
• Given containment, when someone changes a bank account, runs a bulk export or releases a payout, then it is blocked with a clear message and a banner shows (YX-SECOPS-12).
• Given lifting containment, when done, then it needs a second person and both actions are audited (YX-SECOPS-12).
• Given containment starts, when saved, then the DPDP / CERT-In clock record opens (YX-SECOPS-07).</t>
        </is>
      </c>
      <c r="O337" s="5" t="inlineStr">
        <is>
          <t>YX-SECOPS-12, YX-SECOPS-07</t>
        </is>
      </c>
      <c r="P337" t="inlineStr">
        <is>
          <t>P12 §8b</t>
        </is>
      </c>
      <c r="Q337" t="inlineStr"/>
      <c r="R337" s="5" t="inlineStr"/>
    </row>
    <row r="338">
      <c r="A338" t="inlineStr">
        <is>
          <t>US-A-168</t>
        </is>
      </c>
      <c r="B338" t="n">
        <v>769</v>
      </c>
      <c r="C338" t="inlineStr">
        <is>
          <t>Story</t>
        </is>
      </c>
      <c r="D338" s="5" t="inlineStr">
        <is>
          <t xml:space="preserve">        Sub-processor checks and change notice</t>
        </is>
      </c>
      <c r="E338" t="inlineStr">
        <is>
          <t>Later steps · rules from the step 0–2 docs</t>
        </is>
      </c>
      <c r="F338" t="inlineStr">
        <is>
          <t>Before the pilot · security programme</t>
        </is>
      </c>
      <c r="G338" t="inlineStr">
        <is>
          <t>New</t>
        </is>
      </c>
      <c r="I338">
        <f>IF(H338&lt;&gt;"",H338,G338)</f>
        <v/>
      </c>
      <c r="J338" t="inlineStr">
        <is>
          <t>Before pilot</t>
        </is>
      </c>
      <c r="K338" t="n">
        <v>2</v>
      </c>
      <c r="L338" t="n">
        <v>2</v>
      </c>
      <c r="M338" s="5" t="inlineStr">
        <is>
          <t>As a company admin, I want to know which sub-processors handle our data and get notice of changes so that we can object in time.</t>
        </is>
      </c>
      <c r="N338" s="5" t="inlineStr">
        <is>
          <t>• Given a new sub-processor, when onboarded, then it is security-assessed first and yearly after (YX-SECOPS-09).
• Given the sub-processor list, when published, then it is public (YX-SECOPS-09).
• Given a change, when planned, then companies are told 30 days ahead (YX-SECOPS-09).</t>
        </is>
      </c>
      <c r="O338" s="5" t="inlineStr">
        <is>
          <t>YX-SECOPS-09</t>
        </is>
      </c>
      <c r="P338" t="inlineStr">
        <is>
          <t>P12 §5, APX-G</t>
        </is>
      </c>
      <c r="Q338" t="inlineStr"/>
      <c r="R338" s="5" t="inlineStr"/>
    </row>
    <row r="339">
      <c r="A339" t="inlineStr">
        <is>
          <t>US-A-169</t>
        </is>
      </c>
      <c r="B339" t="n">
        <v>770</v>
      </c>
      <c r="C339" t="inlineStr">
        <is>
          <t>Story</t>
        </is>
      </c>
      <c r="D339" s="5" t="inlineStr">
        <is>
          <t xml:space="preserve">        ISO 27001 controls with continuous evidence</t>
        </is>
      </c>
      <c r="E339" t="inlineStr">
        <is>
          <t>Later steps · rules from the step 0–2 docs</t>
        </is>
      </c>
      <c r="F339" t="inlineStr">
        <is>
          <t>Before the pilot · security programme</t>
        </is>
      </c>
      <c r="G339" t="inlineStr">
        <is>
          <t>New</t>
        </is>
      </c>
      <c r="I339">
        <f>IF(H339&lt;&gt;"",H339,G339)</f>
        <v/>
      </c>
      <c r="J339" t="inlineStr">
        <is>
          <t>Before pilot</t>
        </is>
      </c>
      <c r="K339" t="n">
        <v>3</v>
      </c>
      <c r="L339" t="n">
        <v>2</v>
      </c>
      <c r="M339" s="5" t="inlineStr">
        <is>
          <t>As the founder, I want controls mapped once and evidence collected all the time so that ISO 27001 and SOC 2 audits are easy.</t>
        </is>
      </c>
      <c r="N339" s="5" t="inlineStr">
        <is>
          <t>• Given the control set, when mapped, then each control points to its evidence source (YX-SECOPS-10).
• Given the compliance tool, when it runs, then evidence is collected continuously, not per audit (YX-SECOPS-10).
• Given public launch, when reached, then ISO 27001 certification is in place (YX-SECOPS-10).</t>
        </is>
      </c>
      <c r="O339" s="5" t="inlineStr">
        <is>
          <t>YX-SECOPS-10</t>
        </is>
      </c>
      <c r="P339" t="inlineStr">
        <is>
          <t>P12 Q4</t>
        </is>
      </c>
      <c r="Q339" t="inlineStr"/>
      <c r="R339" s="5" t="inlineStr"/>
    </row>
    <row r="340">
      <c r="A340" t="inlineStr">
        <is>
          <t>US-A-170</t>
        </is>
      </c>
      <c r="B340" t="n">
        <v>771</v>
      </c>
      <c r="C340" t="inlineStr">
        <is>
          <t>Story</t>
        </is>
      </c>
      <c r="D340" s="5" t="inlineStr">
        <is>
          <t xml:space="preserve">        SCIM provisioning and fast deprovisioning</t>
        </is>
      </c>
      <c r="E340" t="inlineStr">
        <is>
          <t>Later steps · rules from the step 0–2 docs</t>
        </is>
      </c>
      <c r="F340" t="inlineStr">
        <is>
          <t>Before the pilot · security programme</t>
        </is>
      </c>
      <c r="G340" t="inlineStr">
        <is>
          <t>New</t>
        </is>
      </c>
      <c r="I340">
        <f>IF(H340&lt;&gt;"",H340,G340)</f>
        <v/>
      </c>
      <c r="J340" t="inlineStr">
        <is>
          <t>Before pilot</t>
        </is>
      </c>
      <c r="K340" t="n">
        <v>5</v>
      </c>
      <c r="L340" t="n">
        <v>1</v>
      </c>
      <c r="M340" s="5" t="inlineStr">
        <is>
          <t>As a company admin, I want our identity provider to create and disable users so that leavers lose access within minutes.</t>
        </is>
      </c>
      <c r="N340" s="5" t="inlineStr">
        <is>
          <t>• Given a SCIM token for Entra, Okta or Google, when users sync, then they are created and updated (YX-IAM-05).
• Given the IdP disables a user, when SCIM sends active=false, then all their sessions end within 5 minutes (YX-IAM-05).
• Given a linked employee, when disabled, then HR's exit checklist is flagged, not auto-exited (YX-IAM-05).
• Given a provider is disabled, when saved, then sessions opened through it end (YX-IAM-05).</t>
        </is>
      </c>
      <c r="O340" s="5" t="inlineStr">
        <is>
          <t>YX-IAM-05</t>
        </is>
      </c>
      <c r="P340" t="inlineStr">
        <is>
          <t>P12 Q2, deferred D-085, deferred D-086</t>
        </is>
      </c>
      <c r="Q340" t="inlineStr">
        <is>
          <t>US-A-028</t>
        </is>
      </c>
      <c r="R340" s="5" t="inlineStr"/>
    </row>
    <row r="341">
      <c r="A341" s="9" t="inlineStr">
        <is>
          <t>FT-A-045</t>
        </is>
      </c>
      <c r="B341" s="9" t="n">
        <v>780</v>
      </c>
      <c r="C341" s="9" t="inlineStr">
        <is>
          <t>Feature</t>
        </is>
      </c>
      <c r="D341" s="10" t="inlineStr">
        <is>
          <t xml:space="preserve">    Privacy programme · DPDP readiness</t>
        </is>
      </c>
      <c r="E341" s="9" t="inlineStr">
        <is>
          <t>Later steps · rules from the step 0–2 docs</t>
        </is>
      </c>
      <c r="F341" s="9" t="inlineStr">
        <is>
          <t>Privacy programme · DPDP readiness</t>
        </is>
      </c>
      <c r="G341" s="9" t="inlineStr">
        <is>
          <t>New</t>
        </is>
      </c>
      <c r="H341" s="9" t="n"/>
      <c r="I341" s="9">
        <f>IF(H341&lt;&gt;"",H341,G341)</f>
        <v/>
      </c>
      <c r="J341" s="9" t="inlineStr">
        <is>
          <t>Before pilot</t>
        </is>
      </c>
      <c r="K341" s="9" t="n"/>
      <c r="L341" s="9" t="n">
        <v>1</v>
      </c>
      <c r="M341" s="10" t="inlineStr"/>
      <c r="N341" s="10" t="inlineStr"/>
      <c r="O341" s="10" t="inlineStr"/>
      <c r="P341" s="9" t="inlineStr">
        <is>
          <t>P02 §6, APX-G</t>
        </is>
      </c>
      <c r="Q341" s="9" t="inlineStr"/>
      <c r="R341" s="10" t="inlineStr"/>
      <c r="S341" s="9" t="n"/>
    </row>
    <row r="342">
      <c r="A342" t="inlineStr">
        <is>
          <t>US-A-175</t>
        </is>
      </c>
      <c r="B342" t="n">
        <v>781</v>
      </c>
      <c r="C342" t="inlineStr">
        <is>
          <t>Story</t>
        </is>
      </c>
      <c r="D342" s="5" t="inlineStr">
        <is>
          <t xml:space="preserve">        Versioned legal documents and acceptances</t>
        </is>
      </c>
      <c r="E342" t="inlineStr">
        <is>
          <t>Later steps · rules from the step 0–2 docs</t>
        </is>
      </c>
      <c r="F342" t="inlineStr">
        <is>
          <t>Privacy programme · DPDP readiness</t>
        </is>
      </c>
      <c r="G342" t="inlineStr">
        <is>
          <t>New</t>
        </is>
      </c>
      <c r="I342">
        <f>IF(H342&lt;&gt;"",H342,G342)</f>
        <v/>
      </c>
      <c r="J342" t="inlineStr">
        <is>
          <t>Before pilot</t>
        </is>
      </c>
      <c r="K342" t="n">
        <v>3</v>
      </c>
      <c r="L342" t="n">
        <v>1</v>
      </c>
      <c r="M342" s="5" t="inlineStr">
        <is>
          <t>As a company admin, I want terms and notices versioned with every acceptance recorded so that we can prove consent.</t>
        </is>
      </c>
      <c r="N342" s="5" t="inlineStr">
        <is>
          <t>• Given a legal document, when published, then it is versioned per locale (YX-SEC-28).
• Given an acceptance or withdrawal, when made, then an append-only row records who, version, when, IP and device (YX-SEC-28).
• Given a material change, when published, then users must re-accept before continued use (YX-SEC-28).
• Given privacy.notice.publish, when a user lacks it, then they cannot publish the company notice (YX-SEC-28).</t>
        </is>
      </c>
      <c r="O342" s="5" t="inlineStr">
        <is>
          <t>YX-SEC-28</t>
        </is>
      </c>
      <c r="P342" t="inlineStr">
        <is>
          <t>P02 §6, APX-G §3</t>
        </is>
      </c>
      <c r="Q342" t="inlineStr"/>
      <c r="R342" s="5" t="inlineStr"/>
    </row>
    <row r="343">
      <c r="A343" t="inlineStr">
        <is>
          <t>US-A-176</t>
        </is>
      </c>
      <c r="B343" t="n">
        <v>782</v>
      </c>
      <c r="C343" t="inlineStr">
        <is>
          <t>Story</t>
        </is>
      </c>
      <c r="D343" s="5" t="inlineStr">
        <is>
          <t xml:space="preserve">        Privacy officer with a public contact</t>
        </is>
      </c>
      <c r="E343" t="inlineStr">
        <is>
          <t>Later steps · rules from the step 0–2 docs</t>
        </is>
      </c>
      <c r="F343" t="inlineStr">
        <is>
          <t>Privacy programme · DPDP readiness</t>
        </is>
      </c>
      <c r="G343" t="inlineStr">
        <is>
          <t>New</t>
        </is>
      </c>
      <c r="I343">
        <f>IF(H343&lt;&gt;"",H343,G343)</f>
        <v/>
      </c>
      <c r="J343" t="inlineStr">
        <is>
          <t>Before pilot</t>
        </is>
      </c>
      <c r="K343" t="n">
        <v>2</v>
      </c>
      <c r="L343" t="n">
        <v>1</v>
      </c>
      <c r="M343" s="5" t="inlineStr">
        <is>
          <t>As a company admin, I want to name our privacy officer so that people know whom to contact.</t>
        </is>
      </c>
      <c r="N343" s="5" t="inlineStr">
        <is>
          <t>• Given no privacy-officer contact, when someone publishes a privacy notice, then it is refused (YX-SEC-29).
• Given the contact, when a notice is published, then it is printed in the notice and the contact page (YX-SEC-29).
• Given the Privacy officer role template, when granted, then it holds the privacy request, register and breach permissions (YX-SEC-29).</t>
        </is>
      </c>
      <c r="O343" s="5" t="inlineStr">
        <is>
          <t>YX-SEC-29</t>
        </is>
      </c>
      <c r="P343" t="inlineStr">
        <is>
          <t>P02 §6.1</t>
        </is>
      </c>
      <c r="Q343" t="inlineStr">
        <is>
          <t>US-A-175</t>
        </is>
      </c>
      <c r="R343" s="5" t="inlineStr"/>
    </row>
    <row r="344">
      <c r="A344" t="inlineStr">
        <is>
          <t>US-A-177</t>
        </is>
      </c>
      <c r="B344" t="n">
        <v>783</v>
      </c>
      <c r="C344" t="inlineStr">
        <is>
          <t>Story</t>
        </is>
      </c>
      <c r="D344" s="5" t="inlineStr">
        <is>
          <t xml:space="preserve">        Data-subject request tracker</t>
        </is>
      </c>
      <c r="E344" t="inlineStr">
        <is>
          <t>Later steps · rules from the step 0–2 docs</t>
        </is>
      </c>
      <c r="F344" t="inlineStr">
        <is>
          <t>Privacy programme · DPDP readiness</t>
        </is>
      </c>
      <c r="G344" t="inlineStr">
        <is>
          <t>New</t>
        </is>
      </c>
      <c r="I344">
        <f>IF(H344&lt;&gt;"",H344,G344)</f>
        <v/>
      </c>
      <c r="J344" t="inlineStr">
        <is>
          <t>Before pilot</t>
        </is>
      </c>
      <c r="K344" t="n">
        <v>5</v>
      </c>
      <c r="L344" t="n">
        <v>1</v>
      </c>
      <c r="M344" s="5" t="inlineStr">
        <is>
          <t>As a privacy officer, I want every access, correction and erasure request tracked with a due date so that we always answer in time.</t>
        </is>
      </c>
      <c r="N344" s="5" t="inlineStr">
        <is>
          <t>• Given a request, when logged, then identity is verified and an SLA due date within the legal maximum is set (YX-SEC-30).
• Given the due date nears, when not closed, then reminders and escalation are sent (YX-SEC-30).
• Given an erasure, when done, then data not under retention is deleted or anonymised and the reply lists what was kept and why (YX-SEC-30).</t>
        </is>
      </c>
      <c r="O344" s="5" t="inlineStr">
        <is>
          <t>YX-SEC-30</t>
        </is>
      </c>
      <c r="P344" t="inlineStr">
        <is>
          <t>P02 §6.1</t>
        </is>
      </c>
      <c r="Q344" t="inlineStr">
        <is>
          <t>US-A-176</t>
        </is>
      </c>
      <c r="R344" s="5" t="inlineStr"/>
    </row>
    <row r="345">
      <c r="A345" t="inlineStr">
        <is>
          <t>US-A-178</t>
        </is>
      </c>
      <c r="B345" t="n">
        <v>784</v>
      </c>
      <c r="C345" t="inlineStr">
        <is>
          <t>Story</t>
        </is>
      </c>
      <c r="D345" s="5" t="inlineStr">
        <is>
          <t xml:space="preserve">        Requests and consent per person across all roles</t>
        </is>
      </c>
      <c r="E345" t="inlineStr">
        <is>
          <t>Later steps · rules from the step 0–2 docs</t>
        </is>
      </c>
      <c r="F345" t="inlineStr">
        <is>
          <t>Privacy programme · DPDP readiness</t>
        </is>
      </c>
      <c r="G345" t="inlineStr">
        <is>
          <t>New</t>
        </is>
      </c>
      <c r="I345">
        <f>IF(H345&lt;&gt;"",H345,G345)</f>
        <v/>
      </c>
      <c r="J345" t="inlineStr">
        <is>
          <t>Before pilot</t>
        </is>
      </c>
      <c r="K345" t="n">
        <v>5</v>
      </c>
      <c r="L345" t="n">
        <v>1</v>
      </c>
      <c r="M345" s="5" t="inlineStr">
        <is>
          <t>As an ex-employee who is now a candidate, I want one access request to cover everything about me so that I don't ask each part separately.</t>
        </is>
      </c>
      <c r="N345" s="5" t="inlineStr">
        <is>
          <t>• Given an access request, when run, then the export covers every role of the person and lists them (YX-SEC-36).
• Given an erasure, when decided, then each role is checked against its own retention; kept records keep the name and PAN they need (YX-SEC-36).
• Given a consent withdrawal, when made, then it applies to every role using that purpose (YX-SEC-36).</t>
        </is>
      </c>
      <c r="O345" s="5" t="inlineStr">
        <is>
          <t>YX-SEC-36</t>
        </is>
      </c>
      <c r="P345" t="inlineStr">
        <is>
          <t>P02 §5, P01 §4.5a</t>
        </is>
      </c>
      <c r="Q345" t="inlineStr">
        <is>
          <t>US-A-177, US-A-090</t>
        </is>
      </c>
      <c r="R345" s="5" t="inlineStr"/>
    </row>
    <row r="346">
      <c r="A346" t="inlineStr">
        <is>
          <t>US-A-179</t>
        </is>
      </c>
      <c r="B346" t="n">
        <v>785</v>
      </c>
      <c r="C346" t="inlineStr">
        <is>
          <t>Story</t>
        </is>
      </c>
      <c r="D346" s="5" t="inlineStr">
        <is>
          <t xml:space="preserve">        DPIA register, record of processing and retention schedule</t>
        </is>
      </c>
      <c r="E346" t="inlineStr">
        <is>
          <t>Later steps · rules from the step 0–2 docs</t>
        </is>
      </c>
      <c r="F346" t="inlineStr">
        <is>
          <t>Privacy programme · DPDP readiness</t>
        </is>
      </c>
      <c r="G346" t="inlineStr">
        <is>
          <t>New</t>
        </is>
      </c>
      <c r="I346">
        <f>IF(H346&lt;&gt;"",H346,G346)</f>
        <v/>
      </c>
      <c r="J346" t="inlineStr">
        <is>
          <t>Before pilot</t>
        </is>
      </c>
      <c r="K346" t="n">
        <v>5</v>
      </c>
      <c r="L346" t="n">
        <v>2</v>
      </c>
      <c r="M346" s="5" t="inlineStr">
        <is>
          <t>As a privacy officer, I want registers that fill themselves from enabled features so that we stay ready for the regulator.</t>
        </is>
      </c>
      <c r="N346" s="5" t="inlineStr">
        <is>
          <t>• Given a higher-risk feature, when enabled, then the user is prompted to adopt a starter DPIA (YX-SEC-31).
• Given enabled modules, when the record of processing is opened, then it is seeded and exportable (YX-SEC-31).
• Given retention values, when edited, then they stay within the legal minimum and range and the public page is regenerated (YX-SEC-31).</t>
        </is>
      </c>
      <c r="O346" s="5" t="inlineStr">
        <is>
          <t>YX-SEC-31</t>
        </is>
      </c>
      <c r="P346" t="inlineStr">
        <is>
          <t>P02 §6.1</t>
        </is>
      </c>
      <c r="Q346" t="inlineStr"/>
      <c r="R346" s="5" t="inlineStr"/>
    </row>
    <row r="347">
      <c r="A347" t="inlineStr">
        <is>
          <t>US-A-180</t>
        </is>
      </c>
      <c r="B347" t="n">
        <v>786</v>
      </c>
      <c r="C347" t="inlineStr">
        <is>
          <t>Story</t>
        </is>
      </c>
      <c r="D347" s="5" t="inlineStr">
        <is>
          <t xml:space="preserve">        Breach records with legal clocks</t>
        </is>
      </c>
      <c r="E347" t="inlineStr">
        <is>
          <t>Later steps · rules from the step 0–2 docs</t>
        </is>
      </c>
      <c r="F347" t="inlineStr">
        <is>
          <t>Privacy programme · DPDP readiness</t>
        </is>
      </c>
      <c r="G347" t="inlineStr">
        <is>
          <t>New</t>
        </is>
      </c>
      <c r="I347">
        <f>IF(H347&lt;&gt;"",H347,G347)</f>
        <v/>
      </c>
      <c r="J347" t="inlineStr">
        <is>
          <t>Before pilot</t>
        </is>
      </c>
      <c r="K347" t="n">
        <v>3</v>
      </c>
      <c r="L347" t="n">
        <v>1</v>
      </c>
      <c r="M347" s="5" t="inlineStr">
        <is>
          <t>As a privacy officer, I want a breach record to start the legal clocks so that we never miss a deadline.</t>
        </is>
      </c>
      <c r="N347" s="5" t="inlineStr">
        <is>
          <t>• Given a breach recorded at 10:00, when saved, then Board and affected-person notices are due at once and a detailed Board report within 72 h (YX-SEC-32).
• Given a YukthiX incident affecting the company, when marked, then a linked breach record is created in the company (YX-SEC-32).
• Given GDPR applies, when recorded, then the 72 h authority clock is added (YX-SEC-32).</t>
        </is>
      </c>
      <c r="O347" s="5" t="inlineStr">
        <is>
          <t>YX-SEC-32</t>
        </is>
      </c>
      <c r="P347" t="inlineStr">
        <is>
          <t>P02 §6.1</t>
        </is>
      </c>
      <c r="Q347" t="inlineStr"/>
      <c r="R347" s="5" t="inlineStr"/>
    </row>
    <row r="348">
      <c r="A348" t="inlineStr">
        <is>
          <t>US-A-181</t>
        </is>
      </c>
      <c r="B348" t="n">
        <v>787</v>
      </c>
      <c r="C348" t="inlineStr">
        <is>
          <t>Story</t>
        </is>
      </c>
      <c r="D348" s="5" t="inlineStr">
        <is>
          <t xml:space="preserve">        DPDP Rules dates and consent-manager adapter</t>
        </is>
      </c>
      <c r="E348" t="inlineStr">
        <is>
          <t>Later steps · rules from the step 0–2 docs</t>
        </is>
      </c>
      <c r="F348" t="inlineStr">
        <is>
          <t>Privacy programme · DPDP readiness</t>
        </is>
      </c>
      <c r="G348" t="inlineStr">
        <is>
          <t>New</t>
        </is>
      </c>
      <c r="I348">
        <f>IF(H348&lt;&gt;"",H348,G348)</f>
        <v/>
      </c>
      <c r="J348" t="inlineStr">
        <is>
          <t>Before pilot</t>
        </is>
      </c>
      <c r="K348" t="n">
        <v>5</v>
      </c>
      <c r="L348" t="n">
        <v>1</v>
      </c>
      <c r="M348" s="5" t="inlineStr">
        <is>
          <t>As a privacy officer, I want each DPDP duty to show the date it applies from so that we know what is live.</t>
        </is>
      </c>
      <c r="N348" s="5" t="inlineStr">
        <is>
          <t>• Given DPDP milestones, when stored, then they are dated rule data (YX-SEC-34).
• Given Nov 2026, when it arrives, then the consent-manager adapter can accept and report consents (YX-SEC-34).
• Given 13 May 2027, when it arrives, then every main duty is live (YX-SEC-34).</t>
        </is>
      </c>
      <c r="O348" s="5" t="inlineStr">
        <is>
          <t>YX-SEC-34</t>
        </is>
      </c>
      <c r="P348" t="inlineStr">
        <is>
          <t>P02 §6.2</t>
        </is>
      </c>
      <c r="Q348" t="inlineStr"/>
      <c r="R348" s="5" t="inlineStr"/>
    </row>
    <row r="349">
      <c r="A349" t="inlineStr">
        <is>
          <t>US-A-182</t>
        </is>
      </c>
      <c r="B349" t="n">
        <v>788</v>
      </c>
      <c r="C349" t="inlineStr">
        <is>
          <t>Story</t>
        </is>
      </c>
      <c r="D349" s="5" t="inlineStr">
        <is>
          <t xml:space="preserve">        Plain-language notices, one-year logs and erasure notice</t>
        </is>
      </c>
      <c r="E349" t="inlineStr">
        <is>
          <t>Later steps · rules from the step 0–2 docs</t>
        </is>
      </c>
      <c r="F349" t="inlineStr">
        <is>
          <t>Privacy programme · DPDP readiness</t>
        </is>
      </c>
      <c r="G349" t="inlineStr">
        <is>
          <t>New</t>
        </is>
      </c>
      <c r="I349">
        <f>IF(H349&lt;&gt;"",H349,G349)</f>
        <v/>
      </c>
      <c r="J349" t="inlineStr">
        <is>
          <t>Before pilot</t>
        </is>
      </c>
      <c r="K349" t="n">
        <v>3</v>
      </c>
      <c r="L349" t="n">
        <v>2</v>
      </c>
      <c r="M349" s="5" t="inlineStr">
        <is>
          <t>As an employee, I want a privacy notice that lists each purpose in plain words so that I understand how my data is used.</t>
        </is>
      </c>
      <c r="N349" s="5" t="inlineStr">
        <is>
          <t>• Given a notice, when generated, then it is itemised per purpose with data items, withdrawal, rights and complaint route (YX-SEC-35).
• Given processing and traffic logs, when kept, then they stay at least 1 year (YX-SEC-35).
• Given an inactive-user erasure under the Rules' schedule, when due, then a 48-hour notice is sent first (YX-SEC-35).</t>
        </is>
      </c>
      <c r="O349" s="5" t="inlineStr">
        <is>
          <t>YX-SEC-35</t>
        </is>
      </c>
      <c r="P349" t="inlineStr">
        <is>
          <t>P02 §6.2</t>
        </is>
      </c>
      <c r="Q349" t="inlineStr">
        <is>
          <t>US-A-175</t>
        </is>
      </c>
      <c r="R349" s="5" t="inlineStr"/>
    </row>
    <row r="350">
      <c r="A350" s="9" t="inlineStr">
        <is>
          <t>FT-A-046</t>
        </is>
      </c>
      <c r="B350" s="9" t="n">
        <v>810</v>
      </c>
      <c r="C350" s="9" t="inlineStr">
        <is>
          <t>Feature</t>
        </is>
      </c>
      <c r="D350" s="10" t="inlineStr">
        <is>
          <t xml:space="preserve">    Step 6+ · Lifecycle, modules and global readiness</t>
        </is>
      </c>
      <c r="E350" s="9" t="inlineStr">
        <is>
          <t>Later steps · rules from the step 0–2 docs</t>
        </is>
      </c>
      <c r="F350" s="9" t="inlineStr">
        <is>
          <t>Step 6+ · Lifecycle, modules and global readiness</t>
        </is>
      </c>
      <c r="G350" s="9" t="inlineStr">
        <is>
          <t>New</t>
        </is>
      </c>
      <c r="H350" s="9" t="n"/>
      <c r="I350" s="9">
        <f>IF(H350&lt;&gt;"",H350,G350)</f>
        <v/>
      </c>
      <c r="J350" s="9" t="inlineStr">
        <is>
          <t>Step 6+</t>
        </is>
      </c>
      <c r="K350" s="9" t="n"/>
      <c r="L350" s="9" t="n">
        <v>1</v>
      </c>
      <c r="M350" s="10" t="inlineStr"/>
      <c r="N350" s="10" t="inlineStr"/>
      <c r="O350" s="10" t="inlineStr"/>
      <c r="P350" s="9" t="inlineStr">
        <is>
          <t>P01, P02, P06, M01</t>
        </is>
      </c>
      <c r="Q350" s="9" t="inlineStr"/>
      <c r="R350" s="10" t="inlineStr"/>
      <c r="S350" s="9" t="n"/>
    </row>
    <row r="351">
      <c r="A351" t="inlineStr">
        <is>
          <t>US-A-185</t>
        </is>
      </c>
      <c r="B351" t="n">
        <v>811</v>
      </c>
      <c r="C351" t="inlineStr">
        <is>
          <t>Story</t>
        </is>
      </c>
      <c r="D351" s="5" t="inlineStr">
        <is>
          <t xml:space="preserve">        Rehire on the same employee record</t>
        </is>
      </c>
      <c r="E351" t="inlineStr">
        <is>
          <t>Later steps · rules from the step 0–2 docs</t>
        </is>
      </c>
      <c r="F351" t="inlineStr">
        <is>
          <t>Step 6+ · Lifecycle, modules and global readiness</t>
        </is>
      </c>
      <c r="G351" t="inlineStr">
        <is>
          <t>New</t>
        </is>
      </c>
      <c r="I351">
        <f>IF(H351&lt;&gt;"",H351,G351)</f>
        <v/>
      </c>
      <c r="J351" t="inlineStr">
        <is>
          <t>Step 6+</t>
        </is>
      </c>
      <c r="K351" t="n">
        <v>3</v>
      </c>
      <c r="L351" t="n">
        <v>2</v>
      </c>
      <c r="M351" s="5" t="inlineStr">
        <is>
          <t>As an HR admin, I want a returning employee to get a new employment on their old record so that history and PAN stay one.</t>
        </is>
      </c>
      <c r="N351" s="5" t="inlineStr">
        <is>
          <t>• Given an ex-employee, when rehired, then a new employment with rehire_of is opened on the existing record (YX-ORG-19).
• Given the five rehire options, when the form opens, then company defaults are pre-filled and can be changed (YX-ORG-19).
• Given the options, when previewed, then the impact shows before confirmation (YX-ORG-19).</t>
        </is>
      </c>
      <c r="O351" s="5" t="inlineStr">
        <is>
          <t>YX-ORG-19</t>
        </is>
      </c>
      <c r="P351" t="inlineStr">
        <is>
          <t>P01 D3</t>
        </is>
      </c>
      <c r="Q351" t="inlineStr">
        <is>
          <t>US-A-106</t>
        </is>
      </c>
      <c r="R351" s="5" t="inlineStr"/>
    </row>
    <row r="352">
      <c r="A352" t="inlineStr">
        <is>
          <t>US-A-186</t>
        </is>
      </c>
      <c r="B352" t="n">
        <v>812</v>
      </c>
      <c r="C352" t="inlineStr">
        <is>
          <t>Story</t>
        </is>
      </c>
      <c r="D352" s="5" t="inlineStr">
        <is>
          <t xml:space="preserve">        Contract end, extension, conversion and retirement changes</t>
        </is>
      </c>
      <c r="E352" t="inlineStr">
        <is>
          <t>Later steps · rules from the step 0–2 docs</t>
        </is>
      </c>
      <c r="F352" t="inlineStr">
        <is>
          <t>Step 6+ · Lifecycle, modules and global readiness</t>
        </is>
      </c>
      <c r="G352" t="inlineStr">
        <is>
          <t>New</t>
        </is>
      </c>
      <c r="I352">
        <f>IF(H352&lt;&gt;"",H352,G352)</f>
        <v/>
      </c>
      <c r="J352" t="inlineStr">
        <is>
          <t>Step 6+</t>
        </is>
      </c>
      <c r="K352" t="n">
        <v>3</v>
      </c>
      <c r="L352" t="n">
        <v>2</v>
      </c>
      <c r="M352" s="5" t="inlineStr">
        <is>
          <t>As an HR admin, I want contract ends and retirement extensions as dated changes so that people never fall off by mistake.</t>
        </is>
      </c>
      <c r="N352" s="5" t="inlineStr">
        <is>
          <t>• Given fixed-term, intern or apprentice employment, when created, then contract_end_on is required (YX-ORG-20).
• Given an extension or conversion to permanent, when approved, then it is a dated change that moves the end date or type (YX-HIS-15).
• Given a conversion, when effective, then the new type's statutory defaults apply from that date (YX-HIS-15, YX-ORG-20).
• Given retirement extension or re-employment, when made, then it is a dated change (YX-HIS-15).</t>
        </is>
      </c>
      <c r="O352" s="5" t="inlineStr">
        <is>
          <t>YX-HIS-15, YX-ORG-20</t>
        </is>
      </c>
      <c r="P352" t="inlineStr">
        <is>
          <t>P06 §5, P01 E6</t>
        </is>
      </c>
      <c r="Q352" t="inlineStr"/>
      <c r="R352" s="5" t="inlineStr"/>
    </row>
    <row r="353">
      <c r="A353" t="inlineStr">
        <is>
          <t>US-A-187</t>
        </is>
      </c>
      <c r="B353" t="n">
        <v>813</v>
      </c>
      <c r="C353" t="inlineStr">
        <is>
          <t>Story</t>
        </is>
      </c>
      <c r="D353" s="5" t="inlineStr">
        <is>
          <t xml:space="preserve">        Long absence as a dated status</t>
        </is>
      </c>
      <c r="E353" t="inlineStr">
        <is>
          <t>Later steps · rules from the step 0–2 docs</t>
        </is>
      </c>
      <c r="F353" t="inlineStr">
        <is>
          <t>Step 6+ · Lifecycle, modules and global readiness</t>
        </is>
      </c>
      <c r="G353" t="inlineStr">
        <is>
          <t>New</t>
        </is>
      </c>
      <c r="I353">
        <f>IF(H353&lt;&gt;"",H353,G353)</f>
        <v/>
      </c>
      <c r="J353" t="inlineStr">
        <is>
          <t>Step 6+</t>
        </is>
      </c>
      <c r="K353" t="n">
        <v>3</v>
      </c>
      <c r="L353" t="n">
        <v>2</v>
      </c>
      <c r="M353" s="5" t="inlineStr">
        <is>
          <t>As an HR admin, I want sabbatical, maternity and long leave as a status with an expected return so that pay and tasks follow.</t>
        </is>
      </c>
      <c r="N353" s="5" t="inlineStr">
        <is>
          <t>• Given a long absence, when started, then a dated status with expected return is created by a change (YX-EMP-06, YX-HIS-14).
• Given the return, when recorded, then return-to-work tasks fire (YX-EMP-06).
• Given the impact preview, when shown, then it lists expected attendance, accrual pause and zero-wage months (YX-HIS-14).</t>
        </is>
      </c>
      <c r="O353" s="5" t="inlineStr">
        <is>
          <t>YX-EMP-06, YX-HIS-14</t>
        </is>
      </c>
      <c r="P353" t="inlineStr">
        <is>
          <t>M01 §3.3, P06 §4.1</t>
        </is>
      </c>
      <c r="Q353" t="inlineStr"/>
      <c r="R353" s="5" t="inlineStr"/>
    </row>
    <row r="354">
      <c r="A354" t="inlineStr">
        <is>
          <t>US-A-188</t>
        </is>
      </c>
      <c r="B354" t="n">
        <v>814</v>
      </c>
      <c r="C354" t="inlineStr">
        <is>
          <t>Story</t>
        </is>
      </c>
      <c r="D354" s="5" t="inlineStr">
        <is>
          <t xml:space="preserve">        Bulk restructure: merge or close an entity</t>
        </is>
      </c>
      <c r="E354" t="inlineStr">
        <is>
          <t>Later steps · rules from the step 0–2 docs</t>
        </is>
      </c>
      <c r="F354" t="inlineStr">
        <is>
          <t>Step 6+ · Lifecycle, modules and global readiness</t>
        </is>
      </c>
      <c r="G354" t="inlineStr">
        <is>
          <t>New</t>
        </is>
      </c>
      <c r="I354">
        <f>IF(H354&lt;&gt;"",H354,G354)</f>
        <v/>
      </c>
      <c r="J354" t="inlineStr">
        <is>
          <t>Step 6+</t>
        </is>
      </c>
      <c r="K354" t="n">
        <v>5</v>
      </c>
      <c r="L354" t="n">
        <v>3</v>
      </c>
      <c r="M354" s="5" t="inlineStr">
        <is>
          <t>As an HR admin, I want one wizard to move everyone when we merge or close an entity so that a restructure is one approval.</t>
        </is>
      </c>
      <c r="N354" s="5" t="inlineStr">
        <is>
          <t>• Given a merge or close, when the wizard runs, then all open employments move with YX-ORG-17 options as editable defaults (YX-ORG-22, YX-EMP-07).
• Given the batch, when previewed, then there is one impact preview and one approval (YX-ORG-22).
• Given the closing entity, when it still has an open employment or an unlocked last payroll, then it cannot be closed (YX-EMP-07, YX-ORG-04).</t>
        </is>
      </c>
      <c r="O354" s="5" t="inlineStr">
        <is>
          <t>YX-ORG-22, YX-EMP-07, YX-ORG-04, YX-ORG-17</t>
        </is>
      </c>
      <c r="P354" t="inlineStr">
        <is>
          <t>P01 E8, M01 §3.3</t>
        </is>
      </c>
      <c r="Q354" t="inlineStr">
        <is>
          <t>US-A-106</t>
        </is>
      </c>
      <c r="R354" s="5" t="inlineStr"/>
    </row>
    <row r="355">
      <c r="A355" t="inlineStr">
        <is>
          <t>US-A-189</t>
        </is>
      </c>
      <c r="B355" t="n">
        <v>815</v>
      </c>
      <c r="C355" t="inlineStr">
        <is>
          <t>Story</t>
        </is>
      </c>
      <c r="D355" s="5" t="inlineStr">
        <is>
          <t xml:space="preserve">        Annual health check-up</t>
        </is>
      </c>
      <c r="E355" t="inlineStr">
        <is>
          <t>Later steps · rules from the step 0–2 docs</t>
        </is>
      </c>
      <c r="F355" t="inlineStr">
        <is>
          <t>Step 6+ · Lifecycle, modules and global readiness</t>
        </is>
      </c>
      <c r="G355" t="inlineStr">
        <is>
          <t>New</t>
        </is>
      </c>
      <c r="I355">
        <f>IF(H355&lt;&gt;"",H355,G355)</f>
        <v/>
      </c>
      <c r="J355" t="inlineStr">
        <is>
          <t>Step 6+</t>
        </is>
      </c>
      <c r="K355" t="n">
        <v>3</v>
      </c>
      <c r="L355" t="n">
        <v>2</v>
      </c>
      <c r="M355" s="5" t="inlineStr">
        <is>
          <t>As an HR admin, I want eligible workers listed each year for a free health check-up so that we follow the OSH Code.</t>
        </is>
      </c>
      <c r="N355" s="5" t="inlineStr">
        <is>
          <t>• Given P07 IN.OSH rules, when the yearly job runs, then eligible workers per establishment are listed and get a scheduling task (YX-EMP-13).
• Given outcomes and reports, when stored, then they are Special class; the manager sees only scheduled / done (YX-EMP-13).
• Given the check-up, when paid, then nothing is charged to the employee (YX-EMP-13).</t>
        </is>
      </c>
      <c r="O355" s="5" t="inlineStr">
        <is>
          <t>YX-EMP-13</t>
        </is>
      </c>
      <c r="P355" t="inlineStr">
        <is>
          <t>M01 §3.1</t>
        </is>
      </c>
      <c r="Q355" t="inlineStr"/>
      <c r="R355" s="5" t="inlineStr"/>
    </row>
    <row r="356">
      <c r="A356" t="inlineStr">
        <is>
          <t>US-A-190</t>
        </is>
      </c>
      <c r="B356" t="n">
        <v>816</v>
      </c>
      <c r="C356" t="inlineStr">
        <is>
          <t>Story</t>
        </is>
      </c>
      <c r="D356" s="5" t="inlineStr">
        <is>
          <t xml:space="preserve">        External login catalogue</t>
        </is>
      </c>
      <c r="E356" t="inlineStr">
        <is>
          <t>Later steps · rules from the step 0–2 docs</t>
        </is>
      </c>
      <c r="F356" t="inlineStr">
        <is>
          <t>Step 6+ · Lifecycle, modules and global readiness</t>
        </is>
      </c>
      <c r="G356" t="inlineStr">
        <is>
          <t>New</t>
        </is>
      </c>
      <c r="I356">
        <f>IF(H356&lt;&gt;"",H356,G356)</f>
        <v/>
      </c>
      <c r="J356" t="inlineStr">
        <is>
          <t>Step 6+</t>
        </is>
      </c>
      <c r="K356" t="n">
        <v>5</v>
      </c>
      <c r="L356" t="n">
        <v>1</v>
      </c>
      <c r="M356" s="5" t="inlineStr">
        <is>
          <t>As a company admin, I want every outside login (candidate, alumni, trainer, vendor) to follow one catalogue so that none gets more than its own records.</t>
        </is>
      </c>
      <c r="N356" s="5" t="inlineStr">
        <is>
          <t>• Given an external login, when created, then it uses a catalogued template with sign-in method, assurance, data classes, portal and end trigger (YX-SEC-33).
• Given its grant, when checked, then it covers named records only and is not a billed seat (YX-SEC-21).
• Given the end trigger, when reached, then the login expires; every sign-in and view is audited (YX-SEC-21).
• Given templates reaching others' Special data, when used, then AAL2 is required (YX-SEC-33).</t>
        </is>
      </c>
      <c r="O356" s="5" t="inlineStr">
        <is>
          <t>YX-SEC-21, YX-SEC-33</t>
        </is>
      </c>
      <c r="P356" t="inlineStr">
        <is>
          <t>P02 §4.7</t>
        </is>
      </c>
      <c r="Q356" t="inlineStr">
        <is>
          <t>US-A-021</t>
        </is>
      </c>
      <c r="R356" s="5" t="inlineStr"/>
    </row>
    <row r="357">
      <c r="A357" t="inlineStr">
        <is>
          <t>US-A-191</t>
        </is>
      </c>
      <c r="B357" t="n">
        <v>817</v>
      </c>
      <c r="C357" t="inlineStr">
        <is>
          <t>Story</t>
        </is>
      </c>
      <c r="D357" s="5" t="inlineStr">
        <is>
          <t xml:space="preserve">        API keys as service grants</t>
        </is>
      </c>
      <c r="E357" t="inlineStr">
        <is>
          <t>Later steps · rules from the step 0–2 docs</t>
        </is>
      </c>
      <c r="F357" t="inlineStr">
        <is>
          <t>Step 6+ · Lifecycle, modules and global readiness</t>
        </is>
      </c>
      <c r="G357" t="inlineStr">
        <is>
          <t>New</t>
        </is>
      </c>
      <c r="I357">
        <f>IF(H357&lt;&gt;"",H357,G357)</f>
        <v/>
      </c>
      <c r="J357" t="inlineStr">
        <is>
          <t>Step 6+</t>
        </is>
      </c>
      <c r="K357" t="n">
        <v>3</v>
      </c>
      <c r="L357" t="n">
        <v>2</v>
      </c>
      <c r="M357" s="5" t="inlineStr">
        <is>
          <t>As a company admin, I want each API key limited to a scope and field classes so that an integration reads only what it needs.</t>
        </is>
      </c>
      <c r="N357" s="5" t="inlineStr">
        <is>
          <t>• Given a key, when created, then it has a scope and an explicit list of allowed field classes (YX-SEC-22).
• Given a field class not listed, when the API answers, then that field is redacted (YX-SEC-22).
• Given each call, when made, then it is audited under the key's name; keys expire and can be revoked (YX-SEC-22).</t>
        </is>
      </c>
      <c r="O357" s="5" t="inlineStr">
        <is>
          <t>YX-SEC-22</t>
        </is>
      </c>
      <c r="P357" t="inlineStr">
        <is>
          <t>P02 §4.8, P11</t>
        </is>
      </c>
      <c r="Q357" t="inlineStr">
        <is>
          <t>US-A-115</t>
        </is>
      </c>
      <c r="R357" s="5" t="inlineStr"/>
    </row>
    <row r="358">
      <c r="A358" t="inlineStr">
        <is>
          <t>US-A-192</t>
        </is>
      </c>
      <c r="B358" t="n">
        <v>818</v>
      </c>
      <c r="C358" t="inlineStr">
        <is>
          <t>Story</t>
        </is>
      </c>
      <c r="D358" s="5" t="inlineStr">
        <is>
          <t xml:space="preserve">        Test takers see only their own attempts</t>
        </is>
      </c>
      <c r="E358" t="inlineStr">
        <is>
          <t>Later steps · rules from the step 0–2 docs</t>
        </is>
      </c>
      <c r="F358" t="inlineStr">
        <is>
          <t>Step 6+ · Lifecycle, modules and global readiness</t>
        </is>
      </c>
      <c r="G358" t="inlineStr">
        <is>
          <t>New</t>
        </is>
      </c>
      <c r="I358">
        <f>IF(H358&lt;&gt;"",H358,G358)</f>
        <v/>
      </c>
      <c r="J358" t="inlineStr">
        <is>
          <t>Step 6+</t>
        </is>
      </c>
      <c r="K358" t="n">
        <v>2</v>
      </c>
      <c r="L358" t="n">
        <v>2</v>
      </c>
      <c r="M358" s="5" t="inlineStr">
        <is>
          <t>As an employee taking a training test, I want only me to see my attempts and results so that my scores stay private.</t>
        </is>
      </c>
      <c r="N358" s="5" t="inlineStr">
        <is>
          <t>• Given a training or skills test, when I open results, then I see only my own attempts (YX-SEC-26).
• Given evaluators and L&amp;D, when they open attempts, then only those in their P02 scope show (YX-SEC-26).
• Given test results, when classed, then they are Confidential (YX-SEC-26).</t>
        </is>
      </c>
      <c r="O358" s="5" t="inlineStr">
        <is>
          <t>YX-SEC-26</t>
        </is>
      </c>
      <c r="P358" t="inlineStr">
        <is>
          <t>P02 §4.3</t>
        </is>
      </c>
      <c r="Q358" t="inlineStr"/>
      <c r="R358" s="5" t="inlineStr"/>
    </row>
    <row r="359">
      <c r="A359" t="inlineStr">
        <is>
          <t>US-A-193</t>
        </is>
      </c>
      <c r="B359" t="n">
        <v>819</v>
      </c>
      <c r="C359" t="inlineStr">
        <is>
          <t>Story</t>
        </is>
      </c>
      <c r="D359" s="5" t="inlineStr">
        <is>
          <t xml:space="preserve">        New manager reads the current review cycle</t>
        </is>
      </c>
      <c r="E359" t="inlineStr">
        <is>
          <t>Later steps · rules from the step 0–2 docs</t>
        </is>
      </c>
      <c r="F359" t="inlineStr">
        <is>
          <t>Step 6+ · Lifecycle, modules and global readiness</t>
        </is>
      </c>
      <c r="G359" t="inlineStr">
        <is>
          <t>New</t>
        </is>
      </c>
      <c r="I359">
        <f>IF(H359&lt;&gt;"",H359,G359)</f>
        <v/>
      </c>
      <c r="J359" t="inlineStr">
        <is>
          <t>Step 6+</t>
        </is>
      </c>
      <c r="K359" t="n">
        <v>2</v>
      </c>
      <c r="L359" t="n">
        <v>2</v>
      </c>
      <c r="M359" s="5" t="inlineStr">
        <is>
          <t>As a new manager mid-cycle, I want to read my new report's current-cycle reviews and goals so that I can rate them fairly.</t>
        </is>
      </c>
      <c r="N359" s="5" t="inlineStr">
        <is>
          <t>• Given a manager change during an open cycle, when the new manager opens the review, then the whole cycle's review, goals, check-ins and PIP are readable (YX-SEC-24).
• Given the old manager's private 1-on-1 notes, when the new manager looks, then they are not shown (YX-SEC-24).
• Given the cycle closes, when the next cycle starts, then normal period-bound visibility applies again (YX-SEC-06).</t>
        </is>
      </c>
      <c r="O359" s="5" t="inlineStr">
        <is>
          <t>YX-SEC-24, YX-SEC-06</t>
        </is>
      </c>
      <c r="P359" t="inlineStr">
        <is>
          <t>P02 §4.3, M06</t>
        </is>
      </c>
      <c r="Q359" t="inlineStr"/>
      <c r="R359" s="5" t="inlineStr"/>
    </row>
    <row r="360">
      <c r="A360" t="inlineStr">
        <is>
          <t>US-A-194</t>
        </is>
      </c>
      <c r="B360" t="n">
        <v>820</v>
      </c>
      <c r="C360" t="inlineStr">
        <is>
          <t>Story</t>
        </is>
      </c>
      <c r="D360" s="5" t="inlineStr">
        <is>
          <t xml:space="preserve">        Positions</t>
        </is>
      </c>
      <c r="E360" t="inlineStr">
        <is>
          <t>Later steps · rules from the step 0–2 docs</t>
        </is>
      </c>
      <c r="F360" t="inlineStr">
        <is>
          <t>Step 6+ · Lifecycle, modules and global readiness</t>
        </is>
      </c>
      <c r="G360" t="inlineStr">
        <is>
          <t>New</t>
        </is>
      </c>
      <c r="I360">
        <f>IF(H360&lt;&gt;"",H360,G360)</f>
        <v/>
      </c>
      <c r="J360" t="inlineStr">
        <is>
          <t>Step 6+</t>
        </is>
      </c>
      <c r="K360" t="n">
        <v>8</v>
      </c>
      <c r="L360" t="n">
        <v>2</v>
      </c>
      <c r="M360" s="5" t="inlineStr">
        <is>
          <t>As an HR admin, I want positions separate from people so that vacancies and budgets are visible.</t>
        </is>
      </c>
      <c r="N360" s="5" t="inlineStr">
        <is>
          <t>• Given position-based mode, when an assignment is saved, then it must reference a position of the same entity (YX-EMP-09).
• Given a position, when incumbents' FTE would exceed its FTE, then it is refused (YX-EMP-09).
• Given job-based mode (starter), when used, then positions are optional and nothing is blocked (YX-EMP-09).
• Given a vacant position, when 'Open requisition' is clicked, then an M10 requisition is linked to it (YX-EMP-09).</t>
        </is>
      </c>
      <c r="O360" s="5" t="inlineStr">
        <is>
          <t>YX-EMP-09</t>
        </is>
      </c>
      <c r="P360" t="inlineStr">
        <is>
          <t>M01 §3.9, deferred D-024</t>
        </is>
      </c>
      <c r="Q360" t="inlineStr"/>
      <c r="R360" s="5" t="inlineStr"/>
    </row>
    <row r="361">
      <c r="A361" t="inlineStr">
        <is>
          <t>US-A-195</t>
        </is>
      </c>
      <c r="B361" t="n">
        <v>821</v>
      </c>
      <c r="C361" t="inlineStr">
        <is>
          <t>Story</t>
        </is>
      </c>
      <c r="D361" s="5" t="inlineStr">
        <is>
          <t xml:space="preserve">        Workforce-planning scenarios</t>
        </is>
      </c>
      <c r="E361" t="inlineStr">
        <is>
          <t>Later steps · rules from the step 0–2 docs</t>
        </is>
      </c>
      <c r="F361" t="inlineStr">
        <is>
          <t>Step 6+ · Lifecycle, modules and global readiness</t>
        </is>
      </c>
      <c r="G361" t="inlineStr">
        <is>
          <t>New</t>
        </is>
      </c>
      <c r="I361">
        <f>IF(H361&lt;&gt;"",H361,G361)</f>
        <v/>
      </c>
      <c r="J361" t="inlineStr">
        <is>
          <t>Step 6+</t>
        </is>
      </c>
      <c r="K361" t="n">
        <v>8</v>
      </c>
      <c r="L361" t="n">
        <v>3</v>
      </c>
      <c r="M361" s="5" t="inlineStr">
        <is>
          <t>As an HR head, I want to try hiring and cost scenarios without touching live data so that we can plan the year.</t>
        </is>
      </c>
      <c r="N361" s="5" t="inlineStr">
        <is>
          <t>• Given a scenario, when edited, then live data never changes (YX-EMP-10).
• Given the forecast, when computed, then it uses headcount, cost, attrition rate per department and backfill lag (YX-EMP-10).
• Given an approved scenario, when approved, then it creates positions or plan lines; scenarios are Confidential (YX-EMP-10).</t>
        </is>
      </c>
      <c r="O361" s="5" t="inlineStr">
        <is>
          <t>YX-EMP-10</t>
        </is>
      </c>
      <c r="P361" t="inlineStr">
        <is>
          <t>M01 §3.9</t>
        </is>
      </c>
      <c r="Q361" t="inlineStr">
        <is>
          <t>US-A-194</t>
        </is>
      </c>
      <c r="R361" s="5" t="inlineStr"/>
    </row>
    <row r="362">
      <c r="A362" t="inlineStr">
        <is>
          <t>US-A-196</t>
        </is>
      </c>
      <c r="B362" t="n">
        <v>822</v>
      </c>
      <c r="C362" t="inlineStr">
        <is>
          <t>Story</t>
        </is>
      </c>
      <c r="D362" s="5" t="inlineStr">
        <is>
          <t xml:space="preserve">        Show career paths and IDPs from M06 on the record</t>
        </is>
      </c>
      <c r="E362" t="inlineStr">
        <is>
          <t>Later steps · rules from the step 0–2 docs</t>
        </is>
      </c>
      <c r="F362" t="inlineStr">
        <is>
          <t>Step 6+ · Lifecycle, modules and global readiness</t>
        </is>
      </c>
      <c r="G362" t="inlineStr">
        <is>
          <t>New</t>
        </is>
      </c>
      <c r="I362">
        <f>IF(H362&lt;&gt;"",H362,G362)</f>
        <v/>
      </c>
      <c r="J362" t="inlineStr">
        <is>
          <t>Step 6+</t>
        </is>
      </c>
      <c r="K362" t="n">
        <v>2</v>
      </c>
      <c r="L362" t="n">
        <v>3</v>
      </c>
      <c r="M362" s="5" t="inlineStr">
        <is>
          <t>As an employee, I want to see my career path and development plan from my profile so that I know my next step.</t>
        </is>
      </c>
      <c r="N362" s="5" t="inlineStr">
        <is>
          <t>• Given Me › Career, when opened, then it shows M06 career paths and IDP without a copy in M01 (YX-EMP-11).
• Given workforce scenarios, when computed, then they use only the aggregate attrition rate, never an individual risk band (YX-EMP-12).
• Given the succession view, when opened, then the IDP and talent-pool links come from M06 (YX-EMP-11).</t>
        </is>
      </c>
      <c r="O362" s="5" t="inlineStr">
        <is>
          <t>YX-EMP-11, YX-EMP-12</t>
        </is>
      </c>
      <c r="P362" t="inlineStr">
        <is>
          <t>M01 §3.9, M06</t>
        </is>
      </c>
      <c r="Q362" t="inlineStr"/>
      <c r="R362" s="5" t="inlineStr"/>
    </row>
    <row r="363">
      <c r="A363" t="inlineStr">
        <is>
          <t>US-A-197</t>
        </is>
      </c>
      <c r="B363" t="n">
        <v>1400</v>
      </c>
      <c r="C363" t="inlineStr">
        <is>
          <t>Story</t>
        </is>
      </c>
      <c r="D363" s="5" t="inlineStr">
        <is>
          <t xml:space="preserve">        Data residency per region and region moves</t>
        </is>
      </c>
      <c r="E363" t="inlineStr">
        <is>
          <t>Later steps · rules from the step 0–2 docs</t>
        </is>
      </c>
      <c r="F363" t="inlineStr">
        <is>
          <t>Step 6+ · Lifecycle, modules and global readiness</t>
        </is>
      </c>
      <c r="G363" t="inlineStr">
        <is>
          <t>New</t>
        </is>
      </c>
      <c r="I363">
        <f>IF(H363&lt;&gt;"",H363,G363)</f>
        <v/>
      </c>
      <c r="J363" t="inlineStr">
        <is>
          <t>Step 6+</t>
        </is>
      </c>
      <c r="K363" t="n">
        <v>8</v>
      </c>
      <c r="L363" t="n">
        <v>3</v>
      </c>
      <c r="M363" s="5" t="inlineStr">
        <is>
          <t>As a company admin in the UAE, I want our entity's data kept in-country so that we follow local law.</t>
        </is>
      </c>
      <c r="N363" s="5" t="inlineStr">
        <is>
          <t>• Given an entity's data region, when data is stored, then records, files, backups and indexes stay there (YX-SEC-37).
• Given a multi-region company, when the home region reads another region, then only the directory card is copied; Special data never leaves (YX-SEC-37).
• Given a region move, when requested, then it needs a legal basis, YukthiX approval, updated DPA and notices, and gives a deletion certificate (YX-SEC-38).</t>
        </is>
      </c>
      <c r="O363" s="5" t="inlineStr">
        <is>
          <t>YX-SEC-37, YX-SEC-38</t>
        </is>
      </c>
      <c r="P363" t="inlineStr">
        <is>
          <t>P02 §5, P21</t>
        </is>
      </c>
      <c r="Q363" t="inlineStr"/>
      <c r="R363" s="5" t="inlineStr"/>
    </row>
    <row r="364">
      <c r="A364" t="inlineStr">
        <is>
          <t>US-A-198</t>
        </is>
      </c>
      <c r="B364" t="n">
        <v>1450</v>
      </c>
      <c r="C364" t="inlineStr">
        <is>
          <t>Story</t>
        </is>
      </c>
      <c r="D364" s="5" t="inlineStr">
        <is>
          <t xml:space="preserve">        IP allow-lists may include the mobile app and portals</t>
        </is>
      </c>
      <c r="E364" t="inlineStr">
        <is>
          <t>Later steps · rules from the step 0–2 docs</t>
        </is>
      </c>
      <c r="F364" t="inlineStr">
        <is>
          <t>Step 6+ · Lifecycle, modules and global readiness</t>
        </is>
      </c>
      <c r="G364" t="inlineStr">
        <is>
          <t>New</t>
        </is>
      </c>
      <c r="I364">
        <f>IF(H364&lt;&gt;"",H364,G364)</f>
        <v/>
      </c>
      <c r="J364" t="inlineStr">
        <is>
          <t>Step 6+</t>
        </is>
      </c>
      <c r="K364" t="n">
        <v>2</v>
      </c>
      <c r="L364" t="n">
        <v>3</v>
      </c>
      <c r="M364" s="5" t="inlineStr">
        <is>
          <t>As a company admin, I want to choose whether our IP allow-lists also apply to the mobile app and external portals so that strict sites can lock everything down.</t>
        </is>
      </c>
      <c r="N364" s="5" t="inlineStr">
        <is>
          <t>• Given the option off (default), when the mobile app or a portal signs in, then the allow-list is not applied (YX-IAM-09).
• Given the option on, when a mobile or portal request comes from outside the list, then it is refused (YX-IAM-09).
• Given the setting changes, when saved, then it needs step-up and is logged (YX-IAM-02, YX-IAM-10).</t>
        </is>
      </c>
      <c r="O364" s="5" t="inlineStr">
        <is>
          <t>YX-IAM-09, YX-IAM-02, YX-IAM-10</t>
        </is>
      </c>
      <c r="P364" t="inlineStr">
        <is>
          <t>P12 §5, deferred D-069</t>
        </is>
      </c>
      <c r="Q364" t="inlineStr"/>
      <c r="R364" s="5" t="inlineStr"/>
    </row>
    <row r="365">
      <c r="A365" s="7" t="inlineStr">
        <is>
          <t>EP-B-1</t>
        </is>
      </c>
      <c r="B365" s="7" t="n">
        <v>400</v>
      </c>
      <c r="C365" s="7" t="inlineStr">
        <is>
          <t>Epic</t>
        </is>
      </c>
      <c r="D365" s="8" t="inlineStr">
        <is>
          <t>Step 3 · Platform console</t>
        </is>
      </c>
      <c r="E365" s="7" t="inlineStr">
        <is>
          <t>Step 3 · Platform console</t>
        </is>
      </c>
      <c r="F365" s="7" t="inlineStr"/>
      <c r="G365" s="7" t="inlineStr">
        <is>
          <t>New</t>
        </is>
      </c>
      <c r="H365" s="7" t="n"/>
      <c r="I365" s="7">
        <f>IF(H365&lt;&gt;"",H365,G365)</f>
        <v/>
      </c>
      <c r="J365" s="7" t="inlineStr">
        <is>
          <t>Step 3</t>
        </is>
      </c>
      <c r="K365" s="7" t="n"/>
      <c r="L365" s="7" t="n"/>
      <c r="M365" s="8" t="inlineStr"/>
      <c r="N365" s="8" t="inlineStr"/>
      <c r="O365" s="8" t="inlineStr"/>
      <c r="P365" s="7" t="inlineStr">
        <is>
          <t>P14, P20, P02 Q8, P12 Q7, PRICING-UNIT-ECONOMICS</t>
        </is>
      </c>
      <c r="Q365" s="7" t="inlineStr"/>
      <c r="R365" s="8" t="inlineStr"/>
      <c r="S365" s="7" t="n"/>
    </row>
    <row r="366">
      <c r="A366" s="9" t="inlineStr">
        <is>
          <t>FT-B-001</t>
        </is>
      </c>
      <c r="B366" s="9" t="n">
        <v>401</v>
      </c>
      <c r="C366" s="9" t="inlineStr">
        <is>
          <t>Feature</t>
        </is>
      </c>
      <c r="D366" s="10" t="inlineStr">
        <is>
          <t xml:space="preserve">    Staff sign-in and console roles</t>
        </is>
      </c>
      <c r="E366" s="9" t="inlineStr">
        <is>
          <t>Step 3 · Platform console</t>
        </is>
      </c>
      <c r="F366" s="9" t="inlineStr">
        <is>
          <t>Staff sign-in and console roles</t>
        </is>
      </c>
      <c r="G366" s="9" t="inlineStr">
        <is>
          <t>New</t>
        </is>
      </c>
      <c r="H366" s="9" t="n"/>
      <c r="I366" s="9">
        <f>IF(H366&lt;&gt;"",H366,G366)</f>
        <v/>
      </c>
      <c r="J366" s="9" t="inlineStr">
        <is>
          <t>Step 3-a</t>
        </is>
      </c>
      <c r="K366" s="9" t="n"/>
      <c r="L366" s="9" t="n"/>
      <c r="M366" s="10" t="inlineStr"/>
      <c r="N366" s="10" t="inlineStr"/>
      <c r="O366" s="10" t="inlineStr">
        <is>
          <t>YX-SECOPS-08, YX-CONSOLE-01, YX-CONSOLE-02, YX-CONSOLE-08</t>
        </is>
      </c>
      <c r="P366" s="9" t="inlineStr">
        <is>
          <t>P14 §3, P12 Q7, YX-SECOPS-08</t>
        </is>
      </c>
      <c r="Q366" s="9" t="inlineStr"/>
      <c r="R366" s="10" t="inlineStr"/>
      <c r="S366" s="9" t="n"/>
    </row>
    <row r="367">
      <c r="A367" t="inlineStr">
        <is>
          <t>US-B-001</t>
        </is>
      </c>
      <c r="B367" t="n">
        <v>401</v>
      </c>
      <c r="C367" t="inlineStr">
        <is>
          <t>Story</t>
        </is>
      </c>
      <c r="D367" s="5" t="inlineStr">
        <is>
          <t xml:space="preserve">        Staff member signs in to the console with a hardware key</t>
        </is>
      </c>
      <c r="E367" t="inlineStr">
        <is>
          <t>Step 3 · Platform console</t>
        </is>
      </c>
      <c r="F367" t="inlineStr">
        <is>
          <t>Staff sign-in and console roles</t>
        </is>
      </c>
      <c r="G367" t="inlineStr">
        <is>
          <t>New</t>
        </is>
      </c>
      <c r="I367">
        <f>IF(H367&lt;&gt;"",H367,G367)</f>
        <v/>
      </c>
      <c r="J367" t="inlineStr">
        <is>
          <t>Step 3-a</t>
        </is>
      </c>
      <c r="K367" t="n">
        <v>5</v>
      </c>
      <c r="L367" t="n">
        <v>1</v>
      </c>
      <c r="M367" s="5" t="inlineStr">
        <is>
          <t>As a YukthiX staff member, I want to sign in to the console with my own account and a hardware security key, so that no one can use a shared or stolen password.</t>
        </is>
      </c>
      <c r="N367" s="5" t="inlineStr">
        <is>
          <t>• Given a staff account with no hardware key, when the person tries to open the console, then sign-in is refused and they are asked to register a key first (YX-SECOPS-08).
• Given a staff member with a registered key, when they sign in with password and key, then the console opens; a sign-in without the key is refused (YX-SECOPS-08).
• Given a staff member, when they register keys, then they can hold two keys (main and backup) and each key can be revoked on its own.
• Given the tenant app address, when anyone tries to reach the console from it, then it is not reachable; the console is a separate locked-down area (YX-CONSOLE-01).
• Given any console sign-in, when it succeeds or fails, then it is written to the platform audit log (YX-CONSOLE-02).</t>
        </is>
      </c>
      <c r="O367" s="5" t="inlineStr">
        <is>
          <t>YX-SECOPS-08, YX-CONSOLE-01, YX-CONSOLE-02</t>
        </is>
      </c>
      <c r="P367" t="inlineStr">
        <is>
          <t>P14 §3, P12 Q7, YX-SECOPS-08</t>
        </is>
      </c>
      <c r="Q367" t="inlineStr"/>
      <c r="R367" s="5" t="inlineStr"/>
    </row>
    <row r="368">
      <c r="A368" t="inlineStr">
        <is>
          <t>US-B-002</t>
        </is>
      </c>
      <c r="B368" t="n">
        <v>402</v>
      </c>
      <c r="C368" t="inlineStr">
        <is>
          <t>Story</t>
        </is>
      </c>
      <c r="D368" s="5" t="inlineStr">
        <is>
          <t xml:space="preserve">        Super admin gives staff least-privilege console roles</t>
        </is>
      </c>
      <c r="E368" t="inlineStr">
        <is>
          <t>Step 3 · Platform console</t>
        </is>
      </c>
      <c r="F368" t="inlineStr">
        <is>
          <t>Staff sign-in and console roles</t>
        </is>
      </c>
      <c r="G368" t="inlineStr">
        <is>
          <t>New</t>
        </is>
      </c>
      <c r="I368">
        <f>IF(H368&lt;&gt;"",H368,G368)</f>
        <v/>
      </c>
      <c r="J368" t="inlineStr">
        <is>
          <t>Step 3-a</t>
        </is>
      </c>
      <c r="K368" t="n">
        <v>3</v>
      </c>
      <c r="L368" t="n">
        <v>1</v>
      </c>
      <c r="M368" s="5" t="inlineStr">
        <is>
          <t>As a YukthiX super admin, I want to give each staff member only the console roles they need, so that nobody sees more than their job needs.</t>
        </is>
      </c>
      <c r="N368" s="5" t="inlineStr">
        <is>
          <t>• Given the role list (support, billing, compliance publisher, security, super admin, product analytics), when a staff account is created, then it has no role until a super admin gives one (YX-CONSOLE-01).
• Given a billing staff member, when they open a company, then they see billing data and get "No access" on employee records (YX-CONSOLE-01).
• Given a staff member without the product analytics role, when they open product analytics, then access is refused (YX-CONSOLE-08).
• Given any role change, when it is saved, then the audit log keeps who changed it, when and why (YX-CONSOLE-02).</t>
        </is>
      </c>
      <c r="O368" s="5" t="inlineStr">
        <is>
          <t>YX-CONSOLE-01, YX-CONSOLE-08, YX-CONSOLE-02</t>
        </is>
      </c>
      <c r="P368" t="inlineStr">
        <is>
          <t>P14 §3, P12 Q7, YX-SECOPS-08</t>
        </is>
      </c>
      <c r="Q368" t="inlineStr">
        <is>
          <t>US-B-001</t>
        </is>
      </c>
      <c r="R368" s="5" t="inlineStr"/>
    </row>
    <row r="369">
      <c r="A369" t="inlineStr">
        <is>
          <t>US-B-003</t>
        </is>
      </c>
      <c r="B369" t="n">
        <v>403</v>
      </c>
      <c r="C369" t="inlineStr">
        <is>
          <t>Story</t>
        </is>
      </c>
      <c r="D369" s="5" t="inlineStr">
        <is>
          <t xml:space="preserve">        Staff member asks for short-time elevation with a second approval</t>
        </is>
      </c>
      <c r="E369" t="inlineStr">
        <is>
          <t>Step 3 · Platform console</t>
        </is>
      </c>
      <c r="F369" t="inlineStr">
        <is>
          <t>Staff sign-in and console roles</t>
        </is>
      </c>
      <c r="G369" t="inlineStr">
        <is>
          <t>New</t>
        </is>
      </c>
      <c r="I369">
        <f>IF(H369&lt;&gt;"",H369,G369)</f>
        <v/>
      </c>
      <c r="J369" t="inlineStr">
        <is>
          <t>Step 3-a</t>
        </is>
      </c>
      <c r="K369" t="n">
        <v>3</v>
      </c>
      <c r="L369" t="n">
        <v>1</v>
      </c>
      <c r="M369" s="5" t="inlineStr">
        <is>
          <t>As a YukthiX support engineer, I want to ask for a higher role for a short time, so that I can fix a production problem without holding that power every day.</t>
        </is>
      </c>
      <c r="N369" s="5" t="inlineStr">
        <is>
          <t>• Given a staff member, when they ask for elevation, then they must give a reason and a duration (YX-SECOPS-08).
• Given an elevation request, when the same person tries to approve it, then the console refuses; a second staff member must approve (YX-SECOPS-08).
• Given an approved elevation, when its time ends, then the role is removed automatically.
• Given any elevation, when it starts, is used or ends, then each step is in the audit log (YX-CONSOLE-02).</t>
        </is>
      </c>
      <c r="O369" s="5" t="inlineStr">
        <is>
          <t>YX-SECOPS-08, YX-CONSOLE-01, YX-CONSOLE-02</t>
        </is>
      </c>
      <c r="P369" t="inlineStr">
        <is>
          <t>P14 §3, P12 Q7, YX-SECOPS-08</t>
        </is>
      </c>
      <c r="Q369" t="inlineStr">
        <is>
          <t>US-B-002</t>
        </is>
      </c>
      <c r="R369" s="5" t="inlineStr"/>
    </row>
    <row r="370">
      <c r="A370" t="inlineStr">
        <is>
          <t>US-B-004</t>
        </is>
      </c>
      <c r="B370" t="n">
        <v>404</v>
      </c>
      <c r="C370" t="inlineStr">
        <is>
          <t>Story</t>
        </is>
      </c>
      <c r="D370" s="5" t="inlineStr">
        <is>
          <t xml:space="preserve">        Security lead reviews staff access every month</t>
        </is>
      </c>
      <c r="E370" t="inlineStr">
        <is>
          <t>Step 3 · Platform console</t>
        </is>
      </c>
      <c r="F370" t="inlineStr">
        <is>
          <t>Staff sign-in and console roles</t>
        </is>
      </c>
      <c r="G370" t="inlineStr">
        <is>
          <t>New</t>
        </is>
      </c>
      <c r="I370">
        <f>IF(H370&lt;&gt;"",H370,G370)</f>
        <v/>
      </c>
      <c r="J370" t="inlineStr">
        <is>
          <t>Step 3-a</t>
        </is>
      </c>
      <c r="K370" t="n">
        <v>2</v>
      </c>
      <c r="L370" t="n">
        <v>2</v>
      </c>
      <c r="M370" s="5" t="inlineStr">
        <is>
          <t>As the YukthiX security lead, I want a monthly list of staff, roles, keys and elevations, so that I can remove access nobody needs.</t>
        </is>
      </c>
      <c r="N370" s="5" t="inlineStr">
        <is>
          <t>• Given the first day of the month, when the review opens, then it lists every staff account with roles, keys, last sign-in and elevations used (YX-SECOPS-08).
• Given the review, when the lead marks a role "remove", then the role is removed and the change is audited (YX-CONSOLE-02).
• Given a review not finished in 7 days, when the deadline passes, then the super admins get a reminder.</t>
        </is>
      </c>
      <c r="O370" s="5" t="inlineStr">
        <is>
          <t>YX-SECOPS-08, YX-CONSOLE-02</t>
        </is>
      </c>
      <c r="P370" t="inlineStr">
        <is>
          <t>P14 §3, P12 Q7, YX-SECOPS-08</t>
        </is>
      </c>
      <c r="Q370" t="inlineStr">
        <is>
          <t>US-B-002</t>
        </is>
      </c>
      <c r="R370" s="5" t="inlineStr"/>
    </row>
    <row r="371">
      <c r="A371" s="9" t="inlineStr">
        <is>
          <t>FT-B-002</t>
        </is>
      </c>
      <c r="B371" s="9" t="n">
        <v>405</v>
      </c>
      <c r="C371" s="9" t="inlineStr">
        <is>
          <t>Feature</t>
        </is>
      </c>
      <c r="D371" s="10" t="inlineStr">
        <is>
          <t xml:space="preserve">    Platform audit</t>
        </is>
      </c>
      <c r="E371" s="9" t="inlineStr">
        <is>
          <t>Step 3 · Platform console</t>
        </is>
      </c>
      <c r="F371" s="9" t="inlineStr">
        <is>
          <t>Platform audit</t>
        </is>
      </c>
      <c r="G371" s="9" t="inlineStr">
        <is>
          <t>New</t>
        </is>
      </c>
      <c r="H371" s="9" t="n"/>
      <c r="I371" s="9">
        <f>IF(H371&lt;&gt;"",H371,G371)</f>
        <v/>
      </c>
      <c r="J371" s="9" t="inlineStr">
        <is>
          <t>Step 3-a</t>
        </is>
      </c>
      <c r="K371" s="9" t="n"/>
      <c r="L371" s="9" t="n"/>
      <c r="M371" s="10" t="inlineStr"/>
      <c r="N371" s="10" t="inlineStr"/>
      <c r="O371" s="10" t="inlineStr">
        <is>
          <t>YX-CONSOLE-02, YX-CONSOLE-01</t>
        </is>
      </c>
      <c r="P371" s="9" t="inlineStr">
        <is>
          <t>P14 YX-CONSOLE-02, P08</t>
        </is>
      </c>
      <c r="Q371" s="9" t="inlineStr"/>
      <c r="R371" s="10" t="inlineStr"/>
      <c r="S371" s="9" t="n"/>
    </row>
    <row r="372">
      <c r="A372" t="inlineStr">
        <is>
          <t>US-B-005</t>
        </is>
      </c>
      <c r="B372" t="n">
        <v>405</v>
      </c>
      <c r="C372" t="inlineStr">
        <is>
          <t>Story</t>
        </is>
      </c>
      <c r="D372" s="5" t="inlineStr">
        <is>
          <t xml:space="preserve">        Every console action is written to the platform audit log</t>
        </is>
      </c>
      <c r="E372" t="inlineStr">
        <is>
          <t>Step 3 · Platform console</t>
        </is>
      </c>
      <c r="F372" t="inlineStr">
        <is>
          <t>Platform audit</t>
        </is>
      </c>
      <c r="G372" t="inlineStr">
        <is>
          <t>New</t>
        </is>
      </c>
      <c r="I372">
        <f>IF(H372&lt;&gt;"",H372,G372)</f>
        <v/>
      </c>
      <c r="J372" t="inlineStr">
        <is>
          <t>Step 3-a</t>
        </is>
      </c>
      <c r="K372" t="n">
        <v>5</v>
      </c>
      <c r="L372" t="n">
        <v>1</v>
      </c>
      <c r="M372" s="5" t="inlineStr">
        <is>
          <t>As the YukthiX security lead, I want every staff action in the console recorded with who, when and why, so that we can always explain what happened to a company.</t>
        </is>
      </c>
      <c r="N372" s="5" t="inlineStr">
        <is>
          <t>• Given any console action (price change, credit note, suspension, reinstatement, statutory publish, export on behalf, support session, role change), when it is saved, then the audit log keeps staff identity, time, company, reason and before / after values (YX-CONSOLE-02).
• Given an action form, when the reason field is empty, then the action cannot be saved (YX-CONSOLE-02).
• Given the audit log, when anyone (even a super admin) tries to edit or delete an entry, then it is refused; the log is append-only.
• Given an action that affects a company, when it is saved, then it is marked "visible to company admins" (YX-CONSOLE-02).</t>
        </is>
      </c>
      <c r="O372" s="5" t="inlineStr">
        <is>
          <t>YX-CONSOLE-02</t>
        </is>
      </c>
      <c r="P372" t="inlineStr">
        <is>
          <t>P14 YX-CONSOLE-02, P08</t>
        </is>
      </c>
      <c r="Q372" t="inlineStr">
        <is>
          <t>US-B-001</t>
        </is>
      </c>
      <c r="R372" s="5" t="inlineStr"/>
    </row>
    <row r="373">
      <c r="A373" t="inlineStr">
        <is>
          <t>US-B-006</t>
        </is>
      </c>
      <c r="B373" t="n">
        <v>406</v>
      </c>
      <c r="C373" t="inlineStr">
        <is>
          <t>Story</t>
        </is>
      </c>
      <c r="D373" s="5" t="inlineStr">
        <is>
          <t xml:space="preserve">        Security lead searches and exports the platform audit log</t>
        </is>
      </c>
      <c r="E373" t="inlineStr">
        <is>
          <t>Step 3 · Platform console</t>
        </is>
      </c>
      <c r="F373" t="inlineStr">
        <is>
          <t>Platform audit</t>
        </is>
      </c>
      <c r="G373" t="inlineStr">
        <is>
          <t>New</t>
        </is>
      </c>
      <c r="I373">
        <f>IF(H373&lt;&gt;"",H373,G373)</f>
        <v/>
      </c>
      <c r="J373" t="inlineStr">
        <is>
          <t>Step 3-a</t>
        </is>
      </c>
      <c r="K373" t="n">
        <v>3</v>
      </c>
      <c r="L373" t="n">
        <v>1</v>
      </c>
      <c r="M373" s="5" t="inlineStr">
        <is>
          <t>As the YukthiX security lead, I want to search and export the platform audit log, so that I can answer a customer or auditor question quickly.</t>
        </is>
      </c>
      <c r="N373" s="5" t="inlineStr">
        <is>
          <t>• Given the audit log, when the lead filters by staff member, company, action type and dates, then matching entries show newest first.
• Given a result list, when the lead exports it, then a CSV downloads and the export itself is audited (YX-CONSOLE-02).
• Given a staff member without the security or super admin role, when they open the audit log, then access is refused (YX-CONSOLE-01).</t>
        </is>
      </c>
      <c r="O373" s="5" t="inlineStr">
        <is>
          <t>YX-CONSOLE-02, YX-CONSOLE-01</t>
        </is>
      </c>
      <c r="P373" t="inlineStr">
        <is>
          <t>P14 YX-CONSOLE-02, P08</t>
        </is>
      </c>
      <c r="Q373" t="inlineStr">
        <is>
          <t>US-B-005</t>
        </is>
      </c>
      <c r="R373" s="5" t="inlineStr"/>
    </row>
    <row r="374">
      <c r="A374" s="9" t="inlineStr">
        <is>
          <t>FT-B-003</t>
        </is>
      </c>
      <c r="B374" s="9" t="n">
        <v>407</v>
      </c>
      <c r="C374" s="9" t="inlineStr">
        <is>
          <t>Feature</t>
        </is>
      </c>
      <c r="D374" s="10" t="inlineStr">
        <is>
          <t xml:space="preserve">    Companies and lifecycle</t>
        </is>
      </c>
      <c r="E374" s="9" t="inlineStr">
        <is>
          <t>Step 3 · Platform console</t>
        </is>
      </c>
      <c r="F374" s="9" t="inlineStr">
        <is>
          <t>Companies and lifecycle</t>
        </is>
      </c>
      <c r="G374" s="9" t="inlineStr">
        <is>
          <t>New</t>
        </is>
      </c>
      <c r="H374" s="9" t="n"/>
      <c r="I374" s="9">
        <f>IF(H374&lt;&gt;"",H374,G374)</f>
        <v/>
      </c>
      <c r="J374" s="9" t="inlineStr">
        <is>
          <t>Step 3-a</t>
        </is>
      </c>
      <c r="K374" s="9" t="n"/>
      <c r="L374" s="9" t="n"/>
      <c r="M374" s="10" t="inlineStr"/>
      <c r="N374" s="10" t="inlineStr"/>
      <c r="O374" s="10" t="inlineStr">
        <is>
          <t>YX-CONSOLE-01, YX-CONSOLE-02, YX-TEN-02</t>
        </is>
      </c>
      <c r="P374" s="9" t="inlineStr">
        <is>
          <t>P14 §3, P14 §6 flow 5</t>
        </is>
      </c>
      <c r="Q374" s="9" t="inlineStr"/>
      <c r="R374" s="10" t="inlineStr"/>
      <c r="S374" s="9" t="n"/>
    </row>
    <row r="375">
      <c r="A375" t="inlineStr">
        <is>
          <t>US-B-007</t>
        </is>
      </c>
      <c r="B375" t="n">
        <v>407</v>
      </c>
      <c r="C375" t="inlineStr">
        <is>
          <t>Story</t>
        </is>
      </c>
      <c r="D375" s="5" t="inlineStr">
        <is>
          <t xml:space="preserve">        Staff member finds a company in the console</t>
        </is>
      </c>
      <c r="E375" t="inlineStr">
        <is>
          <t>Step 3 · Platform console</t>
        </is>
      </c>
      <c r="F375" t="inlineStr">
        <is>
          <t>Companies and lifecycle</t>
        </is>
      </c>
      <c r="G375" t="inlineStr">
        <is>
          <t>New</t>
        </is>
      </c>
      <c r="I375">
        <f>IF(H375&lt;&gt;"",H375,G375)</f>
        <v/>
      </c>
      <c r="J375" t="inlineStr">
        <is>
          <t>Step 3-a</t>
        </is>
      </c>
      <c r="K375" t="n">
        <v>3</v>
      </c>
      <c r="L375" t="n">
        <v>1</v>
      </c>
      <c r="M375" s="5" t="inlineStr">
        <is>
          <t>As a YukthiX support or billing staff member, I want to find a company fast, so that I can help them without asking for many details.</t>
        </is>
      </c>
      <c r="N375" s="5" t="inlineStr">
        <is>
          <t>• Given the companies list, when staff search by name, domain, GSTIN or company id, then matching companies show.
• Given the list, then each row shows lifecycle state, products, region and sign-up date, and no employee data (YX-CONSOLE-01).
• Given a staff member with no console role, when they open the list, then access is refused (YX-CONSOLE-01).</t>
        </is>
      </c>
      <c r="O375" s="5" t="inlineStr">
        <is>
          <t>YX-CONSOLE-01</t>
        </is>
      </c>
      <c r="P375" t="inlineStr">
        <is>
          <t>P14 §3, P14 §6 flow 5</t>
        </is>
      </c>
      <c r="Q375" t="inlineStr">
        <is>
          <t>US-B-002</t>
        </is>
      </c>
      <c r="R375" s="5" t="inlineStr"/>
    </row>
    <row r="376">
      <c r="A376" t="inlineStr">
        <is>
          <t>US-B-008</t>
        </is>
      </c>
      <c r="B376" t="n">
        <v>408</v>
      </c>
      <c r="C376" t="inlineStr">
        <is>
          <t>Story</t>
        </is>
      </c>
      <c r="D376" s="5" t="inlineStr">
        <is>
          <t xml:space="preserve">        Staff member opens a company detail page</t>
        </is>
      </c>
      <c r="E376" t="inlineStr">
        <is>
          <t>Step 3 · Platform console</t>
        </is>
      </c>
      <c r="F376" t="inlineStr">
        <is>
          <t>Companies and lifecycle</t>
        </is>
      </c>
      <c r="G376" t="inlineStr">
        <is>
          <t>New</t>
        </is>
      </c>
      <c r="I376">
        <f>IF(H376&lt;&gt;"",H376,G376)</f>
        <v/>
      </c>
      <c r="J376" t="inlineStr">
        <is>
          <t>Step 3-a</t>
        </is>
      </c>
      <c r="K376" t="n">
        <v>3</v>
      </c>
      <c r="L376" t="n">
        <v>1</v>
      </c>
      <c r="M376" s="5" t="inlineStr">
        <is>
          <t>As a YukthiX staff member, I want one page with a company's products, state, admins and history, so that I understand the account before I act.</t>
        </is>
      </c>
      <c r="N376" s="5" t="inlineStr">
        <is>
          <t>• Given a company, when staff open it, then they see products and subscription status, lifecycle state with history, admins, billing contact and support tier (YX-CONSOLE-01).
• Given the detail page, then recent console actions on this company are listed with staff name and reason (YX-CONSOLE-02).
• Given the detail page, then no employee, candidate or payroll record is shown (YX-CONSOLE-01).</t>
        </is>
      </c>
      <c r="O376" s="5" t="inlineStr">
        <is>
          <t>YX-CONSOLE-01, YX-CONSOLE-02</t>
        </is>
      </c>
      <c r="P376" t="inlineStr">
        <is>
          <t>P14 §3, P14 §6 flow 5</t>
        </is>
      </c>
      <c r="Q376" t="inlineStr">
        <is>
          <t>US-B-007</t>
        </is>
      </c>
      <c r="R376" s="5" t="inlineStr"/>
    </row>
    <row r="377">
      <c r="A377" t="inlineStr">
        <is>
          <t>US-B-009</t>
        </is>
      </c>
      <c r="B377" t="n">
        <v>409</v>
      </c>
      <c r="C377" t="inlineStr">
        <is>
          <t>Story</t>
        </is>
      </c>
      <c r="D377" s="5" t="inlineStr">
        <is>
          <t xml:space="preserve">        Platform keeps each company in one lifecycle state</t>
        </is>
      </c>
      <c r="E377" t="inlineStr">
        <is>
          <t>Step 3 · Platform console</t>
        </is>
      </c>
      <c r="F377" t="inlineStr">
        <is>
          <t>Companies and lifecycle</t>
        </is>
      </c>
      <c r="G377" t="inlineStr">
        <is>
          <t>New</t>
        </is>
      </c>
      <c r="I377">
        <f>IF(H377&lt;&gt;"",H377,G377)</f>
        <v/>
      </c>
      <c r="J377" t="inlineStr">
        <is>
          <t>Step 3-a</t>
        </is>
      </c>
      <c r="K377" t="n">
        <v>5</v>
      </c>
      <c r="L377" t="n">
        <v>1</v>
      </c>
      <c r="M377" s="5" t="inlineStr">
        <is>
          <t>As YukthiX billing staff, I want each company to be in one clear state, so that access and billing follow the same rules every time.</t>
        </is>
      </c>
      <c r="N377" s="5" t="inlineStr">
        <is>
          <t>• Given a company, then its state is one of trial, active, past due, restricted, suspended, cancelled (grace) or deleted, and only allowed moves are possible.
• Given any state change, when it happens, then a lifecycle event is saved with who or what caused it and why (YX-CONSOLE-02).
• Given a restricted or suspended company, when an employee signs in, then they can still download their own payslips, Form 16 and letters (YX-TEN-02).
• Given a payroll run already approved, when the company becomes restricted, then the run is not stopped (YX-TEN-02).</t>
        </is>
      </c>
      <c r="O377" s="5" t="inlineStr">
        <is>
          <t>YX-TEN-02, YX-CONSOLE-02</t>
        </is>
      </c>
      <c r="P377" t="inlineStr">
        <is>
          <t>P14 §3, P14 §6 flow 5</t>
        </is>
      </c>
      <c r="Q377" t="inlineStr">
        <is>
          <t>US-B-008</t>
        </is>
      </c>
      <c r="R377" s="5" t="inlineStr"/>
    </row>
    <row r="378">
      <c r="A378" t="inlineStr">
        <is>
          <t>US-B-010</t>
        </is>
      </c>
      <c r="B378" t="n">
        <v>410</v>
      </c>
      <c r="C378" t="inlineStr">
        <is>
          <t>Story</t>
        </is>
      </c>
      <c r="D378" s="5" t="inlineStr">
        <is>
          <t xml:space="preserve">        Billing staff suspend or reinstate a company with a reason</t>
        </is>
      </c>
      <c r="E378" t="inlineStr">
        <is>
          <t>Step 3 · Platform console</t>
        </is>
      </c>
      <c r="F378" t="inlineStr">
        <is>
          <t>Companies and lifecycle</t>
        </is>
      </c>
      <c r="G378" t="inlineStr">
        <is>
          <t>New</t>
        </is>
      </c>
      <c r="I378">
        <f>IF(H378&lt;&gt;"",H378,G378)</f>
        <v/>
      </c>
      <c r="J378" t="inlineStr">
        <is>
          <t>Step 3-a</t>
        </is>
      </c>
      <c r="K378" t="n">
        <v>3</v>
      </c>
      <c r="L378" t="n">
        <v>1</v>
      </c>
      <c r="M378" s="5" t="inlineStr">
        <is>
          <t>As YukthiX billing staff, I want to suspend or reinstate a company from the console, so that I can act on non-payment or a customer request.</t>
        </is>
      </c>
      <c r="N378" s="5" t="inlineStr">
        <is>
          <t>• Given a company, when billing staff suspend or reinstate it, then a reason is required and the action is audited (YX-CONSOLE-02).
• Given a suspension, when it is saved, then the company admins see a plain banner and get an email (YX-CONSOLE-02).
• Given a suspended company that pays, when the payment is recorded, then the company is reinstated at once.
• Given a support-only staff member, when they try to suspend a company, then the action is refused (YX-CONSOLE-01).</t>
        </is>
      </c>
      <c r="O378" s="5" t="inlineStr">
        <is>
          <t>YX-CONSOLE-02, YX-CONSOLE-01, YX-TEN-02</t>
        </is>
      </c>
      <c r="P378" t="inlineStr">
        <is>
          <t>P14 §3, P14 §6 flow 5</t>
        </is>
      </c>
      <c r="Q378" t="inlineStr">
        <is>
          <t>US-B-009</t>
        </is>
      </c>
      <c r="R378" s="5" t="inlineStr"/>
    </row>
    <row r="379">
      <c r="A379" t="inlineStr">
        <is>
          <t>US-B-011</t>
        </is>
      </c>
      <c r="B379" t="n">
        <v>411</v>
      </c>
      <c r="C379" t="inlineStr">
        <is>
          <t>Story</t>
        </is>
      </c>
      <c r="D379" s="5" t="inlineStr">
        <is>
          <t xml:space="preserve">        Company admin sees what YukthiX staff did to their account</t>
        </is>
      </c>
      <c r="E379" t="inlineStr">
        <is>
          <t>Step 3 · Platform console</t>
        </is>
      </c>
      <c r="F379" t="inlineStr">
        <is>
          <t>Companies and lifecycle</t>
        </is>
      </c>
      <c r="G379" t="inlineStr">
        <is>
          <t>New</t>
        </is>
      </c>
      <c r="I379">
        <f>IF(H379&lt;&gt;"",H379,G379)</f>
        <v/>
      </c>
      <c r="J379" t="inlineStr">
        <is>
          <t>Step 3-a</t>
        </is>
      </c>
      <c r="K379" t="n">
        <v>2</v>
      </c>
      <c r="L379" t="n">
        <v>1</v>
      </c>
      <c r="M379" s="5" t="inlineStr">
        <is>
          <t>As a company System Admin, I want to see every action YukthiX staff took on our account, so that I can trust the service.</t>
        </is>
      </c>
      <c r="N379" s="5" t="inlineStr">
        <is>
          <t>• Given a console action marked company-visible, when the System Admin opens Settings › Billing &amp; Account, then it shows the date, staff name, action and reason (YX-CONSOLE-02).
• Given an employee without admin roles, when they look for this list, then they cannot see it.
• Given the list, when the admin exports it, then a CSV downloads.</t>
        </is>
      </c>
      <c r="O379" s="5" t="inlineStr">
        <is>
          <t>YX-CONSOLE-02</t>
        </is>
      </c>
      <c r="P379" t="inlineStr">
        <is>
          <t>P14 §3, P14 §6 flow 5</t>
        </is>
      </c>
      <c r="Q379" t="inlineStr">
        <is>
          <t>US-B-005</t>
        </is>
      </c>
      <c r="R379" s="5" t="inlineStr"/>
    </row>
    <row r="380">
      <c r="A380" s="9" t="inlineStr">
        <is>
          <t>FT-B-004</t>
        </is>
      </c>
      <c r="B380" s="9" t="n">
        <v>412</v>
      </c>
      <c r="C380" s="9" t="inlineStr">
        <is>
          <t>Feature</t>
        </is>
      </c>
      <c r="D380" s="10" t="inlineStr">
        <is>
          <t xml:space="preserve">    Support sessions with company approval</t>
        </is>
      </c>
      <c r="E380" s="9" t="inlineStr">
        <is>
          <t>Step 3 · Platform console</t>
        </is>
      </c>
      <c r="F380" s="9" t="inlineStr">
        <is>
          <t>Support sessions with company approval</t>
        </is>
      </c>
      <c r="G380" s="9" t="inlineStr">
        <is>
          <t>New</t>
        </is>
      </c>
      <c r="H380" s="9" t="n"/>
      <c r="I380" s="9">
        <f>IF(H380&lt;&gt;"",H380,G380)</f>
        <v/>
      </c>
      <c r="J380" s="9" t="inlineStr">
        <is>
          <t>Step 3-a</t>
        </is>
      </c>
      <c r="K380" s="9" t="n"/>
      <c r="L380" s="9" t="n"/>
      <c r="M380" s="10" t="inlineStr"/>
      <c r="N380" s="10" t="inlineStr"/>
      <c r="O380" s="10" t="inlineStr">
        <is>
          <t>YX-SEC-20, YX-CONSOLE-01, YX-CONSOLE-02</t>
        </is>
      </c>
      <c r="P380" s="9" t="inlineStr">
        <is>
          <t>P02 Q8, P02 §5 YX-SEC-20, P14 §3</t>
        </is>
      </c>
      <c r="Q380" s="9" t="inlineStr"/>
      <c r="R380" s="10" t="inlineStr"/>
      <c r="S380" s="9" t="n"/>
    </row>
    <row r="381">
      <c r="A381" t="inlineStr">
        <is>
          <t>US-B-012</t>
        </is>
      </c>
      <c r="B381" t="n">
        <v>412</v>
      </c>
      <c r="C381" t="inlineStr">
        <is>
          <t>Story</t>
        </is>
      </c>
      <c r="D381" s="5" t="inlineStr">
        <is>
          <t xml:space="preserve">        Support agent asks a company for a support session</t>
        </is>
      </c>
      <c r="E381" t="inlineStr">
        <is>
          <t>Step 3 · Platform console</t>
        </is>
      </c>
      <c r="F381" t="inlineStr">
        <is>
          <t>Support sessions with company approval</t>
        </is>
      </c>
      <c r="G381" t="inlineStr">
        <is>
          <t>New</t>
        </is>
      </c>
      <c r="I381">
        <f>IF(H381&lt;&gt;"",H381,G381)</f>
        <v/>
      </c>
      <c r="J381" t="inlineStr">
        <is>
          <t>Step 3-a</t>
        </is>
      </c>
      <c r="K381" t="n">
        <v>3</v>
      </c>
      <c r="L381" t="n">
        <v>1</v>
      </c>
      <c r="M381" s="5" t="inlineStr">
        <is>
          <t>As a YukthiX support agent, I want to ask a company for time-limited access to their data, so that I can fix their problem with their permission.</t>
        </is>
      </c>
      <c r="N381" s="5" t="inlineStr">
        <is>
          <t>• Given a company, when the agent asks for a session, then they must give a reason, the scope and a window (default 24 hours, at most 72 hours) (YX-SEC-20).
• Given the old super-admin "switch in" to company data, when this story ships, then it is removed; staff reach company data only through a session (YX-CONSOLE-01).
• Given a new request, when it is sent, then the company System Admins get it in-app and by email.
• Given any request, when it is created, then it is audited (YX-CONSOLE-02).</t>
        </is>
      </c>
      <c r="O381" s="5" t="inlineStr">
        <is>
          <t>YX-SEC-20, YX-CONSOLE-01, YX-CONSOLE-02</t>
        </is>
      </c>
      <c r="P381" t="inlineStr">
        <is>
          <t>P02 Q8, P02 §5 YX-SEC-20, P14 §3</t>
        </is>
      </c>
      <c r="Q381" t="inlineStr">
        <is>
          <t>US-B-008</t>
        </is>
      </c>
      <c r="R381" s="5" t="inlineStr"/>
    </row>
    <row r="382">
      <c r="A382" t="inlineStr">
        <is>
          <t>US-B-013</t>
        </is>
      </c>
      <c r="B382" t="n">
        <v>413</v>
      </c>
      <c r="C382" t="inlineStr">
        <is>
          <t>Story</t>
        </is>
      </c>
      <c r="D382" s="5" t="inlineStr">
        <is>
          <t xml:space="preserve">        Company admin approves or declines a support session</t>
        </is>
      </c>
      <c r="E382" t="inlineStr">
        <is>
          <t>Step 3 · Platform console</t>
        </is>
      </c>
      <c r="F382" t="inlineStr">
        <is>
          <t>Support sessions with company approval</t>
        </is>
      </c>
      <c r="G382" t="inlineStr">
        <is>
          <t>New</t>
        </is>
      </c>
      <c r="I382">
        <f>IF(H382&lt;&gt;"",H382,G382)</f>
        <v/>
      </c>
      <c r="J382" t="inlineStr">
        <is>
          <t>Step 3-a</t>
        </is>
      </c>
      <c r="K382" t="n">
        <v>3</v>
      </c>
      <c r="L382" t="n">
        <v>1</v>
      </c>
      <c r="M382" s="5" t="inlineStr">
        <is>
          <t>As a company System Admin, I want to approve or decline each support session, so that YukthiX sees our data only when we allow it.</t>
        </is>
      </c>
      <c r="N382" s="5" t="inlineStr">
        <is>
          <t>• Given a request, when the admin opens it, then they see the agent name, reason, scope and window (YX-SEC-20).
• Given a request, when the admin approves, then they may shorten the window and choose whether masked Confidential data may be shown (YX-SEC-20).
• Given a request, when the admin declines or does nothing, then the agent gets no access and is told.</t>
        </is>
      </c>
      <c r="O382" s="5" t="inlineStr">
        <is>
          <t>YX-SEC-20</t>
        </is>
      </c>
      <c r="P382" t="inlineStr">
        <is>
          <t>P02 Q8, P02 §5 YX-SEC-20, P14 §3</t>
        </is>
      </c>
      <c r="Q382" t="inlineStr">
        <is>
          <t>US-B-012</t>
        </is>
      </c>
      <c r="R382" s="5" t="inlineStr"/>
    </row>
    <row r="383">
      <c r="A383" t="inlineStr">
        <is>
          <t>US-B-014</t>
        </is>
      </c>
      <c r="B383" t="n">
        <v>414</v>
      </c>
      <c r="C383" t="inlineStr">
        <is>
          <t>Story</t>
        </is>
      </c>
      <c r="D383" s="5" t="inlineStr">
        <is>
          <t xml:space="preserve">        Support agent works only inside an approved session</t>
        </is>
      </c>
      <c r="E383" t="inlineStr">
        <is>
          <t>Step 3 · Platform console</t>
        </is>
      </c>
      <c r="F383" t="inlineStr">
        <is>
          <t>Support sessions with company approval</t>
        </is>
      </c>
      <c r="G383" t="inlineStr">
        <is>
          <t>New</t>
        </is>
      </c>
      <c r="I383">
        <f>IF(H383&lt;&gt;"",H383,G383)</f>
        <v/>
      </c>
      <c r="J383" t="inlineStr">
        <is>
          <t>Step 3-a</t>
        </is>
      </c>
      <c r="K383" t="n">
        <v>5</v>
      </c>
      <c r="L383" t="n">
        <v>1</v>
      </c>
      <c r="M383" s="5" t="inlineStr">
        <is>
          <t>As a company System Admin, I want the agent limited to the approved scope and time, so that our sensitive data stays safe.</t>
        </is>
      </c>
      <c r="N383" s="5" t="inlineStr">
        <is>
          <t>• Given an approved session, when the agent opens restricted areas (POSH, disciplinary, grievance, whistleblower, medical), then access is refused (YX-SEC-20).
• Given an approved session, when the agent views Confidential or Special fields, then they are masked unless the admin allowed them (YX-SEC-20).
• Given a session, when its window ends or the admin ends it early, then access stops at once.
• Given an active session, then the agent sees a banner with the company name and the time left.</t>
        </is>
      </c>
      <c r="O383" s="5" t="inlineStr">
        <is>
          <t>YX-SEC-20, YX-CONSOLE-01</t>
        </is>
      </c>
      <c r="P383" t="inlineStr">
        <is>
          <t>P02 Q8, P02 §5 YX-SEC-20, P14 §3</t>
        </is>
      </c>
      <c r="Q383" t="inlineStr">
        <is>
          <t>US-B-013</t>
        </is>
      </c>
      <c r="R383" s="5" t="inlineStr"/>
    </row>
    <row r="384">
      <c r="A384" t="inlineStr">
        <is>
          <t>US-B-015</t>
        </is>
      </c>
      <c r="B384" t="n">
        <v>415</v>
      </c>
      <c r="C384" t="inlineStr">
        <is>
          <t>Story</t>
        </is>
      </c>
      <c r="D384" s="5" t="inlineStr">
        <is>
          <t xml:space="preserve">        Company admin sees every action in a support session</t>
        </is>
      </c>
      <c r="E384" t="inlineStr">
        <is>
          <t>Step 3 · Platform console</t>
        </is>
      </c>
      <c r="F384" t="inlineStr">
        <is>
          <t>Support sessions with company approval</t>
        </is>
      </c>
      <c r="G384" t="inlineStr">
        <is>
          <t>New</t>
        </is>
      </c>
      <c r="I384">
        <f>IF(H384&lt;&gt;"",H384,G384)</f>
        <v/>
      </c>
      <c r="J384" t="inlineStr">
        <is>
          <t>Step 3-a</t>
        </is>
      </c>
      <c r="K384" t="n">
        <v>2</v>
      </c>
      <c r="L384" t="n">
        <v>1</v>
      </c>
      <c r="M384" s="5" t="inlineStr">
        <is>
          <t>As a company System Admin, I want an action-by-action log of each support session, so that I know exactly what YukthiX did.</t>
        </is>
      </c>
      <c r="N384" s="5" t="inlineStr">
        <is>
          <t>• Given a finished or active session, when the admin opens it, then every page viewed and every change is listed with time (YX-SEC-20).
• Given the same session, then the actions are also in the platform audit log (YX-CONSOLE-02).
• Given the log, when the admin exports it, then a CSV downloads.</t>
        </is>
      </c>
      <c r="O384" s="5" t="inlineStr">
        <is>
          <t>YX-SEC-20, YX-CONSOLE-02</t>
        </is>
      </c>
      <c r="P384" t="inlineStr">
        <is>
          <t>P02 Q8, P02 §5 YX-SEC-20, P14 §3</t>
        </is>
      </c>
      <c r="Q384" t="inlineStr">
        <is>
          <t>US-B-014</t>
        </is>
      </c>
      <c r="R384" s="5" t="inlineStr"/>
    </row>
    <row r="385">
      <c r="A385" s="9" t="inlineStr">
        <is>
          <t>FT-B-005</t>
        </is>
      </c>
      <c r="B385" s="9" t="n">
        <v>416</v>
      </c>
      <c r="C385" s="9" t="inlineStr">
        <is>
          <t>Feature</t>
        </is>
      </c>
      <c r="D385" s="10" t="inlineStr">
        <is>
          <t xml:space="preserve">    Shared channel accounts</t>
        </is>
      </c>
      <c r="E385" s="9" t="inlineStr">
        <is>
          <t>Step 3 · Platform console</t>
        </is>
      </c>
      <c r="F385" s="9" t="inlineStr">
        <is>
          <t>Shared channel accounts</t>
        </is>
      </c>
      <c r="G385" s="9" t="inlineStr">
        <is>
          <t>New</t>
        </is>
      </c>
      <c r="H385" s="9" t="n"/>
      <c r="I385" s="9">
        <f>IF(H385&lt;&gt;"",H385,G385)</f>
        <v/>
      </c>
      <c r="J385" s="9" t="inlineStr">
        <is>
          <t>Step 3-a</t>
        </is>
      </c>
      <c r="K385" s="9" t="n"/>
      <c r="L385" s="9" t="n"/>
      <c r="M385" s="10" t="inlineStr"/>
      <c r="N385" s="10" t="inlineStr"/>
      <c r="O385" s="10" t="inlineStr">
        <is>
          <t>YX-CONSOLE-02, YX-NTF-12</t>
        </is>
      </c>
      <c r="P385" s="9" t="inlineStr">
        <is>
          <t>P04 §4.4–4.5a, BACKEND-ROADMAP step 3</t>
        </is>
      </c>
      <c r="Q385" s="9" t="inlineStr"/>
      <c r="R385" s="10" t="inlineStr"/>
      <c r="S385" s="9" t="n"/>
    </row>
    <row r="386">
      <c r="A386" t="inlineStr">
        <is>
          <t>US-B-016</t>
        </is>
      </c>
      <c r="B386" t="n">
        <v>416</v>
      </c>
      <c r="C386" t="inlineStr">
        <is>
          <t>Story</t>
        </is>
      </c>
      <c r="D386" s="5" t="inlineStr">
        <is>
          <t xml:space="preserve">        Ops staff manage the shared YukthiX SMS account in the console</t>
        </is>
      </c>
      <c r="E386" t="inlineStr">
        <is>
          <t>Step 3 · Platform console</t>
        </is>
      </c>
      <c r="F386" t="inlineStr">
        <is>
          <t>Shared channel accounts</t>
        </is>
      </c>
      <c r="G386" t="inlineStr">
        <is>
          <t>New</t>
        </is>
      </c>
      <c r="I386">
        <f>IF(H386&lt;&gt;"",H386,G386)</f>
        <v/>
      </c>
      <c r="J386" t="inlineStr">
        <is>
          <t>Step 3-a</t>
        </is>
      </c>
      <c r="K386" t="n">
        <v>5</v>
      </c>
      <c r="L386" t="n">
        <v>1</v>
      </c>
      <c r="M386" s="5" t="inlineStr">
        <is>
          <t>As YukthiX ops staff, I want the shared Zoho CPaaS SMS account set up in the console instead of in a company's settings, so that no company admin can see or change our provider keys.</t>
        </is>
      </c>
      <c r="N386" s="5" t="inlineStr">
        <is>
          <t>• Given the shared SMS account settings in company settings today, when this story ships, then they move to the console and are removed from every company settings screen, and sending keeps working with no gap.
• Given the console, when ops staff save the provider, sender header and keys, then secrets are stored encrypted and never shown again after save.
• Given a change to the shared account, when it is saved, then a second staff member must approve it and it is audited (YX-CONSOLE-02).
• Given the shared account, when staff use "Test send" to their own number, then they see the delivery result.</t>
        </is>
      </c>
      <c r="O386" s="5" t="inlineStr">
        <is>
          <t>YX-CONSOLE-02</t>
        </is>
      </c>
      <c r="P386" t="inlineStr">
        <is>
          <t>P04 §4.4–4.5a, BACKEND-ROADMAP step 3</t>
        </is>
      </c>
      <c r="Q386" t="inlineStr">
        <is>
          <t>US-B-002</t>
        </is>
      </c>
      <c r="R386" s="5" t="inlineStr"/>
    </row>
    <row r="387">
      <c r="A387" t="inlineStr">
        <is>
          <t>US-B-017</t>
        </is>
      </c>
      <c r="B387" t="n">
        <v>417</v>
      </c>
      <c r="C387" t="inlineStr">
        <is>
          <t>Story</t>
        </is>
      </c>
      <c r="D387" s="5" t="inlineStr">
        <is>
          <t xml:space="preserve">        Company admin sees whether SMS uses the shared account or their own</t>
        </is>
      </c>
      <c r="E387" t="inlineStr">
        <is>
          <t>Step 3 · Platform console</t>
        </is>
      </c>
      <c r="F387" t="inlineStr">
        <is>
          <t>Shared channel accounts</t>
        </is>
      </c>
      <c r="G387" t="inlineStr">
        <is>
          <t>New</t>
        </is>
      </c>
      <c r="I387">
        <f>IF(H387&lt;&gt;"",H387,G387)</f>
        <v/>
      </c>
      <c r="J387" t="inlineStr">
        <is>
          <t>Step 3-a</t>
        </is>
      </c>
      <c r="K387" t="n">
        <v>3</v>
      </c>
      <c r="L387" t="n">
        <v>1</v>
      </c>
      <c r="M387" s="5" t="inlineStr">
        <is>
          <t>As a company System Admin, I want to know which SMS account sends our messages, so that I can switch to our own DLT account if we want.</t>
        </is>
      </c>
      <c r="N387" s="5" t="inlineStr">
        <is>
          <t>• Given a company on the shared account, when the admin opens channel settings, then it shows "YukthiX shared sender" with no keys or secrets.
• Given a company, when the admin connects its own DLT SMS account, then messages go through it; switching back to shared is allowed.
• Given the shared account, when a company sends SMS, then its usage is metered per company for billing (YX-NTF-12).</t>
        </is>
      </c>
      <c r="O387" s="5" t="inlineStr">
        <is>
          <t>YX-NTF-12</t>
        </is>
      </c>
      <c r="P387" t="inlineStr">
        <is>
          <t>P04 §4.4–4.5a, BACKEND-ROADMAP step 3</t>
        </is>
      </c>
      <c r="Q387" t="inlineStr">
        <is>
          <t>US-B-016</t>
        </is>
      </c>
      <c r="R387" s="5" t="inlineStr"/>
    </row>
    <row r="388">
      <c r="A388" t="inlineStr">
        <is>
          <t>US-B-018</t>
        </is>
      </c>
      <c r="B388" t="n">
        <v>418</v>
      </c>
      <c r="C388" t="inlineStr">
        <is>
          <t>Story</t>
        </is>
      </c>
      <c r="D388" s="5" t="inlineStr">
        <is>
          <t xml:space="preserve">        Ops staff manage DLT headers and templates of the shared account</t>
        </is>
      </c>
      <c r="E388" t="inlineStr">
        <is>
          <t>Step 3 · Platform console</t>
        </is>
      </c>
      <c r="F388" t="inlineStr">
        <is>
          <t>Shared channel accounts</t>
        </is>
      </c>
      <c r="G388" t="inlineStr">
        <is>
          <t>New</t>
        </is>
      </c>
      <c r="I388">
        <f>IF(H388&lt;&gt;"",H388,G388)</f>
        <v/>
      </c>
      <c r="J388" t="inlineStr">
        <is>
          <t>Step 3-a</t>
        </is>
      </c>
      <c r="K388" t="n">
        <v>3</v>
      </c>
      <c r="L388" t="n">
        <v>2</v>
      </c>
      <c r="M388" s="5" t="inlineStr">
        <is>
          <t>As YukthiX ops staff, I want to see the DLT sender headers and templates of the shared account, so that only approved wording is sent.</t>
        </is>
      </c>
      <c r="N388" s="5" t="inlineStr">
        <is>
          <t>• Given the shared account, when staff open templates, then each shows its DLT status (pending, approved, rejected).
• Given a template that is not approved, when a message tries to use it, then it is not sent on SMS and the fallback channel is used and logged.
• Given any template change, when it is saved, then it is audited (YX-CONSOLE-02).</t>
        </is>
      </c>
      <c r="O388" s="5" t="inlineStr">
        <is>
          <t>YX-CONSOLE-02</t>
        </is>
      </c>
      <c r="P388" t="inlineStr">
        <is>
          <t>P04 §4.4–4.5a, BACKEND-ROADMAP step 3</t>
        </is>
      </c>
      <c r="Q388" t="inlineStr">
        <is>
          <t>US-B-016</t>
        </is>
      </c>
      <c r="R388" s="5" t="inlineStr"/>
    </row>
    <row r="389">
      <c r="A389" t="inlineStr">
        <is>
          <t>US-B-019</t>
        </is>
      </c>
      <c r="B389" t="n">
        <v>419</v>
      </c>
      <c r="C389" t="inlineStr">
        <is>
          <t>Story</t>
        </is>
      </c>
      <c r="D389" s="5" t="inlineStr">
        <is>
          <t xml:space="preserve">        Ops staff see the health of shared channel accounts</t>
        </is>
      </c>
      <c r="E389" t="inlineStr">
        <is>
          <t>Step 3 · Platform console</t>
        </is>
      </c>
      <c r="F389" t="inlineStr">
        <is>
          <t>Shared channel accounts</t>
        </is>
      </c>
      <c r="G389" t="inlineStr">
        <is>
          <t>New</t>
        </is>
      </c>
      <c r="I389">
        <f>IF(H389&lt;&gt;"",H389,G389)</f>
        <v/>
      </c>
      <c r="J389" t="inlineStr">
        <is>
          <t>Step 3-a</t>
        </is>
      </c>
      <c r="K389" t="n">
        <v>2</v>
      </c>
      <c r="L389" t="n">
        <v>2</v>
      </c>
      <c r="M389" s="5" t="inlineStr">
        <is>
          <t>As YukthiX ops staff, I want delivery rates and errors for the shared accounts, so that I notice a provider problem before customers do.</t>
        </is>
      </c>
      <c r="N389" s="5" t="inlineStr">
        <is>
          <t>• Given the shared SMS account, when staff open its page, then they see sent, delivered and failed counts per day.
• Given a failure rate above the set limit for 15 minutes, when it happens, then the on-call engineer is alerted.
• Given the page, then no message text or phone number is shown, only counts and error codes.</t>
        </is>
      </c>
      <c r="O389" s="5" t="inlineStr"/>
      <c r="P389" t="inlineStr">
        <is>
          <t>P04 §4.4–4.5a, BACKEND-ROADMAP step 3</t>
        </is>
      </c>
      <c r="Q389" t="inlineStr">
        <is>
          <t>US-B-016</t>
        </is>
      </c>
      <c r="R389" s="5" t="inlineStr"/>
    </row>
    <row r="390">
      <c r="A390" s="9" t="inlineStr">
        <is>
          <t>FT-B-006</t>
        </is>
      </c>
      <c r="B390" s="9" t="n">
        <v>420</v>
      </c>
      <c r="C390" s="9" t="inlineStr">
        <is>
          <t>Feature</t>
        </is>
      </c>
      <c r="D390" s="10" t="inlineStr">
        <is>
          <t xml:space="preserve">    Products, plans and price catalogue</t>
        </is>
      </c>
      <c r="E390" s="9" t="inlineStr">
        <is>
          <t>Step 3 · Platform console</t>
        </is>
      </c>
      <c r="F390" s="9" t="inlineStr">
        <is>
          <t>Products, plans and price catalogue</t>
        </is>
      </c>
      <c r="G390" s="9" t="inlineStr">
        <is>
          <t>New</t>
        </is>
      </c>
      <c r="H390" s="9" t="n"/>
      <c r="I390" s="9">
        <f>IF(H390&lt;&gt;"",H390,G390)</f>
        <v/>
      </c>
      <c r="J390" s="9" t="inlineStr">
        <is>
          <t>Step 3-b</t>
        </is>
      </c>
      <c r="K390" s="9" t="n"/>
      <c r="L390" s="9" t="n"/>
      <c r="M390" s="10" t="inlineStr"/>
      <c r="N390" s="10" t="inlineStr"/>
      <c r="O390" s="10" t="inlineStr">
        <is>
          <t>YX-BILL-01, YX-CONSOLE-02, YX-BILL-14, YX-BILL-11, YX-BILL-13, YX-BILL-09, YX-CONSOLE-09</t>
        </is>
      </c>
      <c r="P390" s="9" t="inlineStr">
        <is>
          <t>P14 §3, P14 §4, PRICING-UNIT-ECONOMICS §2</t>
        </is>
      </c>
      <c r="Q390" s="9" t="inlineStr"/>
      <c r="R390" s="10" t="inlineStr"/>
      <c r="S390" s="9" t="n"/>
    </row>
    <row r="391">
      <c r="A391" t="inlineStr">
        <is>
          <t>US-B-020</t>
        </is>
      </c>
      <c r="B391" t="n">
        <v>420</v>
      </c>
      <c r="C391" t="inlineStr">
        <is>
          <t>Story</t>
        </is>
      </c>
      <c r="D391" s="5" t="inlineStr">
        <is>
          <t xml:space="preserve">        Billing staff keep one plan per product with dated prices</t>
        </is>
      </c>
      <c r="E391" t="inlineStr">
        <is>
          <t>Step 3 · Platform console</t>
        </is>
      </c>
      <c r="F391" t="inlineStr">
        <is>
          <t>Products, plans and price catalogue</t>
        </is>
      </c>
      <c r="G391" t="inlineStr">
        <is>
          <t>New</t>
        </is>
      </c>
      <c r="I391">
        <f>IF(H391&lt;&gt;"",H391,G391)</f>
        <v/>
      </c>
      <c r="J391" t="inlineStr">
        <is>
          <t>Step 3-b</t>
        </is>
      </c>
      <c r="K391" t="n">
        <v>5</v>
      </c>
      <c r="L391" t="n">
        <v>1</v>
      </c>
      <c r="M391" s="5" t="inlineStr">
        <is>
          <t>As YukthiX billing staff, I want one plan per product with dated prices, so that companies buy products, never tiers.</t>
        </is>
      </c>
      <c r="N391" s="5" t="inlineStr">
        <is>
          <t>• Given the catalogue, when staff try to add a second plan to a product, then it is refused (YX-BILL-01).
• Given a plan, then its prices are stored per currency, period and region with start dates; India starts at ₹99 per employee, recruiter seat or attempt, and $1 elsewhere (PRICING §2).
• Given a price change, when it is saved, then a second staff member must approve it and it is audited (YX-CONSOLE-02).</t>
        </is>
      </c>
      <c r="O391" s="5" t="inlineStr">
        <is>
          <t>YX-BILL-01, YX-CONSOLE-02</t>
        </is>
      </c>
      <c r="P391" t="inlineStr">
        <is>
          <t>P14 §3, P14 §4, PRICING-UNIT-ECONOMICS §2</t>
        </is>
      </c>
      <c r="Q391" t="inlineStr">
        <is>
          <t>US-B-005</t>
        </is>
      </c>
      <c r="R391" s="5" t="inlineStr"/>
    </row>
    <row r="392">
      <c r="A392" t="inlineStr">
        <is>
          <t>US-B-021</t>
        </is>
      </c>
      <c r="B392" t="n">
        <v>421</v>
      </c>
      <c r="C392" t="inlineStr">
        <is>
          <t>Story</t>
        </is>
      </c>
      <c r="D392" s="5" t="inlineStr">
        <is>
          <t xml:space="preserve">        Billing staff set discounts and minimum amounts</t>
        </is>
      </c>
      <c r="E392" t="inlineStr">
        <is>
          <t>Step 3 · Platform console</t>
        </is>
      </c>
      <c r="F392" t="inlineStr">
        <is>
          <t>Products, plans and price catalogue</t>
        </is>
      </c>
      <c r="G392" t="inlineStr">
        <is>
          <t>New</t>
        </is>
      </c>
      <c r="I392">
        <f>IF(H392&lt;&gt;"",H392,G392)</f>
        <v/>
      </c>
      <c r="J392" t="inlineStr">
        <is>
          <t>Step 3-b</t>
        </is>
      </c>
      <c r="K392" t="n">
        <v>5</v>
      </c>
      <c r="L392" t="n">
        <v>1</v>
      </c>
      <c r="M392" s="5" t="inlineStr">
        <is>
          <t>As YukthiX billing staff, I want bundle, annual and founding discounts and the minimum per product in the catalogue, so that invoices apply them the same way for everyone.</t>
        </is>
      </c>
      <c r="N392" s="5" t="inlineStr">
        <is>
          <t>• Given a company with 2 products, when the invoice is built, then 10 % bundle discount applies automatically; with 3 products, 15 % (YX-BILL-01).
• Given annual prepay, then the price is 10 months for 12 (PRICING §2).
• Given the minimums, then HRMS is ₹499, ATS ₹999 and Proctoring ₹999 only in a month with at least one attempt, otherwise ₹0 (YX-BILL-14).
• Given the founding offer, then the first 100 companies can lock ₹79 per employee for 36 months, and the list price does not change.</t>
        </is>
      </c>
      <c r="O392" s="5" t="inlineStr">
        <is>
          <t>YX-BILL-01, YX-BILL-14</t>
        </is>
      </c>
      <c r="P392" t="inlineStr">
        <is>
          <t>P14 §3, P14 §4, PRICING-UNIT-ECONOMICS §2</t>
        </is>
      </c>
      <c r="Q392" t="inlineStr">
        <is>
          <t>US-B-020</t>
        </is>
      </c>
      <c r="R392" s="5" t="inlineStr"/>
    </row>
    <row r="393">
      <c r="A393" t="inlineStr">
        <is>
          <t>US-B-022</t>
        </is>
      </c>
      <c r="B393" t="n">
        <v>422</v>
      </c>
      <c r="C393" t="inlineStr">
        <is>
          <t>Story</t>
        </is>
      </c>
      <c r="D393" s="5" t="inlineStr">
        <is>
          <t xml:space="preserve">        Billing staff manage the add-on catalogue</t>
        </is>
      </c>
      <c r="E393" t="inlineStr">
        <is>
          <t>Step 3 · Platform console</t>
        </is>
      </c>
      <c r="F393" t="inlineStr">
        <is>
          <t>Products, plans and price catalogue</t>
        </is>
      </c>
      <c r="G393" t="inlineStr">
        <is>
          <t>New</t>
        </is>
      </c>
      <c r="I393">
        <f>IF(H393&lt;&gt;"",H393,G393)</f>
        <v/>
      </c>
      <c r="J393" t="inlineStr">
        <is>
          <t>Step 3-b</t>
        </is>
      </c>
      <c r="K393" t="n">
        <v>3</v>
      </c>
      <c r="L393" t="n">
        <v>1</v>
      </c>
      <c r="M393" s="5" t="inlineStr">
        <is>
          <t>As YukthiX billing staff, I want a catalogue of add-ons, so that only partner costs and usage above fair use are charged extra.</t>
        </is>
      </c>
      <c r="N393" s="5" t="inlineStr">
        <is>
          <t>• Given an add-on, then its type is one of partner pass-through, usage, custom connection, customisation or priority support.
• Given a partner service (EWA, benchmarking data, learning content, eKYC / DigiLocker), then the connector is included and only the partner's charge is an add-on (YX-BILL-11).
• Given job-board postings, when staff try to create a YukthiX price line for them, then it is refused; posting fees stay on the customer's own board account (YX-BILL-11).
• Given the EWA add-on, then its description says the regulated partner provides the funds and YukthiX never lends or holds them (YX-BILL-11).</t>
        </is>
      </c>
      <c r="O393" s="5" t="inlineStr">
        <is>
          <t>YX-BILL-11, YX-BILL-01</t>
        </is>
      </c>
      <c r="P393" t="inlineStr">
        <is>
          <t>P14 §3, P14 §4, PRICING-UNIT-ECONOMICS §2</t>
        </is>
      </c>
      <c r="Q393" t="inlineStr">
        <is>
          <t>US-B-020</t>
        </is>
      </c>
      <c r="R393" s="5" t="inlineStr"/>
    </row>
    <row r="394">
      <c r="A394" t="inlineStr">
        <is>
          <t>US-B-023</t>
        </is>
      </c>
      <c r="B394" t="n">
        <v>423</v>
      </c>
      <c r="C394" t="inlineStr">
        <is>
          <t>Story</t>
        </is>
      </c>
      <c r="D394" s="5" t="inlineStr">
        <is>
          <t xml:space="preserve">        Visitor sees the published price list</t>
        </is>
      </c>
      <c r="E394" t="inlineStr">
        <is>
          <t>Step 3 · Platform console</t>
        </is>
      </c>
      <c r="F394" t="inlineStr">
        <is>
          <t>Products, plans and price catalogue</t>
        </is>
      </c>
      <c r="G394" t="inlineStr">
        <is>
          <t>New</t>
        </is>
      </c>
      <c r="I394">
        <f>IF(H394&lt;&gt;"",H394,G394)</f>
        <v/>
      </c>
      <c r="J394" t="inlineStr">
        <is>
          <t>Step 3-b</t>
        </is>
      </c>
      <c r="K394" t="n">
        <v>3</v>
      </c>
      <c r="L394" t="n">
        <v>1</v>
      </c>
      <c r="M394" s="5" t="inlineStr">
        <is>
          <t>As a visitor or company admin, I want to see every price before I buy, so that there are no surprises.</t>
        </is>
      </c>
      <c r="N394" s="5" t="inlineStr">
        <is>
          <t>• Given the website and the app before purchase, then every product, add-on, discount and minimum is shown from the same catalogue (YX-BILL-14).
• Given a self-serve company, when an invoice is made, then no price outside the published list is used (YX-BILL-14).
• Given the price pages, then no text uses "plan", "tier", "premium", "upgrade" or "unlock" (brand Part 2).</t>
        </is>
      </c>
      <c r="O394" s="5" t="inlineStr">
        <is>
          <t>YX-BILL-14</t>
        </is>
      </c>
      <c r="P394" t="inlineStr">
        <is>
          <t>P14 §3, P14 §4, PRICING-UNIT-ECONOMICS §2</t>
        </is>
      </c>
      <c r="Q394" t="inlineStr">
        <is>
          <t>US-B-021, US-B-022</t>
        </is>
      </c>
      <c r="R394" s="5" t="inlineStr"/>
    </row>
    <row r="395">
      <c r="A395" t="inlineStr">
        <is>
          <t>US-B-024</t>
        </is>
      </c>
      <c r="B395" t="n">
        <v>424</v>
      </c>
      <c r="C395" t="inlineStr">
        <is>
          <t>Story</t>
        </is>
      </c>
      <c r="D395" s="5" t="inlineStr">
        <is>
          <t xml:space="preserve">        Billing staff schedule a price change with 90 days' notice</t>
        </is>
      </c>
      <c r="E395" t="inlineStr">
        <is>
          <t>Step 3 · Platform console</t>
        </is>
      </c>
      <c r="F395" t="inlineStr">
        <is>
          <t>Products, plans and price catalogue</t>
        </is>
      </c>
      <c r="G395" t="inlineStr">
        <is>
          <t>New</t>
        </is>
      </c>
      <c r="I395">
        <f>IF(H395&lt;&gt;"",H395,G395)</f>
        <v/>
      </c>
      <c r="J395" t="inlineStr">
        <is>
          <t>Step 3-b</t>
        </is>
      </c>
      <c r="K395" t="n">
        <v>5</v>
      </c>
      <c r="L395" t="n">
        <v>1</v>
      </c>
      <c r="M395" s="5" t="inlineStr">
        <is>
          <t>As YukthiX billing staff, I want price and feature changes to follow fixed notice rules, so that customers can plan.</t>
        </is>
      </c>
      <c r="N395" s="5" t="inlineStr">
        <is>
          <t>• Given a list-price change, when its start date is less than 90 days away, then it cannot be saved (YX-BILL-13).
• Given a saved change, then every company's admins and billing contact get a notice at once (YX-BILL-13).
• Given a company on an annual term, then its price does not change until renewal (YX-BILL-13).
• Given a feature removal, then it needs at least 6 months' notice and an export path for its data (YX-BILL-13).
• Given an annual renewal, then reminders with the renewal price go 30 and 7 days before (YX-BILL-13).</t>
        </is>
      </c>
      <c r="O395" s="5" t="inlineStr">
        <is>
          <t>YX-BILL-13</t>
        </is>
      </c>
      <c r="P395" t="inlineStr">
        <is>
          <t>P14 §3, P14 §4, PRICING-UNIT-ECONOMICS §2</t>
        </is>
      </c>
      <c r="Q395" t="inlineStr">
        <is>
          <t>US-B-020</t>
        </is>
      </c>
      <c r="R395" s="5" t="inlineStr"/>
    </row>
    <row r="396">
      <c r="A396" t="inlineStr">
        <is>
          <t>US-B-025</t>
        </is>
      </c>
      <c r="B396" t="n">
        <v>425</v>
      </c>
      <c r="C396" t="inlineStr">
        <is>
          <t>Story</t>
        </is>
      </c>
      <c r="D396" s="5" t="inlineStr">
        <is>
          <t xml:space="preserve">        Founder sees cost per billable unit against the price</t>
        </is>
      </c>
      <c r="E396" t="inlineStr">
        <is>
          <t>Step 3 · Platform console</t>
        </is>
      </c>
      <c r="F396" t="inlineStr">
        <is>
          <t>Products, plans and price catalogue</t>
        </is>
      </c>
      <c r="G396" t="inlineStr">
        <is>
          <t>New</t>
        </is>
      </c>
      <c r="I396">
        <f>IF(H396&lt;&gt;"",H396,G396)</f>
        <v/>
      </c>
      <c r="J396" t="inlineStr">
        <is>
          <t>Step 3-b</t>
        </is>
      </c>
      <c r="K396" t="n">
        <v>5</v>
      </c>
      <c r="L396" t="n">
        <v>2</v>
      </c>
      <c r="M396" s="5" t="inlineStr">
        <is>
          <t>As the founder, I want to see the full running cost per billable unit each month, so that I know the $1 price stays safe.</t>
        </is>
      </c>
      <c r="N396" s="5" t="inlineStr">
        <is>
          <t>• Given each product, when the month closes, then the console shows the fully loaded cost per unit against the price (YX-BILL-09).
• Given month 18 after launch or later, when cost per unit is above 40 % of the price, then the product is flagged (YX-BILL-09).
• Given a new feature marked as a cost driver, when it is prepared for release, then the release checklist asks for it to be an add-on first (YX-BILL-09).</t>
        </is>
      </c>
      <c r="O396" s="5" t="inlineStr">
        <is>
          <t>YX-BILL-09</t>
        </is>
      </c>
      <c r="P396" t="inlineStr">
        <is>
          <t>P14 §3, P14 §4, PRICING-UNIT-ECONOMICS §2</t>
        </is>
      </c>
      <c r="Q396" t="inlineStr">
        <is>
          <t>US-B-020</t>
        </is>
      </c>
      <c r="R396" s="5" t="inlineStr"/>
    </row>
    <row r="397">
      <c r="A397" t="inlineStr">
        <is>
          <t>US-B-026</t>
        </is>
      </c>
      <c r="B397" t="n">
        <v>426</v>
      </c>
      <c r="C397" t="inlineStr">
        <is>
          <t>Story</t>
        </is>
      </c>
      <c r="D397" s="5" t="inlineStr">
        <is>
          <t xml:space="preserve">        Founder sees cost per company against its revenue</t>
        </is>
      </c>
      <c r="E397" t="inlineStr">
        <is>
          <t>Step 3 · Platform console</t>
        </is>
      </c>
      <c r="F397" t="inlineStr">
        <is>
          <t>Products, plans and price catalogue</t>
        </is>
      </c>
      <c r="G397" t="inlineStr">
        <is>
          <t>New</t>
        </is>
      </c>
      <c r="I397">
        <f>IF(H397&lt;&gt;"",H397,G397)</f>
        <v/>
      </c>
      <c r="J397" t="inlineStr">
        <is>
          <t>Step 3-b</t>
        </is>
      </c>
      <c r="K397" t="n">
        <v>5</v>
      </c>
      <c r="L397" t="n">
        <v>2</v>
      </c>
      <c r="M397" s="5" t="inlineStr">
        <is>
          <t>As the founder, I want each company's storage, egress, AI and compute cost next to what it pays, so that I spot loss-making accounts.</t>
        </is>
      </c>
      <c r="N397" s="5" t="inlineStr">
        <is>
          <t>• Given metering tags, when the day closes, then storage, egress, AI and compute are attributed per company (YX-CONSOLE-09).
• Given a company, then the console shows cost, billed revenue and gross margin; shared costs use a documented key (YX-CONSOLE-09).
• Given a company whose cost passes the set share of revenue, then it is flagged (YX-CONSOLE-09).
• Given a staff member without the product analytics role, when they open this view, then access is refused (YX-CONSOLE-09).</t>
        </is>
      </c>
      <c r="O397" s="5" t="inlineStr">
        <is>
          <t>YX-CONSOLE-09</t>
        </is>
      </c>
      <c r="P397" t="inlineStr">
        <is>
          <t>P14 §3, P14 §4, PRICING-UNIT-ECONOMICS §2</t>
        </is>
      </c>
      <c r="Q397" t="inlineStr">
        <is>
          <t>US-B-020</t>
        </is>
      </c>
      <c r="R397" s="5" t="inlineStr"/>
    </row>
    <row r="398">
      <c r="A398" s="9" t="inlineStr">
        <is>
          <t>FT-B-007</t>
        </is>
      </c>
      <c r="B398" s="9" t="n">
        <v>427</v>
      </c>
      <c r="C398" s="9" t="inlineStr">
        <is>
          <t>Feature</t>
        </is>
      </c>
      <c r="D398" s="10" t="inlineStr">
        <is>
          <t xml:space="preserve">    Usage meters and billable units</t>
        </is>
      </c>
      <c r="E398" s="9" t="inlineStr">
        <is>
          <t>Step 3 · Platform console</t>
        </is>
      </c>
      <c r="F398" s="9" t="inlineStr">
        <is>
          <t>Usage meters and billable units</t>
        </is>
      </c>
      <c r="G398" s="9" t="inlineStr">
        <is>
          <t>New</t>
        </is>
      </c>
      <c r="H398" s="9" t="n"/>
      <c r="I398" s="9">
        <f>IF(H398&lt;&gt;"",H398,G398)</f>
        <v/>
      </c>
      <c r="J398" s="9" t="inlineStr">
        <is>
          <t>Step 3-b</t>
        </is>
      </c>
      <c r="K398" s="9" t="n"/>
      <c r="L398" s="9" t="n"/>
      <c r="M398" s="10" t="inlineStr"/>
      <c r="N398" s="10" t="inlineStr"/>
      <c r="O398" s="10" t="inlineStr">
        <is>
          <t>YX-BILL-08, YX-BILL-02, YX-BILL-03, YX-BILL-10, YX-BILL-12, YX-TEN-08, YX-BILL-07</t>
        </is>
      </c>
      <c r="P398" s="9" t="inlineStr">
        <is>
          <t>P14 §3, P14 §4 meter_events, P14 Q1–Q2</t>
        </is>
      </c>
      <c r="Q398" s="9" t="inlineStr"/>
      <c r="R398" s="10" t="inlineStr"/>
      <c r="S398" s="9" t="n"/>
    </row>
    <row r="399">
      <c r="A399" t="inlineStr">
        <is>
          <t>US-B-027</t>
        </is>
      </c>
      <c r="B399" t="n">
        <v>427</v>
      </c>
      <c r="C399" t="inlineStr">
        <is>
          <t>Story</t>
        </is>
      </c>
      <c r="D399" s="5" t="inlineStr">
        <is>
          <t xml:space="preserve">        Platform records usage in one append-only meter ledger</t>
        </is>
      </c>
      <c r="E399" t="inlineStr">
        <is>
          <t>Step 3 · Platform console</t>
        </is>
      </c>
      <c r="F399" t="inlineStr">
        <is>
          <t>Usage meters and billable units</t>
        </is>
      </c>
      <c r="G399" t="inlineStr">
        <is>
          <t>New</t>
        </is>
      </c>
      <c r="I399">
        <f>IF(H399&lt;&gt;"",H399,G399)</f>
        <v/>
      </c>
      <c r="J399" t="inlineStr">
        <is>
          <t>Step 3-b</t>
        </is>
      </c>
      <c r="K399" t="n">
        <v>5</v>
      </c>
      <c r="L399" t="n">
        <v>1</v>
      </c>
      <c r="M399" s="5" t="inlineStr">
        <is>
          <t>As YukthiX billing staff, I want all usage in one ledger, so that invoices, usage pages and alerts use the same numbers.</t>
        </is>
      </c>
      <c r="N399" s="5" t="inlineStr">
        <is>
          <t>• Given any metered use (employees, recruiter seats, attempts, SMS, AI credits, storage, API calls, proctor hours, partner calls), when it happens, then an event is saved with company, meter, quantity, time and source.
• Given the ledger, when anyone tries to change an event, then it is refused; corrections are new events.
• Given a partner add-on call, then it is metered per call with the partner reference (YX-BILL-08).
• Given the move from the exam app, then old AI credit, SMS and attempt usage is loaded into the ledger.</t>
        </is>
      </c>
      <c r="O399" s="5" t="inlineStr">
        <is>
          <t>YX-BILL-08</t>
        </is>
      </c>
      <c r="P399" t="inlineStr">
        <is>
          <t>P14 §3, P14 §4 meter_events, P14 Q1–Q2</t>
        </is>
      </c>
      <c r="Q399" t="inlineStr">
        <is>
          <t>US-B-020</t>
        </is>
      </c>
      <c r="R399" s="5" t="inlineStr"/>
    </row>
    <row r="400">
      <c r="A400" t="inlineStr">
        <is>
          <t>US-B-028</t>
        </is>
      </c>
      <c r="B400" t="n">
        <v>428</v>
      </c>
      <c r="C400" t="inlineStr">
        <is>
          <t>Story</t>
        </is>
      </c>
      <c r="D400" s="5" t="inlineStr">
        <is>
          <t xml:space="preserve">        Platform counts each HRMS person once a month</t>
        </is>
      </c>
      <c r="E400" t="inlineStr">
        <is>
          <t>Step 3 · Platform console</t>
        </is>
      </c>
      <c r="F400" t="inlineStr">
        <is>
          <t>Usage meters and billable units</t>
        </is>
      </c>
      <c r="G400" t="inlineStr">
        <is>
          <t>New</t>
        </is>
      </c>
      <c r="I400">
        <f>IF(H400&lt;&gt;"",H400,G400)</f>
        <v/>
      </c>
      <c r="J400" t="inlineStr">
        <is>
          <t>Step 3-b</t>
        </is>
      </c>
      <c r="K400" t="n">
        <v>8</v>
      </c>
      <c r="L400" t="n">
        <v>1</v>
      </c>
      <c r="M400" s="5" t="inlineStr">
        <is>
          <t>As a company Payroll Admin, I want each person counted once a month across all our legal entities, so that we never pay twice for one person.</t>
        </is>
      </c>
      <c r="N400" s="5" t="inlineStr">
        <is>
          <t>• Given a person with active employment on any day of the month, then they are one unit, once across all legal entities (YX-BILL-02).
• Given a person moved from entity A to B on the 11th of a 30-day month, then they are one unit, with 10/30 against A and 20/30 against B (YX-BILL-02).
• Given pre-boarders, alumni, nominees and external logins, then they are never counted (YX-BILL-03).
• Given a consultant paid this month, then they count once, and not again if they are also an employee this month (YX-BILL-10).
• Given the snapshot, then every counted person is listed with a reason such as "active employee" or "consultant paid" (YX-BILL-02).</t>
        </is>
      </c>
      <c r="O400" s="5" t="inlineStr">
        <is>
          <t>YX-BILL-02, YX-BILL-03, YX-BILL-10</t>
        </is>
      </c>
      <c r="P400" t="inlineStr">
        <is>
          <t>P14 §3, P14 §4 meter_events, P14 Q1–Q2</t>
        </is>
      </c>
      <c r="Q400" t="inlineStr">
        <is>
          <t>US-B-027</t>
        </is>
      </c>
      <c r="R400" s="5" t="inlineStr"/>
    </row>
    <row r="401">
      <c r="A401" t="inlineStr">
        <is>
          <t>US-B-029</t>
        </is>
      </c>
      <c r="B401" t="n">
        <v>429</v>
      </c>
      <c r="C401" t="inlineStr">
        <is>
          <t>Story</t>
        </is>
      </c>
      <c r="D401" s="5" t="inlineStr">
        <is>
          <t xml:space="preserve">        Platform counts recruiter seats and test attempts</t>
        </is>
      </c>
      <c r="E401" t="inlineStr">
        <is>
          <t>Step 3 · Platform console</t>
        </is>
      </c>
      <c r="F401" t="inlineStr">
        <is>
          <t>Usage meters and billable units</t>
        </is>
      </c>
      <c r="G401" t="inlineStr">
        <is>
          <t>New</t>
        </is>
      </c>
      <c r="I401">
        <f>IF(H401&lt;&gt;"",H401,G401)</f>
        <v/>
      </c>
      <c r="J401" t="inlineStr">
        <is>
          <t>Step 3-b</t>
        </is>
      </c>
      <c r="K401" t="n">
        <v>3</v>
      </c>
      <c r="L401" t="n">
        <v>1</v>
      </c>
      <c r="M401" s="5" t="inlineStr">
        <is>
          <t>As a company admin, I want ATS and Proctoring counted fairly, so that free roles and failed attempts do not cost us.</t>
        </is>
      </c>
      <c r="N401" s="5" t="inlineStr">
        <is>
          <t>• Given ATS, then users with recruiter or hiring-admin roles are seats; hiring managers and panel members are free (YX-BILL-03).
• Given Proctoring, then each attempt started counts; practice attempts and attempts reset for a technical failure are free; retakes count (YX-BILL-03).
• Given the snapshot, then every counted seat or attempt is listed (YX-BILL-02).</t>
        </is>
      </c>
      <c r="O401" s="5" t="inlineStr">
        <is>
          <t>YX-BILL-03, YX-BILL-02</t>
        </is>
      </c>
      <c r="P401" t="inlineStr">
        <is>
          <t>P14 §3, P14 §4 meter_events, P14 Q1–Q2</t>
        </is>
      </c>
      <c r="Q401" t="inlineStr">
        <is>
          <t>US-B-027</t>
        </is>
      </c>
      <c r="R401" s="5" t="inlineStr"/>
    </row>
    <row r="402">
      <c r="A402" t="inlineStr">
        <is>
          <t>US-B-030</t>
        </is>
      </c>
      <c r="B402" t="n">
        <v>430</v>
      </c>
      <c r="C402" t="inlineStr">
        <is>
          <t>Story</t>
        </is>
      </c>
      <c r="D402" s="5" t="inlineStr">
        <is>
          <t xml:space="preserve">        Meter starts only when the company goes live</t>
        </is>
      </c>
      <c r="E402" t="inlineStr">
        <is>
          <t>Step 3 · Platform console</t>
        </is>
      </c>
      <c r="F402" t="inlineStr">
        <is>
          <t>Usage meters and billable units</t>
        </is>
      </c>
      <c r="G402" t="inlineStr">
        <is>
          <t>New</t>
        </is>
      </c>
      <c r="I402">
        <f>IF(H402&lt;&gt;"",H402,G402)</f>
        <v/>
      </c>
      <c r="J402" t="inlineStr">
        <is>
          <t>Step 3-b</t>
        </is>
      </c>
      <c r="K402" t="n">
        <v>3</v>
      </c>
      <c r="L402" t="n">
        <v>1</v>
      </c>
      <c r="M402" s="5" t="inlineStr">
        <is>
          <t>As a company admin, I want billing to start only when we go live, so that set-up and migration days are free.</t>
        </is>
      </c>
      <c r="N402" s="5" t="inlineStr">
        <is>
          <t>• Given a company that signs on the 3rd and marks HRMS live on the 20th, then HRMS is billed from the 20th (YX-BILL-12).
• Given HRMS, then the start is the go-live date or the first live payroll run, whichever comes first (YX-BILL-12).
• Given a trial, then no card or mandate is ever charged (YX-TEN-08).</t>
        </is>
      </c>
      <c r="O402" s="5" t="inlineStr">
        <is>
          <t>YX-BILL-12, YX-TEN-08</t>
        </is>
      </c>
      <c r="P402" t="inlineStr">
        <is>
          <t>P14 §3, P14 §4 meter_events, P14 Q1–Q2</t>
        </is>
      </c>
      <c r="Q402" t="inlineStr">
        <is>
          <t>US-B-027</t>
        </is>
      </c>
      <c r="R402" s="5" t="inlineStr"/>
    </row>
    <row r="403">
      <c r="A403" t="inlineStr">
        <is>
          <t>US-B-031</t>
        </is>
      </c>
      <c r="B403" t="n">
        <v>431</v>
      </c>
      <c r="C403" t="inlineStr">
        <is>
          <t>Story</t>
        </is>
      </c>
      <c r="D403" s="5" t="inlineStr">
        <is>
          <t xml:space="preserve">        Company admin downloads the list of who was counted</t>
        </is>
      </c>
      <c r="E403" t="inlineStr">
        <is>
          <t>Step 3 · Platform console</t>
        </is>
      </c>
      <c r="F403" t="inlineStr">
        <is>
          <t>Usage meters and billable units</t>
        </is>
      </c>
      <c r="G403" t="inlineStr">
        <is>
          <t>New</t>
        </is>
      </c>
      <c r="I403">
        <f>IF(H403&lt;&gt;"",H403,G403)</f>
        <v/>
      </c>
      <c r="J403" t="inlineStr">
        <is>
          <t>Step 3-b</t>
        </is>
      </c>
      <c r="K403" t="n">
        <v>3</v>
      </c>
      <c r="L403" t="n">
        <v>1</v>
      </c>
      <c r="M403" s="5" t="inlineStr">
        <is>
          <t>As a company admin, I want to see and download who we were billed for, so that I can check the invoice.</t>
        </is>
      </c>
      <c r="N403" s="5" t="inlineStr">
        <is>
          <t>• Given an invoice line, when the admin opens it, then they see the list of counted people or seats with the reason for each (YX-BILL-02).
• Given the list, when the admin downloads it, then a CSV is produced.
• Given a joiner on the 20th and a leaver on the 25th, then both appear with the reason they were counted (YX-BILL-02).</t>
        </is>
      </c>
      <c r="O403" s="5" t="inlineStr">
        <is>
          <t>YX-BILL-02</t>
        </is>
      </c>
      <c r="P403" t="inlineStr">
        <is>
          <t>P14 §3, P14 §4 meter_events, P14 Q1–Q2</t>
        </is>
      </c>
      <c r="Q403" t="inlineStr">
        <is>
          <t>US-B-028</t>
        </is>
      </c>
      <c r="R403" s="5" t="inlineStr"/>
    </row>
    <row r="404">
      <c r="A404" t="inlineStr">
        <is>
          <t>US-B-032</t>
        </is>
      </c>
      <c r="B404" t="n">
        <v>432</v>
      </c>
      <c r="C404" t="inlineStr">
        <is>
          <t>Story</t>
        </is>
      </c>
      <c r="D404" s="5" t="inlineStr">
        <is>
          <t xml:space="preserve">        Company admin sees usage against fair use</t>
        </is>
      </c>
      <c r="E404" t="inlineStr">
        <is>
          <t>Step 3 · Platform console</t>
        </is>
      </c>
      <c r="F404" t="inlineStr">
        <is>
          <t>Usage meters and billable units</t>
        </is>
      </c>
      <c r="G404" t="inlineStr">
        <is>
          <t>New</t>
        </is>
      </c>
      <c r="I404">
        <f>IF(H404&lt;&gt;"",H404,G404)</f>
        <v/>
      </c>
      <c r="J404" t="inlineStr">
        <is>
          <t>Step 3-b</t>
        </is>
      </c>
      <c r="K404" t="n">
        <v>5</v>
      </c>
      <c r="L404" t="n">
        <v>1</v>
      </c>
      <c r="M404" s="5" t="inlineStr">
        <is>
          <t>As a company admin, I want to see usage against fair-use limits, so that I am never surprised by overage.</t>
        </is>
      </c>
      <c r="N404" s="5" t="inlineStr">
        <is>
          <t>• Given the usage page, then each meter shows use against its fair-use limit with a chart (YX-BILL-07).
• Given a meter at 80 % and at 100 %, then admins get an alert (YX-BILL-07).
• Given usage above the limit, then overage follows the add-on's billing mode and cap (YX-BILL-07).
• Given a hard SMS cap reached, when a statutory or mandatory message is sent, then it is not blocked (YX-BILL-07).</t>
        </is>
      </c>
      <c r="O404" s="5" t="inlineStr">
        <is>
          <t>YX-BILL-07</t>
        </is>
      </c>
      <c r="P404" t="inlineStr">
        <is>
          <t>P14 §3, P14 §4 meter_events, P14 Q1–Q2</t>
        </is>
      </c>
      <c r="Q404" t="inlineStr">
        <is>
          <t>US-B-027</t>
        </is>
      </c>
      <c r="R404" s="5" t="inlineStr"/>
    </row>
    <row r="405">
      <c r="A405" s="9" t="inlineStr">
        <is>
          <t>FT-B-008</t>
        </is>
      </c>
      <c r="B405" s="9" t="n">
        <v>433</v>
      </c>
      <c r="C405" s="9" t="inlineStr">
        <is>
          <t>Feature</t>
        </is>
      </c>
      <c r="D405" s="10" t="inlineStr">
        <is>
          <t xml:space="preserve">    Self-serve sign-up and trial</t>
        </is>
      </c>
      <c r="E405" s="9" t="inlineStr">
        <is>
          <t>Step 3 · Platform console</t>
        </is>
      </c>
      <c r="F405" s="9" t="inlineStr">
        <is>
          <t>Self-serve sign-up and trial</t>
        </is>
      </c>
      <c r="G405" s="9" t="inlineStr">
        <is>
          <t>New</t>
        </is>
      </c>
      <c r="H405" s="9" t="n"/>
      <c r="I405" s="9">
        <f>IF(H405&lt;&gt;"",H405,G405)</f>
        <v/>
      </c>
      <c r="J405" s="9" t="inlineStr">
        <is>
          <t>Step 3-b</t>
        </is>
      </c>
      <c r="K405" s="9" t="n"/>
      <c r="L405" s="9" t="n"/>
      <c r="M405" s="10" t="inlineStr"/>
      <c r="N405" s="10" t="inlineStr"/>
      <c r="O405" s="10" t="inlineStr">
        <is>
          <t>YX-TEN-08, YX-TEN-01, YX-BILL-12, YX-GRO-04, YX-TEN-04, YX-GRO-06, YX-TEN-06</t>
        </is>
      </c>
      <c r="P405" s="9" t="inlineStr">
        <is>
          <t>P14 Q4, P14 §6 flow 1, P20 §3</t>
        </is>
      </c>
      <c r="Q405" s="9" t="inlineStr"/>
      <c r="R405" s="10" t="inlineStr"/>
      <c r="S405" s="9" t="n"/>
    </row>
    <row r="406">
      <c r="A406" t="inlineStr">
        <is>
          <t>US-B-033</t>
        </is>
      </c>
      <c r="B406" t="n">
        <v>433</v>
      </c>
      <c r="C406" t="inlineStr">
        <is>
          <t>Story</t>
        </is>
      </c>
      <c r="D406" s="5" t="inlineStr">
        <is>
          <t xml:space="preserve">        Company signs up and starts a 30-day trial</t>
        </is>
      </c>
      <c r="E406" t="inlineStr">
        <is>
          <t>Step 3 · Platform console</t>
        </is>
      </c>
      <c r="F406" t="inlineStr">
        <is>
          <t>Self-serve sign-up and trial</t>
        </is>
      </c>
      <c r="G406" t="inlineStr">
        <is>
          <t>New</t>
        </is>
      </c>
      <c r="I406">
        <f>IF(H406&lt;&gt;"",H406,G406)</f>
        <v/>
      </c>
      <c r="J406" t="inlineStr">
        <is>
          <t>Step 3-b</t>
        </is>
      </c>
      <c r="K406" t="n">
        <v>5</v>
      </c>
      <c r="L406" t="n">
        <v>1</v>
      </c>
      <c r="M406" s="5" t="inlineStr">
        <is>
          <t>As a new company owner, I want to sign up myself and try the products for 30 days, so that I can decide without talking to sales.</t>
        </is>
      </c>
      <c r="N406" s="5" t="inlineStr">
        <is>
          <t>• Given the sign-up page, when the owner picks products, region, company details and GSTIN and verifies email or mobile, then a 30-day trial starts with no card (YX-TEN-08).
• Given a trial, then live bank files, statutory filings, partner add-ons and bulk WhatsApp / SMS are switched off.
• Given a trial, then a banner shows days left and set-up progress.</t>
        </is>
      </c>
      <c r="O406" s="5" t="inlineStr">
        <is>
          <t>YX-TEN-08, YX-TEN-01</t>
        </is>
      </c>
      <c r="P406" t="inlineStr">
        <is>
          <t>P14 Q4, P14 §6 flow 1, P20 §3</t>
        </is>
      </c>
      <c r="Q406" t="inlineStr">
        <is>
          <t>US-B-009, US-B-020</t>
        </is>
      </c>
      <c r="R406" s="5" t="inlineStr"/>
    </row>
    <row r="407">
      <c r="A407" t="inlineStr">
        <is>
          <t>US-B-034</t>
        </is>
      </c>
      <c r="B407" t="n">
        <v>434</v>
      </c>
      <c r="C407" t="inlineStr">
        <is>
          <t>Story</t>
        </is>
      </c>
      <c r="D407" s="5" t="inlineStr">
        <is>
          <t xml:space="preserve">        Company admin switches on a product during the trial</t>
        </is>
      </c>
      <c r="E407" t="inlineStr">
        <is>
          <t>Step 3 · Platform console</t>
        </is>
      </c>
      <c r="F407" t="inlineStr">
        <is>
          <t>Self-serve sign-up and trial</t>
        </is>
      </c>
      <c r="G407" t="inlineStr">
        <is>
          <t>New</t>
        </is>
      </c>
      <c r="I407">
        <f>IF(H407&lt;&gt;"",H407,G407)</f>
        <v/>
      </c>
      <c r="J407" t="inlineStr">
        <is>
          <t>Step 3-b</t>
        </is>
      </c>
      <c r="K407" t="n">
        <v>5</v>
      </c>
      <c r="L407" t="n">
        <v>1</v>
      </c>
      <c r="M407" s="5" t="inlineStr">
        <is>
          <t>As a company System Admin, I want to switch on a product without losing our trial work, so that we start paid use easily.</t>
        </is>
      </c>
      <c r="N407" s="5" t="inlineStr">
        <is>
          <t>• Given a trial, when the admin chooses a period and payment method and accepts the terms, then the product is switched on.
• Given trial data, when the admin switches on, then it becomes live data with no re-entry; the admin can choose to wipe it instead (YX-TEN-01).
• Given a product switched on during the trial, then billing still starts only at go-live (YX-BILL-12).
• Given an admin without billing permission, then they see "Ask your System Admin" instead of the button (YX-GRO-04).</t>
        </is>
      </c>
      <c r="O407" s="5" t="inlineStr">
        <is>
          <t>YX-TEN-01, YX-BILL-12, YX-GRO-04</t>
        </is>
      </c>
      <c r="P407" t="inlineStr">
        <is>
          <t>P14 Q4, P14 §6 flow 1, P20 §3</t>
        </is>
      </c>
      <c r="Q407" t="inlineStr">
        <is>
          <t>US-B-033</t>
        </is>
      </c>
      <c r="R407" s="5" t="inlineStr"/>
    </row>
    <row r="408">
      <c r="A408" t="inlineStr">
        <is>
          <t>US-B-035</t>
        </is>
      </c>
      <c r="B408" t="n">
        <v>435</v>
      </c>
      <c r="C408" t="inlineStr">
        <is>
          <t>Story</t>
        </is>
      </c>
      <c r="D408" s="5" t="inlineStr">
        <is>
          <t xml:space="preserve">        Trial without switch-on becomes read-only, then is deleted</t>
        </is>
      </c>
      <c r="E408" t="inlineStr">
        <is>
          <t>Step 3 · Platform console</t>
        </is>
      </c>
      <c r="F408" t="inlineStr">
        <is>
          <t>Self-serve sign-up and trial</t>
        </is>
      </c>
      <c r="G408" t="inlineStr">
        <is>
          <t>New</t>
        </is>
      </c>
      <c r="I408">
        <f>IF(H408&lt;&gt;"",H408,G408)</f>
        <v/>
      </c>
      <c r="J408" t="inlineStr">
        <is>
          <t>Step 3-b</t>
        </is>
      </c>
      <c r="K408" t="n">
        <v>5</v>
      </c>
      <c r="L408" t="n">
        <v>1</v>
      </c>
      <c r="M408" s="5" t="inlineStr">
        <is>
          <t>As YukthiX, I want trials that never switch on to end cleanly, so that data is not kept forever and customers get a fair warning.</t>
        </is>
      </c>
      <c r="N408" s="5" t="inlineStr">
        <is>
          <t>• Given a trial and its extension have ended with no product switched on, then the account is read-only for 30 days: view and full export allowed, no payroll runs, tests, jobs or messages (YX-TEN-08).
• Given read-only, then all trial admins get reminders on day 1, day 15 and day 25 (YX-TEN-08).
• Given day 30 of read-only, then the trial data is deleted and a deletion certificate is emailed (YX-TEN-08, YX-TEN-04).
• Given read-only, when an admin switches on before deletion, then full use returns with no data loss (YX-TEN-08).</t>
        </is>
      </c>
      <c r="O408" s="5" t="inlineStr">
        <is>
          <t>YX-TEN-08, YX-TEN-04</t>
        </is>
      </c>
      <c r="P408" t="inlineStr">
        <is>
          <t>P14 Q4, P14 §6 flow 1, P20 §3</t>
        </is>
      </c>
      <c r="Q408" t="inlineStr">
        <is>
          <t>US-B-033</t>
        </is>
      </c>
      <c r="R408" s="5" t="inlineStr"/>
    </row>
    <row r="409">
      <c r="A409" t="inlineStr">
        <is>
          <t>US-B-036</t>
        </is>
      </c>
      <c r="B409" t="n">
        <v>436</v>
      </c>
      <c r="C409" t="inlineStr">
        <is>
          <t>Story</t>
        </is>
      </c>
      <c r="D409" s="5" t="inlineStr">
        <is>
          <t xml:space="preserve">        Trial gets one 14-day extension</t>
        </is>
      </c>
      <c r="E409" t="inlineStr">
        <is>
          <t>Step 3 · Platform console</t>
        </is>
      </c>
      <c r="F409" t="inlineStr">
        <is>
          <t>Self-serve sign-up and trial</t>
        </is>
      </c>
      <c r="G409" t="inlineStr">
        <is>
          <t>New</t>
        </is>
      </c>
      <c r="I409">
        <f>IF(H409&lt;&gt;"",H409,G409)</f>
        <v/>
      </c>
      <c r="J409" t="inlineStr">
        <is>
          <t>Step 3-b</t>
        </is>
      </c>
      <c r="K409" t="n">
        <v>3</v>
      </c>
      <c r="L409" t="n">
        <v>1</v>
      </c>
      <c r="M409" s="5" t="inlineStr">
        <is>
          <t>As a company admin in a trial, I want one extra 14 days when I need it, so that I can finish set-up.</t>
        </is>
      </c>
      <c r="N409" s="5" t="inlineStr">
        <is>
          <t>• Given day 30 and first value reached, then the trial is extended by 14 days automatically (YX-GRO-06).
• Given day 30 and no first value, when the admin asks for the extension, then it is given once; a second request is refused (YX-GRO-06).
• Given a staff extension, then it needs a reason, is at most 30 days, is audited and is shown to the admins (YX-GRO-06, YX-TEN-06).
• Given any extension, then billing still starts only at go-live (YX-BILL-12).</t>
        </is>
      </c>
      <c r="O409" s="5" t="inlineStr">
        <is>
          <t>YX-GRO-06, YX-TEN-06, YX-BILL-12</t>
        </is>
      </c>
      <c r="P409" t="inlineStr">
        <is>
          <t>P14 Q4, P14 §6 flow 1, P20 §3</t>
        </is>
      </c>
      <c r="Q409" t="inlineStr">
        <is>
          <t>US-B-033</t>
        </is>
      </c>
      <c r="R409" s="5" t="inlineStr"/>
    </row>
    <row r="410">
      <c r="A410" s="9" t="inlineStr">
        <is>
          <t>FT-B-009</t>
        </is>
      </c>
      <c r="B410" s="9" t="n">
        <v>437</v>
      </c>
      <c r="C410" s="9" t="inlineStr">
        <is>
          <t>Feature</t>
        </is>
      </c>
      <c r="D410" s="10" t="inlineStr">
        <is>
          <t xml:space="preserve">    Subscriptions and changes</t>
        </is>
      </c>
      <c r="E410" s="9" t="inlineStr">
        <is>
          <t>Step 3 · Platform console</t>
        </is>
      </c>
      <c r="F410" s="9" t="inlineStr">
        <is>
          <t>Subscriptions and changes</t>
        </is>
      </c>
      <c r="G410" s="9" t="inlineStr">
        <is>
          <t>New</t>
        </is>
      </c>
      <c r="H410" s="9" t="n"/>
      <c r="I410" s="9">
        <f>IF(H410&lt;&gt;"",H410,G410)</f>
        <v/>
      </c>
      <c r="J410" s="9" t="inlineStr">
        <is>
          <t>Step 3-b</t>
        </is>
      </c>
      <c r="K410" s="9" t="n"/>
      <c r="L410" s="9" t="n"/>
      <c r="M410" s="10" t="inlineStr"/>
      <c r="N410" s="10" t="inlineStr"/>
      <c r="O410" s="10" t="inlineStr">
        <is>
          <t>YX-BILL-06, YX-BILL-01, YX-BILL-13</t>
        </is>
      </c>
      <c r="P410" s="9" t="inlineStr">
        <is>
          <t>P14 Q3, P14 Q7</t>
        </is>
      </c>
      <c r="Q410" s="9" t="inlineStr"/>
      <c r="R410" s="10" t="inlineStr"/>
      <c r="S410" s="9" t="n"/>
    </row>
    <row r="411">
      <c r="A411" t="inlineStr">
        <is>
          <t>US-B-037</t>
        </is>
      </c>
      <c r="B411" t="n">
        <v>437</v>
      </c>
      <c r="C411" t="inlineStr">
        <is>
          <t>Story</t>
        </is>
      </c>
      <c r="D411" s="5" t="inlineStr">
        <is>
          <t xml:space="preserve">        Company admin adds or removes a product or add-on</t>
        </is>
      </c>
      <c r="E411" t="inlineStr">
        <is>
          <t>Step 3 · Platform console</t>
        </is>
      </c>
      <c r="F411" t="inlineStr">
        <is>
          <t>Subscriptions and changes</t>
        </is>
      </c>
      <c r="G411" t="inlineStr">
        <is>
          <t>New</t>
        </is>
      </c>
      <c r="I411">
        <f>IF(H411&lt;&gt;"",H411,G411)</f>
        <v/>
      </c>
      <c r="J411" t="inlineStr">
        <is>
          <t>Step 3-b</t>
        </is>
      </c>
      <c r="K411" t="n">
        <v>5</v>
      </c>
      <c r="L411" t="n">
        <v>1</v>
      </c>
      <c r="M411" s="5" t="inlineStr">
        <is>
          <t>As a company System Admin, I want to add or remove products and add-ons myself, so that we pay only for what we use.</t>
        </is>
      </c>
      <c r="N411" s="5" t="inlineStr">
        <is>
          <t>• Given a new product or add-on, when the admin adds it, then it is charged pro-rata from today (YX-BILL-06).
• Given an add-on removed mid-month, then it stays until the end of the paid period (YX-BILL-06).
• Given the number of products changes, then the bundle discount is recalculated automatically (YX-BILL-01).</t>
        </is>
      </c>
      <c r="O411" s="5" t="inlineStr">
        <is>
          <t>YX-BILL-06, YX-BILL-01</t>
        </is>
      </c>
      <c r="P411" t="inlineStr">
        <is>
          <t>P14 Q3, P14 Q7</t>
        </is>
      </c>
      <c r="Q411" t="inlineStr">
        <is>
          <t>US-B-034</t>
        </is>
      </c>
      <c r="R411" s="5" t="inlineStr"/>
    </row>
    <row r="412">
      <c r="A412" t="inlineStr">
        <is>
          <t>US-B-038</t>
        </is>
      </c>
      <c r="B412" t="n">
        <v>438</v>
      </c>
      <c r="C412" t="inlineStr">
        <is>
          <t>Story</t>
        </is>
      </c>
      <c r="D412" s="5" t="inlineStr">
        <is>
          <t xml:space="preserve">        Company admin chooses annual prepay</t>
        </is>
      </c>
      <c r="E412" t="inlineStr">
        <is>
          <t>Step 3 · Platform console</t>
        </is>
      </c>
      <c r="F412" t="inlineStr">
        <is>
          <t>Subscriptions and changes</t>
        </is>
      </c>
      <c r="G412" t="inlineStr">
        <is>
          <t>New</t>
        </is>
      </c>
      <c r="I412">
        <f>IF(H412&lt;&gt;"",H412,G412)</f>
        <v/>
      </c>
      <c r="J412" t="inlineStr">
        <is>
          <t>Step 3-b</t>
        </is>
      </c>
      <c r="K412" t="n">
        <v>3</v>
      </c>
      <c r="L412" t="n">
        <v>1</v>
      </c>
      <c r="M412" s="5" t="inlineStr">
        <is>
          <t>As a company System Admin, I want to prepay for a year, so that we save money and have one payment.</t>
        </is>
      </c>
      <c r="N412" s="5" t="inlineStr">
        <is>
          <t>• Given annual prepay, then the price is 10 months for 12 and is paid by NEFT / RTGS.
• Given growth in billable units during the year, then it is trued up monthly or quarterly in arrears (YX-BILL-06).
• Given an annual term, then its price never changes mid-term (YX-BILL-13).</t>
        </is>
      </c>
      <c r="O412" s="5" t="inlineStr">
        <is>
          <t>YX-BILL-06, YX-BILL-13</t>
        </is>
      </c>
      <c r="P412" t="inlineStr">
        <is>
          <t>P14 Q3, P14 Q7</t>
        </is>
      </c>
      <c r="Q412" t="inlineStr">
        <is>
          <t>US-B-037</t>
        </is>
      </c>
      <c r="R412" s="5" t="inlineStr"/>
    </row>
    <row r="413">
      <c r="A413" t="inlineStr">
        <is>
          <t>US-B-039</t>
        </is>
      </c>
      <c r="B413" t="n">
        <v>439</v>
      </c>
      <c r="C413" t="inlineStr">
        <is>
          <t>Story</t>
        </is>
      </c>
      <c r="D413" s="5" t="inlineStr">
        <is>
          <t xml:space="preserve">        Company admin cancels a monthly plan at any time</t>
        </is>
      </c>
      <c r="E413" t="inlineStr">
        <is>
          <t>Step 3 · Platform console</t>
        </is>
      </c>
      <c r="F413" t="inlineStr">
        <is>
          <t>Subscriptions and changes</t>
        </is>
      </c>
      <c r="G413" t="inlineStr">
        <is>
          <t>New</t>
        </is>
      </c>
      <c r="I413">
        <f>IF(H413&lt;&gt;"",H413,G413)</f>
        <v/>
      </c>
      <c r="J413" t="inlineStr">
        <is>
          <t>Step 3-b</t>
        </is>
      </c>
      <c r="K413" t="n">
        <v>2</v>
      </c>
      <c r="L413" t="n">
        <v>1</v>
      </c>
      <c r="M413" s="5" t="inlineStr">
        <is>
          <t>As a company System Admin, I want to cancel a monthly plan myself, so that we are never locked in.</t>
        </is>
      </c>
      <c r="N413" s="5" t="inlineStr">
        <is>
          <t>• Given a monthly plan, when the admin cancels in Settings › Billing &amp; Account, then it ends at the end of the paid period (YX-BILL-13, YX-BILL-06).
• Given a cancellation, then the admin sees what happens next: the end date, the grace period and the export.
• Given a cancellation, then it is shown in the company action list and the billing contact gets an email.</t>
        </is>
      </c>
      <c r="O413" s="5" t="inlineStr">
        <is>
          <t>YX-BILL-13, YX-BILL-06</t>
        </is>
      </c>
      <c r="P413" t="inlineStr">
        <is>
          <t>P14 Q3, P14 Q7</t>
        </is>
      </c>
      <c r="Q413" t="inlineStr">
        <is>
          <t>US-B-037</t>
        </is>
      </c>
      <c r="R413" s="5" t="inlineStr"/>
    </row>
    <row r="414">
      <c r="A414" s="9" t="inlineStr">
        <is>
          <t>FT-B-010</t>
        </is>
      </c>
      <c r="B414" s="9" t="n">
        <v>440</v>
      </c>
      <c r="C414" s="9" t="inlineStr">
        <is>
          <t>Feature</t>
        </is>
      </c>
      <c r="D414" s="10" t="inlineStr">
        <is>
          <t xml:space="preserve">    GST invoices</t>
        </is>
      </c>
      <c r="E414" s="9" t="inlineStr">
        <is>
          <t>Step 3 · Platform console</t>
        </is>
      </c>
      <c r="F414" s="9" t="inlineStr">
        <is>
          <t>GST invoices</t>
        </is>
      </c>
      <c r="G414" s="9" t="inlineStr">
        <is>
          <t>New</t>
        </is>
      </c>
      <c r="H414" s="9" t="n"/>
      <c r="I414" s="9">
        <f>IF(H414&lt;&gt;"",H414,G414)</f>
        <v/>
      </c>
      <c r="J414" s="9" t="inlineStr">
        <is>
          <t>Step 3-b</t>
        </is>
      </c>
      <c r="K414" s="9" t="n"/>
      <c r="L414" s="9" t="n"/>
      <c r="M414" s="10" t="inlineStr"/>
      <c r="N414" s="10" t="inlineStr"/>
      <c r="O414" s="10" t="inlineStr">
        <is>
          <t>YX-BILL-02, YX-BILL-14, YX-BILL-04, YX-CONSOLE-02, YX-BILL-19, YX-BILL-20, YX-BILL-16, YX-BILL-17</t>
        </is>
      </c>
      <c r="P414" s="9" t="inlineStr">
        <is>
          <t>P14 §4 invoices, P14 §6 flow 2</t>
        </is>
      </c>
      <c r="Q414" s="9" t="inlineStr"/>
      <c r="R414" s="10" t="inlineStr"/>
      <c r="S414" s="9" t="n"/>
    </row>
    <row r="415">
      <c r="A415" t="inlineStr">
        <is>
          <t>US-B-040</t>
        </is>
      </c>
      <c r="B415" t="n">
        <v>440</v>
      </c>
      <c r="C415" t="inlineStr">
        <is>
          <t>Story</t>
        </is>
      </c>
      <c r="D415" s="5" t="inlineStr">
        <is>
          <t xml:space="preserve">        Platform raises monthly invoices on the 1st</t>
        </is>
      </c>
      <c r="E415" t="inlineStr">
        <is>
          <t>Step 3 · Platform console</t>
        </is>
      </c>
      <c r="F415" t="inlineStr">
        <is>
          <t>GST invoices</t>
        </is>
      </c>
      <c r="G415" t="inlineStr">
        <is>
          <t>New</t>
        </is>
      </c>
      <c r="I415">
        <f>IF(H415&lt;&gt;"",H415,G415)</f>
        <v/>
      </c>
      <c r="J415" t="inlineStr">
        <is>
          <t>Step 3-b</t>
        </is>
      </c>
      <c r="K415" t="n">
        <v>5</v>
      </c>
      <c r="L415" t="n">
        <v>1</v>
      </c>
      <c r="M415" s="5" t="inlineStr">
        <is>
          <t>As YukthiX billing staff, I want invoices made automatically each month, so that billing needs little manual work.</t>
        </is>
      </c>
      <c r="N415" s="5" t="inlineStr">
        <is>
          <t>• Given the 1st of the month, then meters are snapshotted and draft invoices are made for every active company.
• Given a draft that changes more than the set limit from last month, then it goes to the staff review queue; the others are issued automatically.
• Given every invoice line, then it links to the monthly snapshot and the counted list (YX-BILL-02).
• Given a product below its minimum, then the minimum amount is charged (YX-BILL-14).</t>
        </is>
      </c>
      <c r="O415" s="5" t="inlineStr">
        <is>
          <t>YX-BILL-02, YX-BILL-14</t>
        </is>
      </c>
      <c r="P415" t="inlineStr">
        <is>
          <t>P14 §4 invoices, P14 §6 flow 2</t>
        </is>
      </c>
      <c r="Q415" t="inlineStr">
        <is>
          <t>US-B-028, US-B-029</t>
        </is>
      </c>
      <c r="R415" s="5" t="inlineStr"/>
    </row>
    <row r="416">
      <c r="A416" t="inlineStr">
        <is>
          <t>US-B-041</t>
        </is>
      </c>
      <c r="B416" t="n">
        <v>441</v>
      </c>
      <c r="C416" t="inlineStr">
        <is>
          <t>Story</t>
        </is>
      </c>
      <c r="D416" s="5" t="inlineStr">
        <is>
          <t xml:space="preserve">        Company receives a correct GST tax invoice</t>
        </is>
      </c>
      <c r="E416" t="inlineStr">
        <is>
          <t>Step 3 · Platform console</t>
        </is>
      </c>
      <c r="F416" t="inlineStr">
        <is>
          <t>GST invoices</t>
        </is>
      </c>
      <c r="G416" t="inlineStr">
        <is>
          <t>New</t>
        </is>
      </c>
      <c r="I416">
        <f>IF(H416&lt;&gt;"",H416,G416)</f>
        <v/>
      </c>
      <c r="J416" t="inlineStr">
        <is>
          <t>Step 3-b</t>
        </is>
      </c>
      <c r="K416" t="n">
        <v>5</v>
      </c>
      <c r="L416" t="n">
        <v>1</v>
      </c>
      <c r="M416" s="5" t="inlineStr">
        <is>
          <t>As a company finance user, I want a correct GST invoice, so that we can claim input tax credit.</t>
        </is>
      </c>
      <c r="N416" s="5" t="inlineStr">
        <is>
          <t>• Given a Karnataka company billed from a Karnataka GSTIN, then the invoice has CGST and SGST; a Maharashtra company gets IGST (YX-BILL-04).
• Given any invoice, then it shows the SAC code, both GSTINs and the place of supply (YX-BILL-04).
• Given prices, then they are shown without GST and tax is added on the invoice; the published minimum is shown (YX-BILL-14).
• Given an issued invoice, then the admin can download it as PDF from Settings › Billing &amp; Account.</t>
        </is>
      </c>
      <c r="O416" s="5" t="inlineStr">
        <is>
          <t>YX-BILL-04, YX-BILL-14</t>
        </is>
      </c>
      <c r="P416" t="inlineStr">
        <is>
          <t>P14 §4 invoices, P14 §6 flow 2</t>
        </is>
      </c>
      <c r="Q416" t="inlineStr">
        <is>
          <t>US-B-040</t>
        </is>
      </c>
      <c r="R416" s="5" t="inlineStr"/>
    </row>
    <row r="417">
      <c r="A417" t="inlineStr">
        <is>
          <t>US-B-042</t>
        </is>
      </c>
      <c r="B417" t="n">
        <v>442</v>
      </c>
      <c r="C417" t="inlineStr">
        <is>
          <t>Story</t>
        </is>
      </c>
      <c r="D417" s="5" t="inlineStr">
        <is>
          <t xml:space="preserve">        Billing staff correct an invoice with a credit note</t>
        </is>
      </c>
      <c r="E417" t="inlineStr">
        <is>
          <t>Step 3 · Platform console</t>
        </is>
      </c>
      <c r="F417" t="inlineStr">
        <is>
          <t>GST invoices</t>
        </is>
      </c>
      <c r="G417" t="inlineStr">
        <is>
          <t>New</t>
        </is>
      </c>
      <c r="I417">
        <f>IF(H417&lt;&gt;"",H417,G417)</f>
        <v/>
      </c>
      <c r="J417" t="inlineStr">
        <is>
          <t>Step 3-b</t>
        </is>
      </c>
      <c r="K417" t="n">
        <v>3</v>
      </c>
      <c r="L417" t="n">
        <v>1</v>
      </c>
      <c r="M417" s="5" t="inlineStr">
        <is>
          <t>As YukthiX billing staff, I want to fix a wrong invoice with a credit note, so that GST records stay correct.</t>
        </is>
      </c>
      <c r="N417" s="5" t="inlineStr">
        <is>
          <t>• Given an issued invoice, when staff try to edit it, then it is refused; corrections are made only by credit note (YX-BILL-04).
• Given a credit note, then it needs a reason and is audited (YX-CONSOLE-02).
• Given a credit note, then the company admins see it next to the invoice (YX-CONSOLE-02).</t>
        </is>
      </c>
      <c r="O417" s="5" t="inlineStr">
        <is>
          <t>YX-BILL-04, YX-CONSOLE-02</t>
        </is>
      </c>
      <c r="P417" t="inlineStr">
        <is>
          <t>P14 §4 invoices, P14 §6 flow 2</t>
        </is>
      </c>
      <c r="Q417" t="inlineStr">
        <is>
          <t>US-B-041</t>
        </is>
      </c>
      <c r="R417" s="5" t="inlineStr"/>
    </row>
    <row r="418">
      <c r="A418" t="inlineStr">
        <is>
          <t>US-B-043</t>
        </is>
      </c>
      <c r="B418" t="n">
        <v>443</v>
      </c>
      <c r="C418" t="inlineStr">
        <is>
          <t>Story</t>
        </is>
      </c>
      <c r="D418" s="5" t="inlineStr">
        <is>
          <t xml:space="preserve">        HRMS invoice line shows the cost split by legal entity</t>
        </is>
      </c>
      <c r="E418" t="inlineStr">
        <is>
          <t>Step 3 · Platform console</t>
        </is>
      </c>
      <c r="F418" t="inlineStr">
        <is>
          <t>GST invoices</t>
        </is>
      </c>
      <c r="G418" t="inlineStr">
        <is>
          <t>New</t>
        </is>
      </c>
      <c r="I418">
        <f>IF(H418&lt;&gt;"",H418,G418)</f>
        <v/>
      </c>
      <c r="J418" t="inlineStr">
        <is>
          <t>Step 3-b</t>
        </is>
      </c>
      <c r="K418" t="n">
        <v>3</v>
      </c>
      <c r="L418" t="n">
        <v>1</v>
      </c>
      <c r="M418" s="5" t="inlineStr">
        <is>
          <t>As a company finance user, I want the HRMS cost split by legal entity, so that each entity's books carry its own share.</t>
        </is>
      </c>
      <c r="N418" s="5" t="inlineStr">
        <is>
          <t>• Given an HRMS line, then it shows each entity's share, pro-rata by days active (YX-BILL-02).
• Given the split, then it never changes the unit count or the total (YX-BILL-02).
• Given a single-entity company, then the line shows no split.</t>
        </is>
      </c>
      <c r="O418" s="5" t="inlineStr">
        <is>
          <t>YX-BILL-02</t>
        </is>
      </c>
      <c r="P418" t="inlineStr">
        <is>
          <t>P14 §4 invoices, P14 §6 flow 2</t>
        </is>
      </c>
      <c r="Q418" t="inlineStr">
        <is>
          <t>US-B-041</t>
        </is>
      </c>
      <c r="R418" s="5" t="inlineStr"/>
    </row>
    <row r="419">
      <c r="A419" t="inlineStr">
        <is>
          <t>US-B-044</t>
        </is>
      </c>
      <c r="B419" t="n">
        <v>444</v>
      </c>
      <c r="C419" t="inlineStr">
        <is>
          <t>Story</t>
        </is>
      </c>
      <c r="D419" s="5" t="inlineStr">
        <is>
          <t xml:space="preserve">        Company group gets one GST invoice per GSTIN</t>
        </is>
      </c>
      <c r="E419" t="inlineStr">
        <is>
          <t>Step 3 · Platform console</t>
        </is>
      </c>
      <c r="F419" t="inlineStr">
        <is>
          <t>GST invoices</t>
        </is>
      </c>
      <c r="G419" t="inlineStr">
        <is>
          <t>New</t>
        </is>
      </c>
      <c r="I419">
        <f>IF(H419&lt;&gt;"",H419,G419)</f>
        <v/>
      </c>
      <c r="J419" t="inlineStr">
        <is>
          <t>Step 3-b</t>
        </is>
      </c>
      <c r="K419" t="n">
        <v>5</v>
      </c>
      <c r="L419" t="n">
        <v>1</v>
      </c>
      <c r="M419" s="5" t="inlineStr">
        <is>
          <t>As a group finance head, I want one GST invoice for each legal entity, so that each GSTIN claims its own credit.</t>
        </is>
      </c>
      <c r="N419" s="5" t="inlineStr">
        <is>
          <t>• Given a group with three GSTINs, then it receives three GST invoices whose totals equal the per-entity split (YX-BILL-19).
• Given each invoice, then it uses that entity's billing address, GSTIN and place of supply (YX-BILL-19).
• Given a group that asks for it, then it also gets one consolidated statement, in addition to the invoices, never instead (YX-BILL-19).</t>
        </is>
      </c>
      <c r="O419" s="5" t="inlineStr">
        <is>
          <t>YX-BILL-19</t>
        </is>
      </c>
      <c r="P419" t="inlineStr">
        <is>
          <t>P14 §4 invoices, P14 §6 flow 2</t>
        </is>
      </c>
      <c r="Q419" t="inlineStr">
        <is>
          <t>US-B-043</t>
        </is>
      </c>
      <c r="R419" s="5" t="inlineStr"/>
    </row>
    <row r="420">
      <c r="A420" t="inlineStr">
        <is>
          <t>US-B-045</t>
        </is>
      </c>
      <c r="B420" t="n">
        <v>445</v>
      </c>
      <c r="C420" t="inlineStr">
        <is>
          <t>Story</t>
        </is>
      </c>
      <c r="D420" s="5" t="inlineStr">
        <is>
          <t xml:space="preserve">        Invoices get an IRN within the 30-day reporting limit</t>
        </is>
      </c>
      <c r="E420" t="inlineStr">
        <is>
          <t>Step 3 · Platform console</t>
        </is>
      </c>
      <c r="F420" t="inlineStr">
        <is>
          <t>GST invoices</t>
        </is>
      </c>
      <c r="G420" t="inlineStr">
        <is>
          <t>New</t>
        </is>
      </c>
      <c r="I420">
        <f>IF(H420&lt;&gt;"",H420,G420)</f>
        <v/>
      </c>
      <c r="J420" t="inlineStr">
        <is>
          <t>Step 3-b</t>
        </is>
      </c>
      <c r="K420" t="n">
        <v>5</v>
      </c>
      <c r="L420" t="n">
        <v>1</v>
      </c>
      <c r="M420" s="5" t="inlineStr">
        <is>
          <t>As YukthiX finance, I want IRN reporting tracked, so that no invoice misses the e-invoice deadline.</t>
        </is>
      </c>
      <c r="N420" s="5" t="inlineStr">
        <is>
          <t>• Given YukthiX turnover at or above the e-invoice threshold, then each invoice is reported to the IRP and shows the IRN and QR (YX-BILL-04).
• Given an invoice without an IRN on day 20, then finance is alerted (YX-BILL-20).
• Given an invoice without an IRN on day 26, when finance tries to mark it final, then it is refused (YX-BILL-20).
• Given the threshold, then it is held as dated data, not code (YX-BILL-20).</t>
        </is>
      </c>
      <c r="O420" s="5" t="inlineStr">
        <is>
          <t>YX-BILL-04, YX-BILL-20</t>
        </is>
      </c>
      <c r="P420" t="inlineStr">
        <is>
          <t>P14 §4 invoices, P14 §6 flow 2</t>
        </is>
      </c>
      <c r="Q420" t="inlineStr">
        <is>
          <t>US-B-041</t>
        </is>
      </c>
      <c r="R420" s="5" t="inlineStr"/>
    </row>
    <row r="421">
      <c r="A421" t="inlineStr">
        <is>
          <t>US-B-046</t>
        </is>
      </c>
      <c r="B421" t="n">
        <v>446</v>
      </c>
      <c r="C421" t="inlineStr">
        <is>
          <t>Story</t>
        </is>
      </c>
      <c r="D421" s="5" t="inlineStr">
        <is>
          <t xml:space="preserve">        Finance records the yearly GST LUT</t>
        </is>
      </c>
      <c r="E421" t="inlineStr">
        <is>
          <t>Step 3 · Platform console</t>
        </is>
      </c>
      <c r="F421" t="inlineStr">
        <is>
          <t>GST invoices</t>
        </is>
      </c>
      <c r="G421" t="inlineStr">
        <is>
          <t>New</t>
        </is>
      </c>
      <c r="I421">
        <f>IF(H421&lt;&gt;"",H421,G421)</f>
        <v/>
      </c>
      <c r="J421" t="inlineStr">
        <is>
          <t>Step 3-b</t>
        </is>
      </c>
      <c r="K421" t="n">
        <v>2</v>
      </c>
      <c r="L421" t="n">
        <v>1</v>
      </c>
      <c r="M421" s="5" t="inlineStr">
        <is>
          <t>As YukthiX finance, I want to record our Letter of Undertaking each year, so that export invoices are legal.</t>
        </is>
      </c>
      <c r="N421" s="5" t="inlineStr">
        <is>
          <t>• Given the LUT register, when finance adds a row, then it holds ARN, financial year, valid from / to, filed on, filed by and the document (YX-BILL-16).
• Given no valid LUT for the year, when an export invoice is due, then it goes to staff review and IGST is never charged or dropped silently (YX-BILL-16).
• Given an LUT that ends this financial year, when the new year starts with no new row, then finance is alerted before the first export invoice (YX-BILL-16).</t>
        </is>
      </c>
      <c r="O421" s="5" t="inlineStr">
        <is>
          <t>YX-BILL-16</t>
        </is>
      </c>
      <c r="P421" t="inlineStr">
        <is>
          <t>P14 §4 invoices, P14 §6 flow 2</t>
        </is>
      </c>
      <c r="Q421" t="inlineStr">
        <is>
          <t>US-B-041</t>
        </is>
      </c>
      <c r="R421" s="5" t="inlineStr"/>
    </row>
    <row r="422">
      <c r="A422" t="inlineStr">
        <is>
          <t>US-B-047</t>
        </is>
      </c>
      <c r="B422" t="n">
        <v>447</v>
      </c>
      <c r="C422" t="inlineStr">
        <is>
          <t>Story</t>
        </is>
      </c>
      <c r="D422" s="5" t="inlineStr">
        <is>
          <t xml:space="preserve">        Foreign customer gets a zero-rated export invoice</t>
        </is>
      </c>
      <c r="E422" t="inlineStr">
        <is>
          <t>Step 3 · Platform console</t>
        </is>
      </c>
      <c r="F422" t="inlineStr">
        <is>
          <t>GST invoices</t>
        </is>
      </c>
      <c r="G422" t="inlineStr">
        <is>
          <t>New</t>
        </is>
      </c>
      <c r="I422">
        <f>IF(H422&lt;&gt;"",H422,G422)</f>
        <v/>
      </c>
      <c r="J422" t="inlineStr">
        <is>
          <t>Step 3-b</t>
        </is>
      </c>
      <c r="K422" t="n">
        <v>3</v>
      </c>
      <c r="L422" t="n">
        <v>1</v>
      </c>
      <c r="M422" s="5" t="inlineStr">
        <is>
          <t>As a customer outside India, I want an invoice without Indian GST, so that I pay only the right amount.</t>
        </is>
      </c>
      <c r="N422" s="5" t="inlineStr">
        <is>
          <t>• Given a Singapore customer and a valid LUT, then the invoice has no IGST and carries the LUT ARN and year (YX-BILL-16).
• Given an export invoice, then it says "Supply meant for export under LUT without payment of IGST" (YX-BILL-16).
• Given an export invoice, then it shows the country, currency and INR value at the exchange rate used (YX-BILL-16).</t>
        </is>
      </c>
      <c r="O422" s="5" t="inlineStr">
        <is>
          <t>YX-BILL-16</t>
        </is>
      </c>
      <c r="P422" t="inlineStr">
        <is>
          <t>P14 §4 invoices, P14 §6 flow 2</t>
        </is>
      </c>
      <c r="Q422" t="inlineStr">
        <is>
          <t>US-B-046</t>
        </is>
      </c>
      <c r="R422" s="5" t="inlineStr"/>
    </row>
    <row r="423">
      <c r="A423" t="inlineStr">
        <is>
          <t>US-B-048</t>
        </is>
      </c>
      <c r="B423" t="n">
        <v>448</v>
      </c>
      <c r="C423" t="inlineStr">
        <is>
          <t>Story</t>
        </is>
      </c>
      <c r="D423" s="5" t="inlineStr">
        <is>
          <t xml:space="preserve">        Finance matches foreign receipts to FIRC or e-BRC</t>
        </is>
      </c>
      <c r="E423" t="inlineStr">
        <is>
          <t>Step 3 · Platform console</t>
        </is>
      </c>
      <c r="F423" t="inlineStr">
        <is>
          <t>GST invoices</t>
        </is>
      </c>
      <c r="G423" t="inlineStr">
        <is>
          <t>New</t>
        </is>
      </c>
      <c r="I423">
        <f>IF(H423&lt;&gt;"",H423,G423)</f>
        <v/>
      </c>
      <c r="J423" t="inlineStr">
        <is>
          <t>Step 3-b</t>
        </is>
      </c>
      <c r="K423" t="n">
        <v>3</v>
      </c>
      <c r="L423" t="n">
        <v>1</v>
      </c>
      <c r="M423" s="5" t="inlineStr">
        <is>
          <t>As YukthiX finance, I want each foreign payment matched to its invoice and FIRC, so that GST returns and books are right.</t>
        </is>
      </c>
      <c r="N423" s="5" t="inlineStr">
        <is>
          <t>• Given a foreign receipt, when finance matches it, then it links to its export invoice(s) and a FIRC or e-BRC number and date (YX-BILL-17).
• Given a USD receipt with no FIRC at month end, then it stays in the matching queue (YX-BILL-17).
• Given a short receipt (bank charges, exchange difference), then it stays open until resolved and the realised INR is recorded (YX-BILL-17).</t>
        </is>
      </c>
      <c r="O423" s="5" t="inlineStr">
        <is>
          <t>YX-BILL-17</t>
        </is>
      </c>
      <c r="P423" t="inlineStr">
        <is>
          <t>P14 §4 invoices, P14 §6 flow 2</t>
        </is>
      </c>
      <c r="Q423" t="inlineStr">
        <is>
          <t>US-B-047</t>
        </is>
      </c>
      <c r="R423" s="5" t="inlineStr"/>
    </row>
    <row r="424">
      <c r="A424" s="9" t="inlineStr">
        <is>
          <t>FT-B-011</t>
        </is>
      </c>
      <c r="B424" s="9" t="n">
        <v>449</v>
      </c>
      <c r="C424" s="9" t="inlineStr">
        <is>
          <t>Feature</t>
        </is>
      </c>
      <c r="D424" s="10" t="inlineStr">
        <is>
          <t xml:space="preserve">    Payments and collections</t>
        </is>
      </c>
      <c r="E424" s="9" t="inlineStr">
        <is>
          <t>Step 3 · Platform console</t>
        </is>
      </c>
      <c r="F424" s="9" t="inlineStr">
        <is>
          <t>Payments and collections</t>
        </is>
      </c>
      <c r="G424" s="9" t="inlineStr">
        <is>
          <t>New</t>
        </is>
      </c>
      <c r="H424" s="9" t="n"/>
      <c r="I424" s="9">
        <f>IF(H424&lt;&gt;"",H424,G424)</f>
        <v/>
      </c>
      <c r="J424" s="9" t="inlineStr">
        <is>
          <t>Step 3-b</t>
        </is>
      </c>
      <c r="K424" s="9" t="n"/>
      <c r="L424" s="9" t="n"/>
      <c r="M424" s="10" t="inlineStr"/>
      <c r="N424" s="10" t="inlineStr"/>
      <c r="O424" s="10" t="inlineStr">
        <is>
          <t>YX-BILL-15, YX-BILL-05, YX-BILL-18</t>
        </is>
      </c>
      <c r="P424" s="9" t="inlineStr">
        <is>
          <t>P14 Q3, PRICING-UNIT-ECONOMICS §3</t>
        </is>
      </c>
      <c r="Q424" s="9" t="inlineStr"/>
      <c r="R424" s="10" t="inlineStr"/>
      <c r="S424" s="9" t="n"/>
    </row>
    <row r="425">
      <c r="A425" t="inlineStr">
        <is>
          <t>US-B-049</t>
        </is>
      </c>
      <c r="B425" t="n">
        <v>449</v>
      </c>
      <c r="C425" t="inlineStr">
        <is>
          <t>Story</t>
        </is>
      </c>
      <c r="D425" s="5" t="inlineStr">
        <is>
          <t xml:space="preserve">        Company admin sets up bank auto-debit</t>
        </is>
      </c>
      <c r="E425" t="inlineStr">
        <is>
          <t>Step 3 · Platform console</t>
        </is>
      </c>
      <c r="F425" t="inlineStr">
        <is>
          <t>Payments and collections</t>
        </is>
      </c>
      <c r="G425" t="inlineStr">
        <is>
          <t>New</t>
        </is>
      </c>
      <c r="I425">
        <f>IF(H425&lt;&gt;"",H425,G425)</f>
        <v/>
      </c>
      <c r="J425" t="inlineStr">
        <is>
          <t>Step 3-b</t>
        </is>
      </c>
      <c r="K425" t="n">
        <v>5</v>
      </c>
      <c r="L425" t="n">
        <v>1</v>
      </c>
      <c r="M425" s="5" t="inlineStr">
        <is>
          <t>As a company System Admin, I want to pay by bank auto-debit, so that invoices are paid on time without effort.</t>
        </is>
      </c>
      <c r="N425" s="5" t="inlineStr">
        <is>
          <t>• Given a monthly plan, then the default method is e-NACH; UPI Autopay is offered below ₹15,000 a month; cards stay available at list price (YX-BILL-15).
• Given any method, then YukthiX stores only gateway tokens, never card or bank details (YX-BILL-05).
• Given a mandate, then its status (pending, active, failed) shows in Settings › Billing &amp; Account.</t>
        </is>
      </c>
      <c r="O425" s="5" t="inlineStr">
        <is>
          <t>YX-BILL-15, YX-BILL-05</t>
        </is>
      </c>
      <c r="P425" t="inlineStr">
        <is>
          <t>P14 Q3, PRICING-UNIT-ECONOMICS §3</t>
        </is>
      </c>
      <c r="Q425" t="inlineStr">
        <is>
          <t>US-B-041</t>
        </is>
      </c>
      <c r="R425" s="5" t="inlineStr"/>
    </row>
    <row r="426">
      <c r="A426" t="inlineStr">
        <is>
          <t>US-B-050</t>
        </is>
      </c>
      <c r="B426" t="n">
        <v>450</v>
      </c>
      <c r="C426" t="inlineStr">
        <is>
          <t>Story</t>
        </is>
      </c>
      <c r="D426" s="5" t="inlineStr">
        <is>
          <t xml:space="preserve">        Company paying by bank gets 2 % off and auto-matching</t>
        </is>
      </c>
      <c r="E426" t="inlineStr">
        <is>
          <t>Step 3 · Platform console</t>
        </is>
      </c>
      <c r="F426" t="inlineStr">
        <is>
          <t>Payments and collections</t>
        </is>
      </c>
      <c r="G426" t="inlineStr">
        <is>
          <t>New</t>
        </is>
      </c>
      <c r="I426">
        <f>IF(H426&lt;&gt;"",H426,G426)</f>
        <v/>
      </c>
      <c r="J426" t="inlineStr">
        <is>
          <t>Step 3-b</t>
        </is>
      </c>
      <c r="K426" t="n">
        <v>5</v>
      </c>
      <c r="L426" t="n">
        <v>1</v>
      </c>
      <c r="M426" s="5" t="inlineStr">
        <is>
          <t>As a company finance user, I want a discount for bank payment and automatic matching, so that paying is cheap and simple.</t>
        </is>
      </c>
      <c r="N426" s="5" t="inlineStr">
        <is>
          <t>• Given payment by e-NACH, UPI Autopay or NEFT, then a 2 % bank-rail discount line is shown; cards never get a surcharge (YX-BILL-15).
• Given every company, then it has its own virtual account number so bank transfers match invoices automatically (YX-BILL-15).
• Given a receipt that cannot be matched, then it shows on the Jobs &amp; errors page (YX-BILL-15).</t>
        </is>
      </c>
      <c r="O426" s="5" t="inlineStr">
        <is>
          <t>YX-BILL-15</t>
        </is>
      </c>
      <c r="P426" t="inlineStr">
        <is>
          <t>P14 Q3, PRICING-UNIT-ECONOMICS §3</t>
        </is>
      </c>
      <c r="Q426" t="inlineStr">
        <is>
          <t>US-B-049</t>
        </is>
      </c>
      <c r="R426" s="5" t="inlineStr"/>
    </row>
    <row r="427">
      <c r="A427" t="inlineStr">
        <is>
          <t>US-B-051</t>
        </is>
      </c>
      <c r="B427" t="n">
        <v>451</v>
      </c>
      <c r="C427" t="inlineStr">
        <is>
          <t>Story</t>
        </is>
      </c>
      <c r="D427" s="5" t="inlineStr">
        <is>
          <t xml:space="preserve">        Foreign customer pays by annual prepay, ACH or SEPA</t>
        </is>
      </c>
      <c r="E427" t="inlineStr">
        <is>
          <t>Step 3 · Platform console</t>
        </is>
      </c>
      <c r="F427" t="inlineStr">
        <is>
          <t>Payments and collections</t>
        </is>
      </c>
      <c r="G427" t="inlineStr">
        <is>
          <t>New</t>
        </is>
      </c>
      <c r="I427">
        <f>IF(H427&lt;&gt;"",H427,G427)</f>
        <v/>
      </c>
      <c r="J427" t="inlineStr">
        <is>
          <t>Step 3-b</t>
        </is>
      </c>
      <c r="K427" t="n">
        <v>3</v>
      </c>
      <c r="L427" t="n">
        <v>1</v>
      </c>
      <c r="M427" s="5" t="inlineStr">
        <is>
          <t>As a customer outside India, I want to pay in my currency, so that paying is easy.</t>
        </is>
      </c>
      <c r="N427" s="5" t="inlineStr">
        <is>
          <t>• Given a non-INR customer, then payment goes through Stripe by annual prepay, ACH or SEPA (YX-BILL-15).
• Given an international card, then its fee is never absorbed into the $1 price (YX-BILL-15).
• Given a Stripe payment, then only gateway tokens are stored (YX-BILL-05).</t>
        </is>
      </c>
      <c r="O427" s="5" t="inlineStr">
        <is>
          <t>YX-BILL-15, YX-BILL-05</t>
        </is>
      </c>
      <c r="P427" t="inlineStr">
        <is>
          <t>P14 Q3, PRICING-UNIT-ECONOMICS §3</t>
        </is>
      </c>
      <c r="Q427" t="inlineStr">
        <is>
          <t>US-B-049</t>
        </is>
      </c>
      <c r="R427" s="5" t="inlineStr"/>
    </row>
    <row r="428">
      <c r="A428" t="inlineStr">
        <is>
          <t>US-B-052</t>
        </is>
      </c>
      <c r="B428" t="n">
        <v>452</v>
      </c>
      <c r="C428" t="inlineStr">
        <is>
          <t>Story</t>
        </is>
      </c>
      <c r="D428" s="5" t="inlineStr">
        <is>
          <t xml:space="preserve">        Payroll admin goes live while the mandate is pending</t>
        </is>
      </c>
      <c r="E428" t="inlineStr">
        <is>
          <t>Step 3 · Platform console</t>
        </is>
      </c>
      <c r="F428" t="inlineStr">
        <is>
          <t>Payments and collections</t>
        </is>
      </c>
      <c r="G428" t="inlineStr">
        <is>
          <t>New</t>
        </is>
      </c>
      <c r="I428">
        <f>IF(H428&lt;&gt;"",H428,G428)</f>
        <v/>
      </c>
      <c r="J428" t="inlineStr">
        <is>
          <t>Step 3-b</t>
        </is>
      </c>
      <c r="K428" t="n">
        <v>5</v>
      </c>
      <c r="L428" t="n">
        <v>1</v>
      </c>
      <c r="M428" s="5" t="inlineStr">
        <is>
          <t>As a company Payroll Admin, I want to run our first payroll even if the bank mandate is not active yet, so that go-live is not delayed.</t>
        </is>
      </c>
      <c r="N428" s="5" t="inlineStr">
        <is>
          <t>• Given a pending mandate, then the first payroll can run once and that invoice is paid by bank transfer (YX-BILL-18).
• Given salary payout, then it is released only when payout partner KYB is approved, the funding account is set up and the balance check passes (YX-BILL-18).
• Given a short balance, when the admin chooses partial payout, then only the chosen lines are paid and the rest stay open, never marked paid (YX-BILL-18).
• Given the go-live checklist, then payment readiness is one of its items (YX-BILL-18).</t>
        </is>
      </c>
      <c r="O428" s="5" t="inlineStr">
        <is>
          <t>YX-BILL-18</t>
        </is>
      </c>
      <c r="P428" t="inlineStr">
        <is>
          <t>P14 Q3, PRICING-UNIT-ECONOMICS §3</t>
        </is>
      </c>
      <c r="Q428" t="inlineStr">
        <is>
          <t>US-B-049</t>
        </is>
      </c>
      <c r="R428" s="5" t="inlineStr"/>
    </row>
    <row r="429">
      <c r="A429" s="9" t="inlineStr">
        <is>
          <t>FT-B-012</t>
        </is>
      </c>
      <c r="B429" s="9" t="n">
        <v>453</v>
      </c>
      <c r="C429" s="9" t="inlineStr">
        <is>
          <t>Feature</t>
        </is>
      </c>
      <c r="D429" s="10" t="inlineStr">
        <is>
          <t xml:space="preserve">    Dunning, cancellation and exit</t>
        </is>
      </c>
      <c r="E429" s="9" t="inlineStr">
        <is>
          <t>Step 3 · Platform console</t>
        </is>
      </c>
      <c r="F429" s="9" t="inlineStr">
        <is>
          <t>Dunning, cancellation and exit</t>
        </is>
      </c>
      <c r="G429" s="9" t="inlineStr">
        <is>
          <t>New</t>
        </is>
      </c>
      <c r="H429" s="9" t="n"/>
      <c r="I429" s="9">
        <f>IF(H429&lt;&gt;"",H429,G429)</f>
        <v/>
      </c>
      <c r="J429" s="9" t="inlineStr">
        <is>
          <t>Step 3-b</t>
        </is>
      </c>
      <c r="K429" s="9" t="n"/>
      <c r="L429" s="9" t="n"/>
      <c r="M429" s="10" t="inlineStr"/>
      <c r="N429" s="10" t="inlineStr"/>
      <c r="O429" s="10" t="inlineStr">
        <is>
          <t>YX-TEN-02, YX-TEN-06, YX-CONSOLE-02, YX-TEN-05, YX-TEN-07, YX-TEN-03, YX-TEN-04</t>
        </is>
      </c>
      <c r="P429" s="9" t="inlineStr">
        <is>
          <t>P14 Q5, P14 Q6, P14 §6 flows 3–4</t>
        </is>
      </c>
      <c r="Q429" s="9" t="inlineStr"/>
      <c r="R429" s="10" t="inlineStr"/>
      <c r="S429" s="9" t="n"/>
    </row>
    <row r="430">
      <c r="A430" t="inlineStr">
        <is>
          <t>US-B-053</t>
        </is>
      </c>
      <c r="B430" t="n">
        <v>453</v>
      </c>
      <c r="C430" t="inlineStr">
        <is>
          <t>Story</t>
        </is>
      </c>
      <c r="D430" s="5" t="inlineStr">
        <is>
          <t xml:space="preserve">        Platform follows the non-payment schedule</t>
        </is>
      </c>
      <c r="E430" t="inlineStr">
        <is>
          <t>Step 3 · Platform console</t>
        </is>
      </c>
      <c r="F430" t="inlineStr">
        <is>
          <t>Dunning, cancellation and exit</t>
        </is>
      </c>
      <c r="G430" t="inlineStr">
        <is>
          <t>New</t>
        </is>
      </c>
      <c r="I430">
        <f>IF(H430&lt;&gt;"",H430,G430)</f>
        <v/>
      </c>
      <c r="J430" t="inlineStr">
        <is>
          <t>Step 3-b</t>
        </is>
      </c>
      <c r="K430" t="n">
        <v>5</v>
      </c>
      <c r="L430" t="n">
        <v>1</v>
      </c>
      <c r="M430" s="5" t="inlineStr">
        <is>
          <t>As YukthiX billing staff, I want unpaid invoices handled by a fixed schedule, so that every company is treated the same.</t>
        </is>
      </c>
      <c r="N430" s="5" t="inlineStr">
        <is>
          <t>• Given an unpaid invoice, then reminders go on the due date, +3 and +7 days; admin access is read-only at +15; the company is suspended at +30.
• Given a restricted or suspended company, then employees keep their payslips, Form 16 and letters, and an approved payroll run is not stopped (YX-TEN-02).
• Given payment, then the company is reinstated at once.
• Given each step, then admins see a plain banner with a pay-now link.</t>
        </is>
      </c>
      <c r="O430" s="5" t="inlineStr">
        <is>
          <t>YX-TEN-02</t>
        </is>
      </c>
      <c r="P430" t="inlineStr">
        <is>
          <t>P14 Q5, P14 Q6, P14 §6 flows 3–4</t>
        </is>
      </c>
      <c r="Q430" t="inlineStr">
        <is>
          <t>US-B-050, US-B-010</t>
        </is>
      </c>
      <c r="R430" s="5" t="inlineStr"/>
    </row>
    <row r="431">
      <c r="A431" t="inlineStr">
        <is>
          <t>US-B-054</t>
        </is>
      </c>
      <c r="B431" t="n">
        <v>454</v>
      </c>
      <c r="C431" t="inlineStr">
        <is>
          <t>Story</t>
        </is>
      </c>
      <c r="D431" s="5" t="inlineStr">
        <is>
          <t xml:space="preserve">        Billing staff override the schedule for one company</t>
        </is>
      </c>
      <c r="E431" t="inlineStr">
        <is>
          <t>Step 3 · Platform console</t>
        </is>
      </c>
      <c r="F431" t="inlineStr">
        <is>
          <t>Dunning, cancellation and exit</t>
        </is>
      </c>
      <c r="G431" t="inlineStr">
        <is>
          <t>New</t>
        </is>
      </c>
      <c r="I431">
        <f>IF(H431&lt;&gt;"",H431,G431)</f>
        <v/>
      </c>
      <c r="J431" t="inlineStr">
        <is>
          <t>Step 3-b</t>
        </is>
      </c>
      <c r="K431" t="n">
        <v>3</v>
      </c>
      <c r="L431" t="n">
        <v>1</v>
      </c>
      <c r="M431" s="5" t="inlineStr">
        <is>
          <t>As YukthiX billing staff, I want to pause or change the schedule for a company, so that I can agree a payment plan.</t>
        </is>
      </c>
      <c r="N431" s="5" t="inlineStr">
        <is>
          <t>• Given a company, when staff pause, extend, step forward or back, or set a payment plan, then a reason and an expiry are required (YX-TEN-06).
• Given an override, then it is audited and shown to the company admins (YX-TEN-06, YX-CONSOLE-02).
• Given the override expires, then the automatic schedule resumes (YX-TEN-06).</t>
        </is>
      </c>
      <c r="O431" s="5" t="inlineStr">
        <is>
          <t>YX-TEN-06, YX-CONSOLE-02</t>
        </is>
      </c>
      <c r="P431" t="inlineStr">
        <is>
          <t>P14 Q5, P14 Q6, P14 §6 flows 3–4</t>
        </is>
      </c>
      <c r="Q431" t="inlineStr">
        <is>
          <t>US-B-053</t>
        </is>
      </c>
      <c r="R431" s="5" t="inlineStr"/>
    </row>
    <row r="432">
      <c r="A432" t="inlineStr">
        <is>
          <t>US-B-055</t>
        </is>
      </c>
      <c r="B432" t="n">
        <v>455</v>
      </c>
      <c r="C432" t="inlineStr">
        <is>
          <t>Story</t>
        </is>
      </c>
      <c r="D432" s="5" t="inlineStr">
        <is>
          <t xml:space="preserve">        System Admin exports the whole company at any time</t>
        </is>
      </c>
      <c r="E432" t="inlineStr">
        <is>
          <t>Step 3 · Platform console</t>
        </is>
      </c>
      <c r="F432" t="inlineStr">
        <is>
          <t>Dunning, cancellation and exit</t>
        </is>
      </c>
      <c r="G432" t="inlineStr">
        <is>
          <t>New</t>
        </is>
      </c>
      <c r="I432">
        <f>IF(H432&lt;&gt;"",H432,G432)</f>
        <v/>
      </c>
      <c r="J432" t="inlineStr">
        <is>
          <t>Step 3-b</t>
        </is>
      </c>
      <c r="K432" t="n">
        <v>8</v>
      </c>
      <c r="L432" t="n">
        <v>1</v>
      </c>
      <c r="M432" s="5" t="inlineStr">
        <is>
          <t>As a company System Admin, I want a full export of our data at any time, so that we are never locked in.</t>
        </is>
      </c>
      <c r="N432" s="5" t="inlineStr">
        <is>
          <t>• Given a System Admin, when they ask for an export with step-up sign-in, then a job makes CSV / JSON per entity, a document archive and a manifest (YX-TEN-05).
• Given the export is ready, then the admin is told in-app and by email, and the download link expires.
• Given every download, then it is audited (YX-TEN-05).</t>
        </is>
      </c>
      <c r="O432" s="5" t="inlineStr">
        <is>
          <t>YX-TEN-05</t>
        </is>
      </c>
      <c r="P432" t="inlineStr">
        <is>
          <t>P14 Q5, P14 Q6, P14 §6 flows 3–4</t>
        </is>
      </c>
      <c r="Q432" t="inlineStr">
        <is>
          <t>US-B-009</t>
        </is>
      </c>
      <c r="R432" s="5" t="inlineStr"/>
    </row>
    <row r="433">
      <c r="A433" t="inlineStr">
        <is>
          <t>US-B-056</t>
        </is>
      </c>
      <c r="B433" t="n">
        <v>456</v>
      </c>
      <c r="C433" t="inlineStr">
        <is>
          <t>Story</t>
        </is>
      </c>
      <c r="D433" s="5" t="inlineStr">
        <is>
          <t xml:space="preserve">        Export includes a document pack per employee</t>
        </is>
      </c>
      <c r="E433" t="inlineStr">
        <is>
          <t>Step 3 · Platform console</t>
        </is>
      </c>
      <c r="F433" t="inlineStr">
        <is>
          <t>Dunning, cancellation and exit</t>
        </is>
      </c>
      <c r="G433" t="inlineStr">
        <is>
          <t>New</t>
        </is>
      </c>
      <c r="I433">
        <f>IF(H433&lt;&gt;"",H433,G433)</f>
        <v/>
      </c>
      <c r="J433" t="inlineStr">
        <is>
          <t>Step 3-b</t>
        </is>
      </c>
      <c r="K433" t="n">
        <v>3</v>
      </c>
      <c r="L433" t="n">
        <v>1</v>
      </c>
      <c r="M433" s="5" t="inlineStr">
        <is>
          <t>As a company HR Admin, I want one folder per employee in the export, so that we can hand documents over after we leave.</t>
        </is>
      </c>
      <c r="N433" s="5" t="inlineStr">
        <is>
          <t>• Given a full export, then it has one folder per employee with payslips, Form 16 and letters, plus an index (YX-TEN-07).
• Given alumni, then their documents are included too (YX-TEN-07).
• Given a large company, then the pack is produced in the background and the admin is told when it is ready (YX-TEN-05).</t>
        </is>
      </c>
      <c r="O433" s="5" t="inlineStr">
        <is>
          <t>YX-TEN-07</t>
        </is>
      </c>
      <c r="P433" t="inlineStr">
        <is>
          <t>P14 Q5, P14 Q6, P14 §6 flows 3–4</t>
        </is>
      </c>
      <c r="Q433" t="inlineStr">
        <is>
          <t>US-B-055</t>
        </is>
      </c>
      <c r="R433" s="5" t="inlineStr"/>
    </row>
    <row r="434">
      <c r="A434" t="inlineStr">
        <is>
          <t>US-B-057</t>
        </is>
      </c>
      <c r="B434" t="n">
        <v>457</v>
      </c>
      <c r="C434" t="inlineStr">
        <is>
          <t>Story</t>
        </is>
      </c>
      <c r="D434" s="5" t="inlineStr">
        <is>
          <t xml:space="preserve">        Company cancels and gets 30 days of read-only grace</t>
        </is>
      </c>
      <c r="E434" t="inlineStr">
        <is>
          <t>Step 3 · Platform console</t>
        </is>
      </c>
      <c r="F434" t="inlineStr">
        <is>
          <t>Dunning, cancellation and exit</t>
        </is>
      </c>
      <c r="G434" t="inlineStr">
        <is>
          <t>New</t>
        </is>
      </c>
      <c r="I434">
        <f>IF(H434&lt;&gt;"",H434,G434)</f>
        <v/>
      </c>
      <c r="J434" t="inlineStr">
        <is>
          <t>Step 3-b</t>
        </is>
      </c>
      <c r="K434" t="n">
        <v>5</v>
      </c>
      <c r="L434" t="n">
        <v>1</v>
      </c>
      <c r="M434" s="5" t="inlineStr">
        <is>
          <t>As a company System Admin, I want 30 days to take our data after we cancel, so that nothing is lost.</t>
        </is>
      </c>
      <c r="N434" s="5" t="inlineStr">
        <is>
          <t>• Given a cancellation, then the account is read-only for 30 days and a full export is ready (YX-TEN-03).
• Given the grace period, then every employee can sign in and download their own payslips, Form 16 and letters (YX-TEN-07).
• Given the grace period, then employees are told the deadline in-app and by email at cancellation and on day 23 (YX-TEN-07).
• Given day 23, then admins get a final warning before deletion.</t>
        </is>
      </c>
      <c r="O434" s="5" t="inlineStr">
        <is>
          <t>YX-TEN-03, YX-TEN-07</t>
        </is>
      </c>
      <c r="P434" t="inlineStr">
        <is>
          <t>P14 Q5, P14 Q6, P14 §6 flows 3–4</t>
        </is>
      </c>
      <c r="Q434" t="inlineStr">
        <is>
          <t>US-B-055</t>
        </is>
      </c>
      <c r="R434" s="5" t="inlineStr"/>
    </row>
    <row r="435">
      <c r="A435" t="inlineStr">
        <is>
          <t>US-B-058</t>
        </is>
      </c>
      <c r="B435" t="n">
        <v>458</v>
      </c>
      <c r="C435" t="inlineStr">
        <is>
          <t>Story</t>
        </is>
      </c>
      <c r="D435" s="5" t="inlineStr">
        <is>
          <t xml:space="preserve">        Platform deletes a company and issues a deletion certificate</t>
        </is>
      </c>
      <c r="E435" t="inlineStr">
        <is>
          <t>Step 3 · Platform console</t>
        </is>
      </c>
      <c r="F435" t="inlineStr">
        <is>
          <t>Dunning, cancellation and exit</t>
        </is>
      </c>
      <c r="G435" t="inlineStr">
        <is>
          <t>New</t>
        </is>
      </c>
      <c r="I435">
        <f>IF(H435&lt;&gt;"",H435,G435)</f>
        <v/>
      </c>
      <c r="J435" t="inlineStr">
        <is>
          <t>Step 3-b</t>
        </is>
      </c>
      <c r="K435" t="n">
        <v>8</v>
      </c>
      <c r="L435" t="n">
        <v>1</v>
      </c>
      <c r="M435" s="5" t="inlineStr">
        <is>
          <t>As a company System Admin, I want proof that our data is deleted, so that we meet our own privacy duties.</t>
        </is>
      </c>
      <c r="N435" s="5" t="inlineStr">
        <is>
          <t>• Given day 30 of grace, then live data is deleted, the company keys are destroyed and backups age out within 35 days (YX-TEN-04).
• Given deletion, then a deletion certificate is issued and emailed (YX-TEN-04).
• Given a legal hold, then the held data is kept and the company is told what is held and why (YX-TEN-04).
• Given a suspended company that does not pay, then data is kept 90 days after suspension and then follows this path.</t>
        </is>
      </c>
      <c r="O435" s="5" t="inlineStr">
        <is>
          <t>YX-TEN-04</t>
        </is>
      </c>
      <c r="P435" t="inlineStr">
        <is>
          <t>P14 Q5, P14 Q6, P14 §6 flows 3–4</t>
        </is>
      </c>
      <c r="Q435" t="inlineStr">
        <is>
          <t>US-B-057</t>
        </is>
      </c>
      <c r="R435" s="5" t="inlineStr"/>
    </row>
    <row r="436">
      <c r="A436" s="9" t="inlineStr">
        <is>
          <t>FT-B-013</t>
        </is>
      </c>
      <c r="B436" s="9" t="n">
        <v>459</v>
      </c>
      <c r="C436" s="9" t="inlineStr">
        <is>
          <t>Feature</t>
        </is>
      </c>
      <c r="D436" s="10" t="inlineStr">
        <is>
          <t xml:space="preserve">    Status page and incident notices</t>
        </is>
      </c>
      <c r="E436" s="9" t="inlineStr">
        <is>
          <t>Step 3 · Platform console</t>
        </is>
      </c>
      <c r="F436" s="9" t="inlineStr">
        <is>
          <t>Status page and incident notices</t>
        </is>
      </c>
      <c r="G436" s="9" t="inlineStr">
        <is>
          <t>New</t>
        </is>
      </c>
      <c r="H436" s="9" t="n"/>
      <c r="I436" s="9">
        <f>IF(H436&lt;&gt;"",H436,G436)</f>
        <v/>
      </c>
      <c r="J436" s="9" t="inlineStr">
        <is>
          <t>Step 3-b</t>
        </is>
      </c>
      <c r="K436" s="9" t="n"/>
      <c r="L436" s="9" t="n"/>
      <c r="M436" s="10" t="inlineStr"/>
      <c r="N436" s="10" t="inlineStr"/>
      <c r="O436" s="10" t="inlineStr">
        <is>
          <t>YX-CONSOLE-07, YX-GRO-09, YX-GRO-08, YX-CONSOLE-06</t>
        </is>
      </c>
      <c r="P436" s="9" t="inlineStr">
        <is>
          <t>P14 YX-CONSOLE-07, P20 §5 YX-GRO-08/09, P20 §6 flows 5–6</t>
        </is>
      </c>
      <c r="Q436" s="9" t="inlineStr"/>
      <c r="R436" s="10" t="inlineStr"/>
      <c r="S436" s="9" t="n"/>
    </row>
    <row r="437">
      <c r="A437" t="inlineStr">
        <is>
          <t>US-B-059</t>
        </is>
      </c>
      <c r="B437" t="n">
        <v>459</v>
      </c>
      <c r="C437" t="inlineStr">
        <is>
          <t>Story</t>
        </is>
      </c>
      <c r="D437" s="5" t="inlineStr">
        <is>
          <t xml:space="preserve">        Visitor sees the public YukthiX status page</t>
        </is>
      </c>
      <c r="E437" t="inlineStr">
        <is>
          <t>Step 3 · Platform console</t>
        </is>
      </c>
      <c r="F437" t="inlineStr">
        <is>
          <t>Status page and incident notices</t>
        </is>
      </c>
      <c r="G437" t="inlineStr">
        <is>
          <t>New</t>
        </is>
      </c>
      <c r="I437">
        <f>IF(H437&lt;&gt;"",H437,G437)</f>
        <v/>
      </c>
      <c r="J437" t="inlineStr">
        <is>
          <t>Step 3-b</t>
        </is>
      </c>
      <c r="K437" t="n">
        <v>5</v>
      </c>
      <c r="L437" t="n">
        <v>1</v>
      </c>
      <c r="M437" s="5" t="inlineStr">
        <is>
          <t>As a customer, I want a public status page, so that I can see if YukthiX is working.</t>
        </is>
      </c>
      <c r="N437" s="5" t="inlineStr">
        <is>
          <t>• Given the status page, then it shows current and past availability per product, region and component (YX-CONSOLE-07).
• Given probe results, then they open or update components, and a person confirms the stage wording (YX-GRO-09).
• Given a visitor, when they subscribe by email, then double opt-in is used and unsubscribe takes one click.
• Given the sign-in and error screens, then employees and candidates see a link to the status page (YX-GRO-09).</t>
        </is>
      </c>
      <c r="O437" s="5" t="inlineStr">
        <is>
          <t>YX-CONSOLE-07, YX-GRO-09</t>
        </is>
      </c>
      <c r="P437" t="inlineStr">
        <is>
          <t>P14 YX-CONSOLE-07, P20 §5 YX-GRO-08/09, P20 §6 flows 5–6</t>
        </is>
      </c>
      <c r="Q437" t="inlineStr">
        <is>
          <t>US-B-005</t>
        </is>
      </c>
      <c r="R437" s="5" t="inlineStr"/>
    </row>
    <row r="438">
      <c r="A438" t="inlineStr">
        <is>
          <t>US-B-060</t>
        </is>
      </c>
      <c r="B438" t="n">
        <v>460</v>
      </c>
      <c r="C438" t="inlineStr">
        <is>
          <t>Story</t>
        </is>
      </c>
      <c r="D438" s="5" t="inlineStr">
        <is>
          <t xml:space="preserve">        Support lead manages approved incident and maintenance templates</t>
        </is>
      </c>
      <c r="E438" t="inlineStr">
        <is>
          <t>Step 3 · Platform console</t>
        </is>
      </c>
      <c r="F438" t="inlineStr">
        <is>
          <t>Status page and incident notices</t>
        </is>
      </c>
      <c r="G438" t="inlineStr">
        <is>
          <t>New</t>
        </is>
      </c>
      <c r="I438">
        <f>IF(H438&lt;&gt;"",H438,G438)</f>
        <v/>
      </c>
      <c r="J438" t="inlineStr">
        <is>
          <t>Step 3-b</t>
        </is>
      </c>
      <c r="K438" t="n">
        <v>3</v>
      </c>
      <c r="L438" t="n">
        <v>1</v>
      </c>
      <c r="M438" s="5" t="inlineStr">
        <is>
          <t>As the YukthiX support lead, I want approved message templates for each stage, so that we speak calmly and fast when something breaks.</t>
        </is>
      </c>
      <c r="N438" s="5" t="inlineStr">
        <is>
          <t>• Given incidents, then templates exist for investigating, identified, monitoring, resolved and post-incident summary; maintenance has scheduled, reminder, started and completed (YX-GRO-08).
• Given a template, then it has places for affected products, regions, components, impact, what to do and next update time (YX-GRO-08).
• Given a template change, then a second approver is needed (YX-GRO-08).</t>
        </is>
      </c>
      <c r="O438" s="5" t="inlineStr">
        <is>
          <t>YX-GRO-08</t>
        </is>
      </c>
      <c r="P438" t="inlineStr">
        <is>
          <t>P14 YX-CONSOLE-07, P20 §5 YX-GRO-08/09, P20 §6 flows 5–6</t>
        </is>
      </c>
      <c r="Q438" t="inlineStr">
        <is>
          <t>US-B-059</t>
        </is>
      </c>
      <c r="R438" s="5" t="inlineStr"/>
    </row>
    <row r="439">
      <c r="A439" t="inlineStr">
        <is>
          <t>US-B-061</t>
        </is>
      </c>
      <c r="B439" t="n">
        <v>461</v>
      </c>
      <c r="C439" t="inlineStr">
        <is>
          <t>Story</t>
        </is>
      </c>
      <c r="D439" s="5" t="inlineStr">
        <is>
          <t xml:space="preserve">        On-call engineer posts a Sev-1 incident within 30 minutes</t>
        </is>
      </c>
      <c r="E439" t="inlineStr">
        <is>
          <t>Step 3 · Platform console</t>
        </is>
      </c>
      <c r="F439" t="inlineStr">
        <is>
          <t>Status page and incident notices</t>
        </is>
      </c>
      <c r="G439" t="inlineStr">
        <is>
          <t>New</t>
        </is>
      </c>
      <c r="I439">
        <f>IF(H439&lt;&gt;"",H439,G439)</f>
        <v/>
      </c>
      <c r="J439" t="inlineStr">
        <is>
          <t>Step 3-b</t>
        </is>
      </c>
      <c r="K439" t="n">
        <v>5</v>
      </c>
      <c r="L439" t="n">
        <v>1</v>
      </c>
      <c r="M439" s="5" t="inlineStr">
        <is>
          <t>As the on-call engineer, I want to post an incident notice from a template, so that customers hear from us within 30 minutes.</t>
        </is>
      </c>
      <c r="N439" s="5" t="inlineStr">
        <is>
          <t>• Given a Sev-1 detected at 10:00, when on-call posts from the template, then the status page, affected admins in-app and by email, and subscribers have it by 10:30 (YX-CONSOLE-07, YX-GRO-09).
• Given in-app incident notices, then they are always shown and not rate-limited (YX-CONSOLE-06).
• Given an incident in a company's payroll-critical window or on a statutory due date, then the message has the payroll-day note (YX-GRO-08).
• Given a security incident with personal data, then the composer sends staff to the P12 legal notice path instead (YX-GRO-08).</t>
        </is>
      </c>
      <c r="O439" s="5" t="inlineStr">
        <is>
          <t>YX-CONSOLE-07, YX-GRO-08, YX-GRO-09, YX-CONSOLE-06</t>
        </is>
      </c>
      <c r="P439" t="inlineStr">
        <is>
          <t>P14 YX-CONSOLE-07, P20 §5 YX-GRO-08/09, P20 §6 flows 5–6</t>
        </is>
      </c>
      <c r="Q439" t="inlineStr">
        <is>
          <t>US-B-060</t>
        </is>
      </c>
      <c r="R439" s="5" t="inlineStr"/>
    </row>
    <row r="440">
      <c r="A440" t="inlineStr">
        <is>
          <t>US-B-062</t>
        </is>
      </c>
      <c r="B440" t="n">
        <v>462</v>
      </c>
      <c r="C440" t="inlineStr">
        <is>
          <t>Story</t>
        </is>
      </c>
      <c r="D440" s="5" t="inlineStr">
        <is>
          <t xml:space="preserve">        Staff schedule maintenance outside payroll-critical windows</t>
        </is>
      </c>
      <c r="E440" t="inlineStr">
        <is>
          <t>Step 3 · Platform console</t>
        </is>
      </c>
      <c r="F440" t="inlineStr">
        <is>
          <t>Status page and incident notices</t>
        </is>
      </c>
      <c r="G440" t="inlineStr">
        <is>
          <t>New</t>
        </is>
      </c>
      <c r="I440">
        <f>IF(H440&lt;&gt;"",H440,G440)</f>
        <v/>
      </c>
      <c r="J440" t="inlineStr">
        <is>
          <t>Step 3-b</t>
        </is>
      </c>
      <c r="K440" t="n">
        <v>5</v>
      </c>
      <c r="L440" t="n">
        <v>1</v>
      </c>
      <c r="M440" s="5" t="inlineStr">
        <is>
          <t>As YukthiX ops staff, I want maintenance checked against each company's payroll days, so that we never disturb payroll.</t>
        </is>
      </c>
      <c r="N440" s="5" t="inlineStr">
        <is>
          <t>• Given a maintenance window, when the notice would go less than 72 hours ahead, then it is refused; a reminder goes 24 hours ahead (YX-GRO-08, YX-CONSOLE-07).
• Given a window on the 2nd, when a company's payroll-critical window is the last 3 and first 7 days, then it is refused for that company (YX-CONSOLE-07).
• Given a statutory due date for a company's entities, then a window on that date is refused (YX-CONSOLE-07).
• Given a company admin, when they change their payroll-critical window in Settings › Billing &amp; Account, then the new window is used.</t>
        </is>
      </c>
      <c r="O440" s="5" t="inlineStr">
        <is>
          <t>YX-CONSOLE-07, YX-GRO-08</t>
        </is>
      </c>
      <c r="P440" t="inlineStr">
        <is>
          <t>P14 YX-CONSOLE-07, P20 §5 YX-GRO-08/09, P20 §6 flows 5–6</t>
        </is>
      </c>
      <c r="Q440" t="inlineStr">
        <is>
          <t>US-B-060</t>
        </is>
      </c>
      <c r="R440" s="5" t="inlineStr"/>
    </row>
    <row r="441">
      <c r="A441" s="9" t="inlineStr">
        <is>
          <t>FT-B-014</t>
        </is>
      </c>
      <c r="B441" s="9" t="n">
        <v>463</v>
      </c>
      <c r="C441" s="9" t="inlineStr">
        <is>
          <t>Feature</t>
        </is>
      </c>
      <c r="D441" s="10" t="inlineStr">
        <is>
          <t xml:space="preserve">    Customer success</t>
        </is>
      </c>
      <c r="E441" s="9" t="inlineStr">
        <is>
          <t>Step 3 · Platform console</t>
        </is>
      </c>
      <c r="F441" s="9" t="inlineStr">
        <is>
          <t>Customer success</t>
        </is>
      </c>
      <c r="G441" s="9" t="inlineStr">
        <is>
          <t>New</t>
        </is>
      </c>
      <c r="H441" s="9" t="n"/>
      <c r="I441" s="9">
        <f>IF(H441&lt;&gt;"",H441,G441)</f>
        <v/>
      </c>
      <c r="J441" s="9" t="inlineStr">
        <is>
          <t>Step 3-b</t>
        </is>
      </c>
      <c r="K441" s="9" t="n"/>
      <c r="L441" s="9" t="n"/>
      <c r="M441" s="10" t="inlineStr"/>
      <c r="N441" s="10" t="inlineStr"/>
      <c r="O441" s="10" t="inlineStr">
        <is>
          <t>YX-CONSOLE-05, YX-GRO-10, YX-CONSOLE-06, YX-CONSOLE-08, YX-CONSOLE-02</t>
        </is>
      </c>
      <c r="P441" s="9" t="inlineStr">
        <is>
          <t>P14 C8, P14 §6 flow 6, P20 YX-GRO-10</t>
        </is>
      </c>
      <c r="Q441" s="9" t="inlineStr"/>
      <c r="R441" s="10" t="inlineStr"/>
      <c r="S441" s="9" t="n"/>
    </row>
    <row r="442">
      <c r="A442" t="inlineStr">
        <is>
          <t>US-B-063</t>
        </is>
      </c>
      <c r="B442" t="n">
        <v>463</v>
      </c>
      <c r="C442" t="inlineStr">
        <is>
          <t>Story</t>
        </is>
      </c>
      <c r="D442" s="5" t="inlineStr">
        <is>
          <t xml:space="preserve">        CS owner sees a health score for each company</t>
        </is>
      </c>
      <c r="E442" t="inlineStr">
        <is>
          <t>Step 3 · Platform console</t>
        </is>
      </c>
      <c r="F442" t="inlineStr">
        <is>
          <t>Customer success</t>
        </is>
      </c>
      <c r="G442" t="inlineStr">
        <is>
          <t>New</t>
        </is>
      </c>
      <c r="I442">
        <f>IF(H442&lt;&gt;"",H442,G442)</f>
        <v/>
      </c>
      <c r="J442" t="inlineStr">
        <is>
          <t>Step 3-b</t>
        </is>
      </c>
      <c r="K442" t="n">
        <v>5</v>
      </c>
      <c r="L442" t="n">
        <v>1</v>
      </c>
      <c r="M442" s="5" t="inlineStr">
        <is>
          <t>As a YukthiX CS owner, I want a health score and churn risk per company, so that I help the right customers first.</t>
        </is>
      </c>
      <c r="N442" s="5" t="inlineStr">
        <is>
          <t>• Given the nightly tenant-health feed, then each company gets a score 0–100, factors and a churn band (YX-CONSOLE-05).
• Given the CS view, then it shows score, trend, factors and billing status, and no employee, candidate or payroll data (YX-CONSOLE-05, YX-GRO-10).
• Given the health list, then it can be filtered by cohort: sign-up month, size band and product.</t>
        </is>
      </c>
      <c r="O442" s="5" t="inlineStr">
        <is>
          <t>YX-CONSOLE-05, YX-GRO-10</t>
        </is>
      </c>
      <c r="P442" t="inlineStr">
        <is>
          <t>P14 C8, P14 §6 flow 6, P20 YX-GRO-10</t>
        </is>
      </c>
      <c r="Q442" t="inlineStr">
        <is>
          <t>US-B-008</t>
        </is>
      </c>
      <c r="R442" s="5" t="inlineStr"/>
    </row>
    <row r="443">
      <c r="A443" t="inlineStr">
        <is>
          <t>US-B-064</t>
        </is>
      </c>
      <c r="B443" t="n">
        <v>464</v>
      </c>
      <c r="C443" t="inlineStr">
        <is>
          <t>Story</t>
        </is>
      </c>
      <c r="D443" s="5" t="inlineStr">
        <is>
          <t xml:space="preserve">        CS owner gets churn-risk alerts</t>
        </is>
      </c>
      <c r="E443" t="inlineStr">
        <is>
          <t>Step 3 · Platform console</t>
        </is>
      </c>
      <c r="F443" t="inlineStr">
        <is>
          <t>Customer success</t>
        </is>
      </c>
      <c r="G443" t="inlineStr">
        <is>
          <t>New</t>
        </is>
      </c>
      <c r="I443">
        <f>IF(H443&lt;&gt;"",H443,G443)</f>
        <v/>
      </c>
      <c r="J443" t="inlineStr">
        <is>
          <t>Step 3-b</t>
        </is>
      </c>
      <c r="K443" t="n">
        <v>3</v>
      </c>
      <c r="L443" t="n">
        <v>1</v>
      </c>
      <c r="M443" s="5" t="inlineStr">
        <is>
          <t>As a YukthiX CS owner, I want alerts when a company is at risk, so that I can call them early.</t>
        </is>
      </c>
      <c r="N443" s="5" t="inlineStr">
        <is>
          <t>• Given a move to high churn risk or a fall of 20+ points in 30 days, then an alert goes to the company's CS owner (YX-CONSOLE-05).
• Given set-up stalled over 14 days in trial, payroll not run by day 5, admins inactive 30 days or an NPS detractor, then an alert is raised (YX-CONSOLE-05).
• Given an alert, when the owner acts, then they log the outcome (contacted, resolved) and notes without HR data.</t>
        </is>
      </c>
      <c r="O443" s="5" t="inlineStr">
        <is>
          <t>YX-CONSOLE-05</t>
        </is>
      </c>
      <c r="P443" t="inlineStr">
        <is>
          <t>P14 C8, P14 §6 flow 6, P20 YX-GRO-10</t>
        </is>
      </c>
      <c r="Q443" t="inlineStr">
        <is>
          <t>US-B-063</t>
        </is>
      </c>
      <c r="R443" s="5" t="inlineStr"/>
    </row>
    <row r="444">
      <c r="A444" t="inlineStr">
        <is>
          <t>US-B-065</t>
        </is>
      </c>
      <c r="B444" t="n">
        <v>465</v>
      </c>
      <c r="C444" t="inlineStr">
        <is>
          <t>Story</t>
        </is>
      </c>
      <c r="D444" s="5" t="inlineStr">
        <is>
          <t xml:space="preserve">        CS team sends in-app messages to company admins</t>
        </is>
      </c>
      <c r="E444" t="inlineStr">
        <is>
          <t>Step 3 · Platform console</t>
        </is>
      </c>
      <c r="F444" t="inlineStr">
        <is>
          <t>Customer success</t>
        </is>
      </c>
      <c r="G444" t="inlineStr">
        <is>
          <t>New</t>
        </is>
      </c>
      <c r="I444">
        <f>IF(H444&lt;&gt;"",H444,G444)</f>
        <v/>
      </c>
      <c r="J444" t="inlineStr">
        <is>
          <t>Step 3-b</t>
        </is>
      </c>
      <c r="K444" t="n">
        <v>5</v>
      </c>
      <c r="L444" t="n">
        <v>1</v>
      </c>
      <c r="M444" s="5" t="inlineStr">
        <is>
          <t>As a YukthiX CS owner, I want to send announcements and tips to company admins, so that they use the product well.</t>
        </is>
      </c>
      <c r="N444" s="5" t="inlineStr">
        <is>
          <t>• Given a message, then it reaches only admin roles (System Admin, HR Admin, Payroll Admin, billing contact), never employees (YX-CONSOLE-06).
• Given a message, when it has no second staff approval, then it cannot be sent (YX-CONSOLE-06).
• Given non-critical messages, then an admin gets at most 2 a week, and marketing respects their opt-out; maintenance and security notices are always shown (YX-CONSOLE-06).
• Given a sent message, then only delivery and read are tracked (YX-CONSOLE-06).</t>
        </is>
      </c>
      <c r="O444" s="5" t="inlineStr">
        <is>
          <t>YX-CONSOLE-06</t>
        </is>
      </c>
      <c r="P444" t="inlineStr">
        <is>
          <t>P14 C8, P14 §6 flow 6, P20 YX-GRO-10</t>
        </is>
      </c>
      <c r="Q444" t="inlineStr">
        <is>
          <t>US-B-063</t>
        </is>
      </c>
      <c r="R444" s="5" t="inlineStr"/>
    </row>
    <row r="445">
      <c r="A445" t="inlineStr">
        <is>
          <t>US-B-066</t>
        </is>
      </c>
      <c r="B445" t="n">
        <v>466</v>
      </c>
      <c r="C445" t="inlineStr">
        <is>
          <t>Story</t>
        </is>
      </c>
      <c r="D445" s="5" t="inlineStr">
        <is>
          <t xml:space="preserve">        Company System Admin sees their own health score</t>
        </is>
      </c>
      <c r="E445" t="inlineStr">
        <is>
          <t>Step 3 · Platform console</t>
        </is>
      </c>
      <c r="F445" t="inlineStr">
        <is>
          <t>Customer success</t>
        </is>
      </c>
      <c r="G445" t="inlineStr">
        <is>
          <t>New</t>
        </is>
      </c>
      <c r="I445">
        <f>IF(H445&lt;&gt;"",H445,G445)</f>
        <v/>
      </c>
      <c r="J445" t="inlineStr">
        <is>
          <t>Step 3-b</t>
        </is>
      </c>
      <c r="K445" t="n">
        <v>2</v>
      </c>
      <c r="L445" t="n">
        <v>1</v>
      </c>
      <c r="M445" s="5" t="inlineStr">
        <is>
          <t>As a company System Admin, I want to see our health score and next steps, so that we know what to finish.</t>
        </is>
      </c>
      <c r="N445" s="5" t="inlineStr">
        <is>
          <t>• Given Settings › Billing &amp; Account, then the System Admin sees the score, factors and next steps such as "Finish leave set-up" (YX-CONSOLE-05).
• Given other roles, then they do not see the score.
• Given a next step, when the admin clicks it, then the matching set-up hub card opens.</t>
        </is>
      </c>
      <c r="O445" s="5" t="inlineStr">
        <is>
          <t>YX-CONSOLE-05</t>
        </is>
      </c>
      <c r="P445" t="inlineStr">
        <is>
          <t>P14 C8, P14 §6 flow 6, P20 YX-GRO-10</t>
        </is>
      </c>
      <c r="Q445" t="inlineStr">
        <is>
          <t>US-B-063</t>
        </is>
      </c>
      <c r="R445" s="5" t="inlineStr"/>
    </row>
    <row r="446">
      <c r="A446" t="inlineStr">
        <is>
          <t>US-B-067</t>
        </is>
      </c>
      <c r="B446" t="n">
        <v>467</v>
      </c>
      <c r="C446" t="inlineStr">
        <is>
          <t>Story</t>
        </is>
      </c>
      <c r="D446" s="5" t="inlineStr">
        <is>
          <t xml:space="preserve">        Growth analyst sees funnels and cohorts</t>
        </is>
      </c>
      <c r="E446" t="inlineStr">
        <is>
          <t>Step 3 · Platform console</t>
        </is>
      </c>
      <c r="F446" t="inlineStr">
        <is>
          <t>Customer success</t>
        </is>
      </c>
      <c r="G446" t="inlineStr">
        <is>
          <t>New</t>
        </is>
      </c>
      <c r="I446">
        <f>IF(H446&lt;&gt;"",H446,G446)</f>
        <v/>
      </c>
      <c r="J446" t="inlineStr">
        <is>
          <t>Step 3-b</t>
        </is>
      </c>
      <c r="K446" t="n">
        <v>5</v>
      </c>
      <c r="L446" t="n">
        <v>1</v>
      </c>
      <c r="M446" s="5" t="inlineStr">
        <is>
          <t>As a YukthiX growth analyst, I want funnels, time to first value and cohorts, so that I see where trials drop off.</t>
        </is>
      </c>
      <c r="N446" s="5" t="inlineStr">
        <is>
          <t>• Given the product analytics role, then the analyst sees funnels, time to first value, cohorts and feature adoption (YX-CONSOLE-08).
• Given staff without that role, then access is refused, and every access is audited (YX-CONSOLE-08, YX-CONSOLE-02).
• Given a company that opted out of non-essential analytics, then it sends no product-analytics events (YX-CONSOLE-08).
• Given the dashboards, then they use only product metrics, milestones, set-up progress and billing status, never HR data (YX-GRO-10).</t>
        </is>
      </c>
      <c r="O446" s="5" t="inlineStr">
        <is>
          <t>YX-CONSOLE-08, YX-GRO-10, YX-CONSOLE-02</t>
        </is>
      </c>
      <c r="P446" t="inlineStr">
        <is>
          <t>P14 C8, P14 §6 flow 6, P20 YX-GRO-10</t>
        </is>
      </c>
      <c r="Q446" t="inlineStr">
        <is>
          <t>US-B-002</t>
        </is>
      </c>
      <c r="R446" s="5" t="inlineStr"/>
    </row>
    <row r="447">
      <c r="A447" s="9" t="inlineStr">
        <is>
          <t>FT-B-015</t>
        </is>
      </c>
      <c r="B447" s="9" t="n">
        <v>468</v>
      </c>
      <c r="C447" s="9" t="inlineStr">
        <is>
          <t>Feature</t>
        </is>
      </c>
      <c r="D447" s="10" t="inlineStr">
        <is>
          <t xml:space="preserve">    Trial journey and first value</t>
        </is>
      </c>
      <c r="E447" s="9" t="inlineStr">
        <is>
          <t>Step 3 · Platform console</t>
        </is>
      </c>
      <c r="F447" s="9" t="inlineStr">
        <is>
          <t>Trial journey and first value</t>
        </is>
      </c>
      <c r="G447" s="9" t="inlineStr">
        <is>
          <t>New</t>
        </is>
      </c>
      <c r="H447" s="9" t="n"/>
      <c r="I447" s="9">
        <f>IF(H447&lt;&gt;"",H447,G447)</f>
        <v/>
      </c>
      <c r="J447" s="9" t="inlineStr">
        <is>
          <t>Step 3-b</t>
        </is>
      </c>
      <c r="K447" s="9" t="n"/>
      <c r="L447" s="9" t="n"/>
      <c r="M447" s="10" t="inlineStr"/>
      <c r="N447" s="10" t="inlineStr"/>
      <c r="O447" s="10" t="inlineStr">
        <is>
          <t>YX-GRO-01, YX-GRO-02, YX-GRO-03, YX-GRO-04, YX-BILL-14, YX-BILL-12, YX-GRO-05, YX-GRO-10</t>
        </is>
      </c>
      <c r="P447" s="9" t="inlineStr">
        <is>
          <t>P20 §3, P20 §5, P20 §6 flows 1–4</t>
        </is>
      </c>
      <c r="Q447" s="9" t="inlineStr"/>
      <c r="R447" s="10" t="inlineStr"/>
      <c r="S447" s="9" t="n"/>
    </row>
    <row r="448">
      <c r="A448" t="inlineStr">
        <is>
          <t>US-B-068</t>
        </is>
      </c>
      <c r="B448" t="n">
        <v>468</v>
      </c>
      <c r="C448" t="inlineStr">
        <is>
          <t>Story</t>
        </is>
      </c>
      <c r="D448" s="5" t="inlineStr">
        <is>
          <t xml:space="preserve">        New company reaches first value with a quick start lane</t>
        </is>
      </c>
      <c r="E448" t="inlineStr">
        <is>
          <t>Step 3 · Platform console</t>
        </is>
      </c>
      <c r="F448" t="inlineStr">
        <is>
          <t>Trial journey and first value</t>
        </is>
      </c>
      <c r="G448" t="inlineStr">
        <is>
          <t>New</t>
        </is>
      </c>
      <c r="I448">
        <f>IF(H448&lt;&gt;"",H448,G448)</f>
        <v/>
      </c>
      <c r="J448" t="inlineStr">
        <is>
          <t>Step 3-b</t>
        </is>
      </c>
      <c r="K448" t="n">
        <v>5</v>
      </c>
      <c r="L448" t="n">
        <v>1</v>
      </c>
      <c r="M448" s="5" t="inlineStr">
        <is>
          <t>As a new company admin, I want three short steps to see the product working, so that I see value in about 5 minutes.</t>
        </is>
      </c>
      <c r="N448" s="5" t="inlineStr">
        <is>
          <t>• Given each product, then a lane of at most three steps shows at the top of the set-up hub: Assess sends a library test invite, Hire posts a job, HR imports employees and shows a payslip preview (YX-GRO-01).
• Given a lane, then starter templates apply in one click and sample data can stand in, labelled on every screen (YX-GRO-01).
• Given an HR lane done, then no bank file or filing is offered and every go-live check stays open (YX-GRO-01).</t>
        </is>
      </c>
      <c r="O448" s="5" t="inlineStr">
        <is>
          <t>YX-GRO-01</t>
        </is>
      </c>
      <c r="P448" t="inlineStr">
        <is>
          <t>P20 §3, P20 §5, P20 §6 flows 1–4</t>
        </is>
      </c>
      <c r="Q448" t="inlineStr">
        <is>
          <t>US-B-033</t>
        </is>
      </c>
      <c r="R448" s="5" t="inlineStr"/>
    </row>
    <row r="449">
      <c r="A449" t="inlineStr">
        <is>
          <t>US-B-069</t>
        </is>
      </c>
      <c r="B449" t="n">
        <v>469</v>
      </c>
      <c r="C449" t="inlineStr">
        <is>
          <t>Story</t>
        </is>
      </c>
      <c r="D449" s="5" t="inlineStr">
        <is>
          <t xml:space="preserve">        Platform records first value and activation</t>
        </is>
      </c>
      <c r="E449" t="inlineStr">
        <is>
          <t>Step 3 · Platform console</t>
        </is>
      </c>
      <c r="F449" t="inlineStr">
        <is>
          <t>Trial journey and first value</t>
        </is>
      </c>
      <c r="G449" t="inlineStr">
        <is>
          <t>New</t>
        </is>
      </c>
      <c r="I449">
        <f>IF(H449&lt;&gt;"",H449,G449)</f>
        <v/>
      </c>
      <c r="J449" t="inlineStr">
        <is>
          <t>Step 3-b</t>
        </is>
      </c>
      <c r="K449" t="n">
        <v>3</v>
      </c>
      <c r="L449" t="n">
        <v>1</v>
      </c>
      <c r="M449" s="5" t="inlineStr">
        <is>
          <t>As a YukthiX growth analyst, I want first value and activation recorded per company and product, so that we can measure the trial.</t>
        </is>
      </c>
      <c r="N449" s="5" t="inlineStr">
        <is>
          <t>• Given a registered first-value event, then it is saved once per company and product in the milestones (YX-GRO-02).
• Given activation rules, then they are versioned and a change applies only to new cohorts with a changelog note (YX-GRO-02).
• Given milestones, then they are measured only through the product metrics (YX-GRO-02).</t>
        </is>
      </c>
      <c r="O449" s="5" t="inlineStr">
        <is>
          <t>YX-GRO-02</t>
        </is>
      </c>
      <c r="P449" t="inlineStr">
        <is>
          <t>P20 §3, P20 §5, P20 §6 flows 1–4</t>
        </is>
      </c>
      <c r="Q449" t="inlineStr">
        <is>
          <t>US-B-068</t>
        </is>
      </c>
      <c r="R449" s="5" t="inlineStr"/>
    </row>
    <row r="450">
      <c r="A450" t="inlineStr">
        <is>
          <t>US-B-070</t>
        </is>
      </c>
      <c r="B450" t="n">
        <v>470</v>
      </c>
      <c r="C450" t="inlineStr">
        <is>
          <t>Story</t>
        </is>
      </c>
      <c r="D450" s="5" t="inlineStr">
        <is>
          <t xml:space="preserve">        Trial admins get helpful nudges on day 0, 1, 3, 7 and 14</t>
        </is>
      </c>
      <c r="E450" t="inlineStr">
        <is>
          <t>Step 3 · Platform console</t>
        </is>
      </c>
      <c r="F450" t="inlineStr">
        <is>
          <t>Trial journey and first value</t>
        </is>
      </c>
      <c r="G450" t="inlineStr">
        <is>
          <t>New</t>
        </is>
      </c>
      <c r="I450">
        <f>IF(H450&lt;&gt;"",H450,G450)</f>
        <v/>
      </c>
      <c r="J450" t="inlineStr">
        <is>
          <t>Step 3-b</t>
        </is>
      </c>
      <c r="K450" t="n">
        <v>5</v>
      </c>
      <c r="L450" t="n">
        <v>1</v>
      </c>
      <c r="M450" s="5" t="inlineStr">
        <is>
          <t>As a trial admin, I want short tips that match what I still need to do, so that I finish set-up.</t>
        </is>
      </c>
      <c r="N450" s="5" t="inlineStr">
        <is>
          <t>• Given a trial, then nudges are chosen from set-up hub progress, never from analytics events, so opted-out companies get the same help (YX-GRO-03).
• Given a step already done, then its nudge is skipped or replaced by the next step (YX-GRO-03).
• Given an admin, then they get at most one lifecycle message a day and none on a day with a CS message; they can mute tips in one click (YX-GRO-03).
• Given employees and candidates, then they never get nudges; trial-ending notices at T-7 and T-1 always go (YX-GRO-03).</t>
        </is>
      </c>
      <c r="O450" s="5" t="inlineStr">
        <is>
          <t>YX-GRO-03</t>
        </is>
      </c>
      <c r="P450" t="inlineStr">
        <is>
          <t>P20 §3, P20 §5, P20 §6 flows 1–4</t>
        </is>
      </c>
      <c r="Q450" t="inlineStr">
        <is>
          <t>US-B-069</t>
        </is>
      </c>
      <c r="R450" s="5" t="inlineStr"/>
    </row>
    <row r="451">
      <c r="A451" t="inlineStr">
        <is>
          <t>US-B-071</t>
        </is>
      </c>
      <c r="B451" t="n">
        <v>471</v>
      </c>
      <c r="C451" t="inlineStr">
        <is>
          <t>Story</t>
        </is>
      </c>
      <c r="D451" s="5" t="inlineStr">
        <is>
          <t xml:space="preserve">        Admin sees a "Switch on" card at the right moment</t>
        </is>
      </c>
      <c r="E451" t="inlineStr">
        <is>
          <t>Step 3 · Platform console</t>
        </is>
      </c>
      <c r="F451" t="inlineStr">
        <is>
          <t>Trial journey and first value</t>
        </is>
      </c>
      <c r="G451" t="inlineStr">
        <is>
          <t>New</t>
        </is>
      </c>
      <c r="I451">
        <f>IF(H451&lt;&gt;"",H451,G451)</f>
        <v/>
      </c>
      <c r="J451" t="inlineStr">
        <is>
          <t>Step 3-b</t>
        </is>
      </c>
      <c r="K451" t="n">
        <v>5</v>
      </c>
      <c r="L451" t="n">
        <v>1</v>
      </c>
      <c r="M451" s="5" t="inlineStr">
        <is>
          <t>As a trial admin, I want a short card when I need a paid capability, so that I can switch on without searching.</t>
        </is>
      </c>
      <c r="N451" s="5" t="inlineStr">
        <is>
          <t>• Given an admin opening a product the company does not have, a trial limit reached, or first value reached, then a "Switch on" card appears (YX-GRO-04).
• Given the card, then it shows what the product does, the published price and "Billing starts when you go live", with Switch on, Talk to us and Not now (YX-GRO-04, YX-BILL-14, YX-BILL-12).
• Given a dismissed card, then it is not shown again for 14 days, and it never hides the company's own data (YX-GRO-04).</t>
        </is>
      </c>
      <c r="O451" s="5" t="inlineStr">
        <is>
          <t>YX-GRO-04, YX-BILL-14, YX-BILL-12</t>
        </is>
      </c>
      <c r="P451" t="inlineStr">
        <is>
          <t>P20 §3, P20 §5, P20 §6 flows 1–4</t>
        </is>
      </c>
      <c r="Q451" t="inlineStr">
        <is>
          <t>US-B-034</t>
        </is>
      </c>
      <c r="R451" s="5" t="inlineStr"/>
    </row>
    <row r="452">
      <c r="A452" t="inlineStr">
        <is>
          <t>US-B-072</t>
        </is>
      </c>
      <c r="B452" t="n">
        <v>472</v>
      </c>
      <c r="C452" t="inlineStr">
        <is>
          <t>Story</t>
        </is>
      </c>
      <c r="D452" s="5" t="inlineStr">
        <is>
          <t xml:space="preserve">        Large trial gets a "Talk to us" hand-off</t>
        </is>
      </c>
      <c r="E452" t="inlineStr">
        <is>
          <t>Step 3 · Platform console</t>
        </is>
      </c>
      <c r="F452" t="inlineStr">
        <is>
          <t>Trial journey and first value</t>
        </is>
      </c>
      <c r="G452" t="inlineStr">
        <is>
          <t>New</t>
        </is>
      </c>
      <c r="I452">
        <f>IF(H452&lt;&gt;"",H452,G452)</f>
        <v/>
      </c>
      <c r="J452" t="inlineStr">
        <is>
          <t>Step 3-b</t>
        </is>
      </c>
      <c r="K452" t="n">
        <v>3</v>
      </c>
      <c r="L452" t="n">
        <v>1</v>
      </c>
      <c r="M452" s="5" t="inlineStr">
        <is>
          <t>As a YukthiX sales-assist owner, I want large trials flagged to me, so that I can help them within a day.</t>
        </is>
      </c>
      <c r="N452" s="5" t="inlineStr">
        <is>
          <t>• Given a trial above the size limit (for example 200 employees, 3 entities, 10 recruiters or 2,000 attempts) or asking for migration help, then a "trial_talk_to_us" alert goes to the owner within one business day (YX-GRO-05).
• Given such a trial, then its admins see a "Talk to us" option to book a call; self-serve stays open (YX-GRO-05).
• Given the queue, then it shows company name, size band and set-up progress, but no employee names (YX-GRO-10).</t>
        </is>
      </c>
      <c r="O452" s="5" t="inlineStr">
        <is>
          <t>YX-GRO-05, YX-GRO-10</t>
        </is>
      </c>
      <c r="P452" t="inlineStr">
        <is>
          <t>P20 §3, P20 §5, P20 §6 flows 1–4</t>
        </is>
      </c>
      <c r="Q452" t="inlineStr">
        <is>
          <t>US-B-064</t>
        </is>
      </c>
      <c r="R452" s="5" t="inlineStr"/>
    </row>
    <row r="453">
      <c r="A453" t="inlineStr">
        <is>
          <t>US-B-073</t>
        </is>
      </c>
      <c r="B453" t="n">
        <v>473</v>
      </c>
      <c r="C453" t="inlineStr">
        <is>
          <t>Story</t>
        </is>
      </c>
      <c r="D453" s="5" t="inlineStr">
        <is>
          <t xml:space="preserve">        Growth staff edit nudge and card wording with a second approval</t>
        </is>
      </c>
      <c r="E453" t="inlineStr">
        <is>
          <t>Step 3 · Platform console</t>
        </is>
      </c>
      <c r="F453" t="inlineStr">
        <is>
          <t>Trial journey and first value</t>
        </is>
      </c>
      <c r="G453" t="inlineStr">
        <is>
          <t>New</t>
        </is>
      </c>
      <c r="I453">
        <f>IF(H453&lt;&gt;"",H453,G453)</f>
        <v/>
      </c>
      <c r="J453" t="inlineStr">
        <is>
          <t>Step 3-b</t>
        </is>
      </c>
      <c r="K453" t="n">
        <v>3</v>
      </c>
      <c r="L453" t="n">
        <v>2</v>
      </c>
      <c r="M453" s="5" t="inlineStr">
        <is>
          <t>As YukthiX growth staff, I want to edit nudge and "Switch on" wording with a preview, so that we improve the words safely.</t>
        </is>
      </c>
      <c r="N453" s="5" t="inlineStr">
        <is>
          <t>• Given a wording change, then it needs a second staff approval before use (YX-GRO-03).
• Given wording with "upgrade", "plan", "tier", "premium" or "unlock", then it cannot be saved (brand Part 2, YX-GRO-04).
• Given each locale, then a preview shows the text before approval.</t>
        </is>
      </c>
      <c r="O453" s="5" t="inlineStr">
        <is>
          <t>YX-GRO-03, YX-GRO-04</t>
        </is>
      </c>
      <c r="P453" t="inlineStr">
        <is>
          <t>P20 §3, P20 §5, P20 §6 flows 1–4</t>
        </is>
      </c>
      <c r="Q453" t="inlineStr">
        <is>
          <t>US-B-070</t>
        </is>
      </c>
      <c r="R453" s="5" t="inlineStr"/>
    </row>
    <row r="454">
      <c r="A454" s="9" t="inlineStr">
        <is>
          <t>FT-B-016</t>
        </is>
      </c>
      <c r="B454" s="9" t="n">
        <v>474</v>
      </c>
      <c r="C454" s="9" t="inlineStr">
        <is>
          <t>Feature</t>
        </is>
      </c>
      <c r="D454" s="10" t="inlineStr">
        <is>
          <t xml:space="preserve">    Help centre</t>
        </is>
      </c>
      <c r="E454" s="9" t="inlineStr">
        <is>
          <t>Step 3 · Platform console</t>
        </is>
      </c>
      <c r="F454" s="9" t="inlineStr">
        <is>
          <t>Help centre</t>
        </is>
      </c>
      <c r="G454" s="9" t="inlineStr">
        <is>
          <t>New</t>
        </is>
      </c>
      <c r="H454" s="9" t="n"/>
      <c r="I454" s="9">
        <f>IF(H454&lt;&gt;"",H454,G454)</f>
        <v/>
      </c>
      <c r="J454" s="9" t="inlineStr">
        <is>
          <t>Step 3-b</t>
        </is>
      </c>
      <c r="K454" s="9" t="n"/>
      <c r="L454" s="9" t="n"/>
      <c r="M454" s="10" t="inlineStr"/>
      <c r="N454" s="10" t="inlineStr"/>
      <c r="O454" s="10" t="inlineStr">
        <is>
          <t>YX-GRO-07</t>
        </is>
      </c>
      <c r="P454" s="9" t="inlineStr">
        <is>
          <t>P20 YX-GRO-07, P20 §6 flow 7</t>
        </is>
      </c>
      <c r="Q454" s="9" t="inlineStr"/>
      <c r="R454" s="10" t="inlineStr"/>
      <c r="S454" s="9" t="n"/>
    </row>
    <row r="455">
      <c r="A455" t="inlineStr">
        <is>
          <t>US-B-074</t>
        </is>
      </c>
      <c r="B455" t="n">
        <v>474</v>
      </c>
      <c r="C455" t="inlineStr">
        <is>
          <t>Story</t>
        </is>
      </c>
      <c r="D455" s="5" t="inlineStr">
        <is>
          <t xml:space="preserve">        Visitor searches the public help centre</t>
        </is>
      </c>
      <c r="E455" t="inlineStr">
        <is>
          <t>Step 3 · Platform console</t>
        </is>
      </c>
      <c r="F455" t="inlineStr">
        <is>
          <t>Help centre</t>
        </is>
      </c>
      <c r="G455" t="inlineStr">
        <is>
          <t>New</t>
        </is>
      </c>
      <c r="I455">
        <f>IF(H455&lt;&gt;"",H455,G455)</f>
        <v/>
      </c>
      <c r="J455" t="inlineStr">
        <is>
          <t>Step 3-b</t>
        </is>
      </c>
      <c r="K455" t="n">
        <v>5</v>
      </c>
      <c r="L455" t="n">
        <v>1</v>
      </c>
      <c r="M455" s="5" t="inlineStr">
        <is>
          <t>As a company admin or employee, I want to search help.yukthix.com, so that I find answers without a ticket.</t>
        </is>
      </c>
      <c r="N455" s="5" t="inlineStr">
        <is>
          <t>• Given help.yukthix.com, then it is public and searchable, with articles and short captioned videos per product (YX-GRO-07).
• Given an article, then it shows "applies from" and a last-reviewed date, and screenshots use demo data only (YX-GRO-07).
• Given a search, then the term is logged without company or user id (YX-GRO-07).
• Given the in-app help drawer, then each topic links to its article (YX-GRO-07).</t>
        </is>
      </c>
      <c r="O455" s="5" t="inlineStr">
        <is>
          <t>YX-GRO-07</t>
        </is>
      </c>
      <c r="P455" t="inlineStr">
        <is>
          <t>P20 YX-GRO-07, P20 §6 flow 7</t>
        </is>
      </c>
      <c r="Q455" t="inlineStr">
        <is>
          <t>US-B-005</t>
        </is>
      </c>
      <c r="R455" s="5" t="inlineStr"/>
    </row>
    <row r="456">
      <c r="A456" t="inlineStr">
        <is>
          <t>US-B-075</t>
        </is>
      </c>
      <c r="B456" t="n">
        <v>475</v>
      </c>
      <c r="C456" t="inlineStr">
        <is>
          <t>Story</t>
        </is>
      </c>
      <c r="D456" s="5" t="inlineStr">
        <is>
          <t xml:space="preserve">        Support lead publishes and reviews help articles</t>
        </is>
      </c>
      <c r="E456" t="inlineStr">
        <is>
          <t>Step 3 · Platform console</t>
        </is>
      </c>
      <c r="F456" t="inlineStr">
        <is>
          <t>Help centre</t>
        </is>
      </c>
      <c r="G456" t="inlineStr">
        <is>
          <t>New</t>
        </is>
      </c>
      <c r="I456">
        <f>IF(H456&lt;&gt;"",H456,G456)</f>
        <v/>
      </c>
      <c r="J456" t="inlineStr">
        <is>
          <t>Step 3-b</t>
        </is>
      </c>
      <c r="K456" t="n">
        <v>3</v>
      </c>
      <c r="L456" t="n">
        <v>1</v>
      </c>
      <c r="M456" s="5" t="inlineStr">
        <is>
          <t>As the YukthiX support lead, I want a draft, review and publish flow with translations, so that articles stay correct.</t>
        </is>
      </c>
      <c r="N456" s="5" t="inlineStr">
        <is>
          <t>• Given an article, then it moves draft → in review → published → archived, and the product owner reviews it (YX-GRO-07).
• Given the four launch languages, when a translation is missing, then the English article shows with a notice and the gap is tracked (YX-GRO-07).
• Given an article not reviewed for 12 months, then it is flagged to its owner (YX-GRO-07).</t>
        </is>
      </c>
      <c r="O456" s="5" t="inlineStr">
        <is>
          <t>YX-GRO-07</t>
        </is>
      </c>
      <c r="P456" t="inlineStr">
        <is>
          <t>P20 YX-GRO-07, P20 §6 flow 7</t>
        </is>
      </c>
      <c r="Q456" t="inlineStr">
        <is>
          <t>US-B-074</t>
        </is>
      </c>
      <c r="R456" s="5" t="inlineStr"/>
    </row>
    <row r="457">
      <c r="A457" t="inlineStr">
        <is>
          <t>US-B-076</t>
        </is>
      </c>
      <c r="B457" t="n">
        <v>476</v>
      </c>
      <c r="C457" t="inlineStr">
        <is>
          <t>Story</t>
        </is>
      </c>
      <c r="D457" s="5" t="inlineStr">
        <is>
          <t xml:space="preserve">        Release fails when a screen has no help article</t>
        </is>
      </c>
      <c r="E457" t="inlineStr">
        <is>
          <t>Step 3 · Platform console</t>
        </is>
      </c>
      <c r="F457" t="inlineStr">
        <is>
          <t>Help centre</t>
        </is>
      </c>
      <c r="G457" t="inlineStr">
        <is>
          <t>New</t>
        </is>
      </c>
      <c r="I457">
        <f>IF(H457&lt;&gt;"",H457,G457)</f>
        <v/>
      </c>
      <c r="J457" t="inlineStr">
        <is>
          <t>Step 3-b</t>
        </is>
      </c>
      <c r="K457" t="n">
        <v>2</v>
      </c>
      <c r="L457" t="n">
        <v>1</v>
      </c>
      <c r="M457" s="5" t="inlineStr">
        <is>
          <t>As the YukthiX support lead, I want CI to block screens without help, so that every screen has an answer.</t>
        </is>
      </c>
      <c r="N457" s="5" t="inlineStr">
        <is>
          <t>• Given a release with a new screen, when its help key has no published English article, then CI fails (YX-GRO-07).
• Given all keys covered, then CI passes.
• Given a failed check, then the CI message names each missing help key and screen.</t>
        </is>
      </c>
      <c r="O457" s="5" t="inlineStr">
        <is>
          <t>YX-GRO-07</t>
        </is>
      </c>
      <c r="P457" t="inlineStr">
        <is>
          <t>P20 YX-GRO-07, P20 §6 flow 7</t>
        </is>
      </c>
      <c r="Q457" t="inlineStr">
        <is>
          <t>US-B-075</t>
        </is>
      </c>
      <c r="R457" s="5" t="inlineStr"/>
    </row>
    <row r="458">
      <c r="A458" s="9" t="inlineStr">
        <is>
          <t>FT-B-017</t>
        </is>
      </c>
      <c r="B458" s="9" t="n">
        <v>477</v>
      </c>
      <c r="C458" s="9" t="inlineStr">
        <is>
          <t>Feature</t>
        </is>
      </c>
      <c r="D458" s="10" t="inlineStr">
        <is>
          <t xml:space="preserve">    Growth extras (wave 6)</t>
        </is>
      </c>
      <c r="E458" s="9" t="inlineStr">
        <is>
          <t>Step 3 · Platform console</t>
        </is>
      </c>
      <c r="F458" s="9" t="inlineStr">
        <is>
          <t>Growth extras (wave 6)</t>
        </is>
      </c>
      <c r="G458" s="9" t="inlineStr">
        <is>
          <t>New</t>
        </is>
      </c>
      <c r="H458" s="9" t="n"/>
      <c r="I458" s="9">
        <f>IF(H458&lt;&gt;"",H458,G458)</f>
        <v/>
      </c>
      <c r="J458" s="9" t="inlineStr">
        <is>
          <t>Step 3-b</t>
        </is>
      </c>
      <c r="K458" s="9" t="n"/>
      <c r="L458" s="9" t="n"/>
      <c r="M458" s="10" t="inlineStr"/>
      <c r="N458" s="10" t="inlineStr"/>
      <c r="O458" s="10" t="inlineStr">
        <is>
          <t>YX-GRO-11, YX-GRO-12, YX-GRO-13, YX-GRO-14, YX-BILL-21, YX-GRO-15, YX-GRO-16, YX-GRO-17</t>
        </is>
      </c>
      <c r="P458" s="9" t="inlineStr">
        <is>
          <t>P20 §8b, P14 §8b</t>
        </is>
      </c>
      <c r="Q458" s="9" t="inlineStr"/>
      <c r="R458" s="10" t="inlineStr"/>
      <c r="S458" s="9" t="n"/>
    </row>
    <row r="459">
      <c r="A459" t="inlineStr">
        <is>
          <t>US-B-077</t>
        </is>
      </c>
      <c r="B459" t="n">
        <v>477</v>
      </c>
      <c r="C459" t="inlineStr">
        <is>
          <t>Story</t>
        </is>
      </c>
      <c r="D459" s="5" t="inlineStr">
        <is>
          <t xml:space="preserve">        Users see a "What's new" feed per product</t>
        </is>
      </c>
      <c r="E459" t="inlineStr">
        <is>
          <t>Step 3 · Platform console</t>
        </is>
      </c>
      <c r="F459" t="inlineStr">
        <is>
          <t>Growth extras (wave 6)</t>
        </is>
      </c>
      <c r="G459" t="inlineStr">
        <is>
          <t>New</t>
        </is>
      </c>
      <c r="I459">
        <f>IF(H459&lt;&gt;"",H459,G459)</f>
        <v/>
      </c>
      <c r="J459" t="inlineStr">
        <is>
          <t>Step 3-b</t>
        </is>
      </c>
      <c r="K459" t="n">
        <v>3</v>
      </c>
      <c r="L459" t="n">
        <v>2</v>
      </c>
      <c r="M459" s="5" t="inlineStr">
        <is>
          <t>As a company user, I want a short feed of changes for my role, so that I learn what is new.</t>
        </is>
      </c>
      <c r="N459" s="5" t="inlineStr">
        <is>
          <t>• Given a change entry, then it is targeted by role and by product switched on, shown once in-app and kept on a feed page (YX-GRO-11).
• Given a price or feature change, then the 90-day notice still goes separately; the feed never replaces it (YX-GRO-11, YX-BILL-13).
• Given an entry for a product the company has not switched on, then its users do not see it (YX-GRO-11).</t>
        </is>
      </c>
      <c r="O459" s="5" t="inlineStr">
        <is>
          <t>YX-GRO-11</t>
        </is>
      </c>
      <c r="P459" t="inlineStr">
        <is>
          <t>P20 §8b, P14 §8b</t>
        </is>
      </c>
      <c r="Q459" t="inlineStr">
        <is>
          <t>US-B-065</t>
        </is>
      </c>
      <c r="R459" s="5" t="inlineStr"/>
    </row>
    <row r="460">
      <c r="A460" t="inlineStr">
        <is>
          <t>US-B-078</t>
        </is>
      </c>
      <c r="B460" t="n">
        <v>478</v>
      </c>
      <c r="C460" t="inlineStr">
        <is>
          <t>Story</t>
        </is>
      </c>
      <c r="D460" s="5" t="inlineStr">
        <is>
          <t xml:space="preserve">        Users raise and vote on feature requests</t>
        </is>
      </c>
      <c r="E460" t="inlineStr">
        <is>
          <t>Step 3 · Platform console</t>
        </is>
      </c>
      <c r="F460" t="inlineStr">
        <is>
          <t>Growth extras (wave 6)</t>
        </is>
      </c>
      <c r="G460" t="inlineStr">
        <is>
          <t>New</t>
        </is>
      </c>
      <c r="I460">
        <f>IF(H460&lt;&gt;"",H460,G460)</f>
        <v/>
      </c>
      <c r="J460" t="inlineStr">
        <is>
          <t>Step 3-b</t>
        </is>
      </c>
      <c r="K460" t="n">
        <v>5</v>
      </c>
      <c r="L460" t="n">
        <v>2</v>
      </c>
      <c r="M460" s="5" t="inlineStr">
        <is>
          <t>As a company user, I want to request and vote for features, so that YukthiX builds what we need.</t>
        </is>
      </c>
      <c r="N460" s="5" t="inlineStr">
        <is>
          <t>• Given a request, then each user can vote once, and it shows a status (under review, planned, in progress, shipped, not planned) (YX-GRO-12).
• Given the public roadmap, then it shows only items marked public (YX-GRO-12).
• Given beta access switched on for company A, then company B does not see it and company A sees it labelled "beta"; an admin can switch it off any time (YX-GRO-12).</t>
        </is>
      </c>
      <c r="O460" s="5" t="inlineStr">
        <is>
          <t>YX-GRO-12</t>
        </is>
      </c>
      <c r="P460" t="inlineStr">
        <is>
          <t>P20 §8b, P14 §8b</t>
        </is>
      </c>
      <c r="Q460" t="inlineStr">
        <is>
          <t>US-B-077</t>
        </is>
      </c>
      <c r="R460" s="5" t="inlineStr"/>
    </row>
    <row r="461">
      <c r="A461" t="inlineStr">
        <is>
          <t>US-B-079</t>
        </is>
      </c>
      <c r="B461" t="n">
        <v>479</v>
      </c>
      <c r="C461" t="inlineStr">
        <is>
          <t>Story</t>
        </is>
      </c>
      <c r="D461" s="5" t="inlineStr">
        <is>
          <t xml:space="preserve">        Admin cancelling sees reasons and save offers without dark patterns</t>
        </is>
      </c>
      <c r="E461" t="inlineStr">
        <is>
          <t>Step 3 · Platform console</t>
        </is>
      </c>
      <c r="F461" t="inlineStr">
        <is>
          <t>Growth extras (wave 6)</t>
        </is>
      </c>
      <c r="G461" t="inlineStr">
        <is>
          <t>New</t>
        </is>
      </c>
      <c r="I461">
        <f>IF(H461&lt;&gt;"",H461,G461)</f>
        <v/>
      </c>
      <c r="J461" t="inlineStr">
        <is>
          <t>Step 3-b</t>
        </is>
      </c>
      <c r="K461" t="n">
        <v>3</v>
      </c>
      <c r="L461" t="n">
        <v>2</v>
      </c>
      <c r="M461" s="5" t="inlineStr">
        <is>
          <t>As a company System Admin, I want to cancel easily, so that I am not trapped.</t>
        </is>
      </c>
      <c r="N461" s="5" t="inlineStr">
        <is>
          <t>• Given cancelling a product or the company, then an optional reason prompt shows (fixed list and free text) (YX-GRO-13).
• Given save offers (pause, fewer products, partner help), then "cancel anyway" completes in one more click (YX-GRO-13).
• Given a deleted company, then win-back messages go only with marketing consent and stop on opt-out (YX-GRO-13).</t>
        </is>
      </c>
      <c r="O461" s="5" t="inlineStr">
        <is>
          <t>YX-GRO-13</t>
        </is>
      </c>
      <c r="P461" t="inlineStr">
        <is>
          <t>P20 §8b, P14 §8b</t>
        </is>
      </c>
      <c r="Q461" t="inlineStr">
        <is>
          <t>US-B-039, US-B-058</t>
        </is>
      </c>
      <c r="R461" s="5" t="inlineStr"/>
    </row>
    <row r="462">
      <c r="A462" t="inlineStr">
        <is>
          <t>US-B-080</t>
        </is>
      </c>
      <c r="B462" t="n">
        <v>480</v>
      </c>
      <c r="C462" t="inlineStr">
        <is>
          <t>Story</t>
        </is>
      </c>
      <c r="D462" s="5" t="inlineStr">
        <is>
          <t xml:space="preserve">        Company refers another company and both get a month of credit</t>
        </is>
      </c>
      <c r="E462" t="inlineStr">
        <is>
          <t>Step 3 · Platform console</t>
        </is>
      </c>
      <c r="F462" t="inlineStr">
        <is>
          <t>Growth extras (wave 6)</t>
        </is>
      </c>
      <c r="G462" t="inlineStr">
        <is>
          <t>New</t>
        </is>
      </c>
      <c r="I462">
        <f>IF(H462&lt;&gt;"",H462,G462)</f>
        <v/>
      </c>
      <c r="J462" t="inlineStr">
        <is>
          <t>Step 3-b</t>
        </is>
      </c>
      <c r="K462" t="n">
        <v>5</v>
      </c>
      <c r="L462" t="n">
        <v>2</v>
      </c>
      <c r="M462" s="5" t="inlineStr">
        <is>
          <t>As a company System Admin, I want to refer another company, so that we both save money.</t>
        </is>
      </c>
      <c r="N462" s="5" t="inlineStr">
        <is>
          <t>• Given a referral link tied to the referrer, when the new company settles its first paid month, then both get one month of their own bill as credit (YX-GRO-14, YX-BILL-21).
• Given a self-referral or a company of the same group, then no credit is given (YX-GRO-14).
• Given a credit, then it is a separate invoice line, not cash, not transferable, expires after 12 months, and is reversed if the first payment is refunded (YX-BILL-21).
• Given "Powered by YukthiX" links, then clicks and sign-ups are counted in product metrics, never with HR data (YX-GRO-14).</t>
        </is>
      </c>
      <c r="O462" s="5" t="inlineStr">
        <is>
          <t>YX-GRO-14, YX-BILL-21</t>
        </is>
      </c>
      <c r="P462" t="inlineStr">
        <is>
          <t>P20 §8b, P14 §8b</t>
        </is>
      </c>
      <c r="Q462" t="inlineStr">
        <is>
          <t>US-B-041</t>
        </is>
      </c>
      <c r="R462" s="5" t="inlineStr"/>
    </row>
    <row r="463">
      <c r="A463" t="inlineStr">
        <is>
          <t>US-B-081</t>
        </is>
      </c>
      <c r="B463" t="n">
        <v>481</v>
      </c>
      <c r="C463" t="inlineStr">
        <is>
          <t>Story</t>
        </is>
      </c>
      <c r="D463" s="5" t="inlineStr">
        <is>
          <t xml:space="preserve">        Visitor uses free salary and tax calculators</t>
        </is>
      </c>
      <c r="E463" t="inlineStr">
        <is>
          <t>Step 3 · Platform console</t>
        </is>
      </c>
      <c r="F463" t="inlineStr">
        <is>
          <t>Growth extras (wave 6)</t>
        </is>
      </c>
      <c r="G463" t="inlineStr">
        <is>
          <t>New</t>
        </is>
      </c>
      <c r="I463">
        <f>IF(H463&lt;&gt;"",H463,G463)</f>
        <v/>
      </c>
      <c r="J463" t="inlineStr">
        <is>
          <t>Step 3-b</t>
        </is>
      </c>
      <c r="K463" t="n">
        <v>8</v>
      </c>
      <c r="L463" t="n">
        <v>2</v>
      </c>
      <c r="M463" s="5" t="inlineStr">
        <is>
          <t>As a visitor, I want free CTC, tax regime, HRA, gratuity, PF / ESI and leave encashment calculators, so that I get a quick answer.</t>
        </is>
      </c>
      <c r="N463" s="5" t="inlineStr">
        <is>
          <t>• Given a calculator, then it uses the same versioned calculators as payroll and gives the same result as the payroll preview for the same inputs and FY (YX-GRO-15).
• Given a result, then it shows the rule-set version and a "not tax advice" note (YX-GRO-15).
• Given no sign-up, then inputs are not stored beyond the session unless the user asks to email the result with consent (YX-GRO-15).</t>
        </is>
      </c>
      <c r="O463" s="5" t="inlineStr">
        <is>
          <t>YX-GRO-15</t>
        </is>
      </c>
      <c r="P463" t="inlineStr">
        <is>
          <t>P20 §8b, P14 §8b</t>
        </is>
      </c>
      <c r="Q463" t="inlineStr">
        <is>
          <t>US-B-074</t>
        </is>
      </c>
      <c r="R463" s="5" t="inlineStr"/>
    </row>
    <row r="464">
      <c r="A464" t="inlineStr">
        <is>
          <t>US-B-082</t>
        </is>
      </c>
      <c r="B464" t="n">
        <v>482</v>
      </c>
      <c r="C464" t="inlineStr">
        <is>
          <t>Story</t>
        </is>
      </c>
      <c r="D464" s="5" t="inlineStr">
        <is>
          <t xml:space="preserve">        Visitor makes an offer, appointment or payslip letter for free</t>
        </is>
      </c>
      <c r="E464" t="inlineStr">
        <is>
          <t>Step 3 · Platform console</t>
        </is>
      </c>
      <c r="F464" t="inlineStr">
        <is>
          <t>Growth extras (wave 6)</t>
        </is>
      </c>
      <c r="G464" t="inlineStr">
        <is>
          <t>New</t>
        </is>
      </c>
      <c r="I464">
        <f>IF(H464&lt;&gt;"",H464,G464)</f>
        <v/>
      </c>
      <c r="J464" t="inlineStr">
        <is>
          <t>Step 3-b</t>
        </is>
      </c>
      <c r="K464" t="n">
        <v>3</v>
      </c>
      <c r="L464" t="n">
        <v>2</v>
      </c>
      <c r="M464" s="5" t="inlineStr">
        <is>
          <t>As a visitor, I want free letter generators, so that I can make a letter quickly.</t>
        </is>
      </c>
      <c r="N464" s="5" t="inlineStr">
        <is>
          <t>• Given a letter generator, then it uses the product letter templates (YX-GRO-15).
• Given a generated letter, then inputs are not stored after the session unless the user asks for an email (YX-GRO-15).
• Given any generated letter, then it shows the template version and a note that the user must check it.</t>
        </is>
      </c>
      <c r="O464" s="5" t="inlineStr">
        <is>
          <t>YX-GRO-15</t>
        </is>
      </c>
      <c r="P464" t="inlineStr">
        <is>
          <t>P20 §8b, P14 §8b</t>
        </is>
      </c>
      <c r="Q464" t="inlineStr">
        <is>
          <t>US-B-081</t>
        </is>
      </c>
      <c r="R464" s="5" t="inlineStr"/>
    </row>
    <row r="465">
      <c r="A465" t="inlineStr">
        <is>
          <t>US-B-083</t>
        </is>
      </c>
      <c r="B465" t="n">
        <v>483</v>
      </c>
      <c r="C465" t="inlineStr">
        <is>
          <t>Story</t>
        </is>
      </c>
      <c r="D465" s="5" t="inlineStr">
        <is>
          <t xml:space="preserve">        Visitor browses the public integrations directory</t>
        </is>
      </c>
      <c r="E465" t="inlineStr">
        <is>
          <t>Step 3 · Platform console</t>
        </is>
      </c>
      <c r="F465" t="inlineStr">
        <is>
          <t>Growth extras (wave 6)</t>
        </is>
      </c>
      <c r="G465" t="inlineStr">
        <is>
          <t>New</t>
        </is>
      </c>
      <c r="I465">
        <f>IF(H465&lt;&gt;"",H465,G465)</f>
        <v/>
      </c>
      <c r="J465" t="inlineStr">
        <is>
          <t>Step 3-b</t>
        </is>
      </c>
      <c r="K465" t="n">
        <v>2</v>
      </c>
      <c r="L465" t="n">
        <v>3</v>
      </c>
      <c r="M465" s="5" t="inlineStr">
        <is>
          <t>As a visitor, I want a list of integrations, so that I know what YukthiX connects to.</t>
        </is>
      </c>
      <c r="N465" s="5" t="inlineStr">
        <is>
          <t>• Given the directory, then each integration shows partner, category, what data moves, direction and status (live, beta, coming) (YX-GRO-16).
• Given the directory, then it is built from the same catalogue the product uses, so it never lists an integration the product does not have (YX-GRO-16).
• Given an integration whose status changes in the catalogue, then the directory shows the new status the same day (YX-GRO-16).</t>
        </is>
      </c>
      <c r="O465" s="5" t="inlineStr">
        <is>
          <t>YX-GRO-16</t>
        </is>
      </c>
      <c r="P465" t="inlineStr">
        <is>
          <t>P20 §8b, P14 §8b</t>
        </is>
      </c>
      <c r="Q465" t="inlineStr">
        <is>
          <t>US-B-074</t>
        </is>
      </c>
      <c r="R465" s="5" t="inlineStr"/>
    </row>
    <row r="466">
      <c r="A466" t="inlineStr">
        <is>
          <t>US-B-084</t>
        </is>
      </c>
      <c r="B466" t="n">
        <v>484</v>
      </c>
      <c r="C466" t="inlineStr">
        <is>
          <t>Story</t>
        </is>
      </c>
      <c r="D466" s="5" t="inlineStr">
        <is>
          <t xml:space="preserve">        Admins and partners take academy courses with certificates</t>
        </is>
      </c>
      <c r="E466" t="inlineStr">
        <is>
          <t>Step 3 · Platform console</t>
        </is>
      </c>
      <c r="F466" t="inlineStr">
        <is>
          <t>Growth extras (wave 6)</t>
        </is>
      </c>
      <c r="G466" t="inlineStr">
        <is>
          <t>New</t>
        </is>
      </c>
      <c r="I466">
        <f>IF(H466&lt;&gt;"",H466,G466)</f>
        <v/>
      </c>
      <c r="J466" t="inlineStr">
        <is>
          <t>Step 3-b</t>
        </is>
      </c>
      <c r="K466" t="n">
        <v>8</v>
      </c>
      <c r="L466" t="n">
        <v>3</v>
      </c>
      <c r="M466" s="5" t="inlineStr">
        <is>
          <t>As a company admin or partner, I want courses with a certificate, so that I can prove my skills.</t>
        </is>
      </c>
      <c r="N466" s="5" t="inlineStr">
        <is>
          <t>• Given a course passed, then a certificate is issued with an expiry date and a public verify link (YX-GRO-17).
• Given a partner, then certification is needed before they implement for customers (YX-GRO-17).
• Given a certificate past its expiry, when someone opens the verify link, then it shows "expired" (YX-GRO-17).</t>
        </is>
      </c>
      <c r="O466" s="5" t="inlineStr">
        <is>
          <t>YX-GRO-17</t>
        </is>
      </c>
      <c r="P466" t="inlineStr">
        <is>
          <t>P20 §8b, P14 §8b</t>
        </is>
      </c>
      <c r="Q466" t="inlineStr">
        <is>
          <t>US-B-075</t>
        </is>
      </c>
      <c r="R466" s="5" t="inlineStr"/>
    </row>
    <row r="467">
      <c r="A467" s="7" t="inlineStr">
        <is>
          <t>EP-B-2</t>
        </is>
      </c>
      <c r="B467" s="7" t="n">
        <v>500</v>
      </c>
      <c r="C467" s="7" t="inlineStr">
        <is>
          <t>Epic</t>
        </is>
      </c>
      <c r="D467" s="8" t="inlineStr">
        <is>
          <t>Step 3b · YukthiX Service Desk (ITSM + ESM)</t>
        </is>
      </c>
      <c r="E467" s="7" t="inlineStr">
        <is>
          <t>Step 3b · YukthiX Service Desk (ITSM + ESM)</t>
        </is>
      </c>
      <c r="F467" s="7" t="inlineStr"/>
      <c r="G467" s="7" t="inlineStr">
        <is>
          <t>New</t>
        </is>
      </c>
      <c r="H467" s="7" t="n"/>
      <c r="I467" s="7">
        <f>IF(H467&lt;&gt;"",H467,G467)</f>
        <v/>
      </c>
      <c r="J467" s="7" t="inlineStr">
        <is>
          <t>Step 3b</t>
        </is>
      </c>
      <c r="K467" s="7" t="n"/>
      <c r="L467" s="7" t="n"/>
      <c r="M467" s="8" t="inlineStr"/>
      <c r="N467" s="8" t="inlineStr"/>
      <c r="O467" s="8" t="inlineStr"/>
      <c r="P467" s="7" t="inlineStr">
        <is>
          <t>M14, M08 §3–5</t>
        </is>
      </c>
      <c r="Q467" s="7" t="inlineStr"/>
      <c r="R467" s="8" t="inlineStr"/>
      <c r="S467" s="7" t="n"/>
    </row>
    <row r="468">
      <c r="A468" s="9" t="inlineStr">
        <is>
          <t>FT-B-018</t>
        </is>
      </c>
      <c r="B468" s="9" t="n">
        <v>501</v>
      </c>
      <c r="C468" s="9" t="inlineStr">
        <is>
          <t>Feature</t>
        </is>
      </c>
      <c r="D468" s="10" t="inlineStr">
        <is>
          <t xml:space="preserve">    Tickets and queues (incident core)</t>
        </is>
      </c>
      <c r="E468" s="9" t="inlineStr">
        <is>
          <t>Step 3b · YukthiX Service Desk (ITSM + ESM)</t>
        </is>
      </c>
      <c r="F468" s="9" t="inlineStr">
        <is>
          <t>Tickets and queues (incident core)</t>
        </is>
      </c>
      <c r="G468" s="9" t="inlineStr">
        <is>
          <t>New</t>
        </is>
      </c>
      <c r="H468" s="9" t="n"/>
      <c r="I468" s="9">
        <f>IF(H468&lt;&gt;"",H468,G468)</f>
        <v/>
      </c>
      <c r="J468" s="9" t="inlineStr">
        <is>
          <t>Step 3b-1</t>
        </is>
      </c>
      <c r="K468" s="9" t="n"/>
      <c r="L468" s="9" t="n"/>
      <c r="M468" s="10" t="inlineStr"/>
      <c r="N468" s="10" t="inlineStr"/>
      <c r="O468" s="10" t="inlineStr">
        <is>
          <t>YX-HD-01, YX-HD-03, YX-HD-05</t>
        </is>
      </c>
      <c r="P468" s="9" t="inlineStr">
        <is>
          <t>M14 §1, M08 §3–5</t>
        </is>
      </c>
      <c r="Q468" s="9" t="inlineStr"/>
      <c r="R468" s="10" t="inlineStr"/>
      <c r="S468" s="9" t="n"/>
    </row>
    <row r="469">
      <c r="A469" t="inlineStr">
        <is>
          <t>US-B-085</t>
        </is>
      </c>
      <c r="B469" t="n">
        <v>501</v>
      </c>
      <c r="C469" t="inlineStr">
        <is>
          <t>Story</t>
        </is>
      </c>
      <c r="D469" s="5" t="inlineStr">
        <is>
          <t xml:space="preserve">        Desk admin sets up queues and categories</t>
        </is>
      </c>
      <c r="E469" t="inlineStr">
        <is>
          <t>Step 3b · YukthiX Service Desk (ITSM + ESM)</t>
        </is>
      </c>
      <c r="F469" t="inlineStr">
        <is>
          <t>Tickets and queues (incident core)</t>
        </is>
      </c>
      <c r="G469" t="inlineStr">
        <is>
          <t>New</t>
        </is>
      </c>
      <c r="I469">
        <f>IF(H469&lt;&gt;"",H469,G469)</f>
        <v/>
      </c>
      <c r="J469" t="inlineStr">
        <is>
          <t>Step 3b-1</t>
        </is>
      </c>
      <c r="K469" t="n">
        <v>3</v>
      </c>
      <c r="L469" t="n">
        <v>1</v>
      </c>
      <c r="M469" s="5" t="inlineStr">
        <is>
          <t>As a desk admin, I want queues with members, categories and business hours, so that each ticket goes to the right team.</t>
        </is>
      </c>
      <c r="N469" s="5" t="inlineStr">
        <is>
          <t>• Given a queue, then it has agents, a lead, a business-hours calendar and categories (YX-HD-01).
• Given a category, then it has first-response and resolution targets per priority and a "sensitive" flag (YX-HD-03).
• Given any change, then it is audited (P08).</t>
        </is>
      </c>
      <c r="O469" s="5" t="inlineStr">
        <is>
          <t>YX-HD-01, YX-HD-03</t>
        </is>
      </c>
      <c r="P469" t="inlineStr">
        <is>
          <t>M14 §1, M08 §3–5</t>
        </is>
      </c>
      <c r="Q469" t="inlineStr"/>
      <c r="R469" s="5" t="inlineStr"/>
    </row>
    <row r="470">
      <c r="A470" t="inlineStr">
        <is>
          <t>US-B-086</t>
        </is>
      </c>
      <c r="B470" t="n">
        <v>502</v>
      </c>
      <c r="C470" t="inlineStr">
        <is>
          <t>Story</t>
        </is>
      </c>
      <c r="D470" s="5" t="inlineStr">
        <is>
          <t xml:space="preserve">        Employee raises a ticket from the portal</t>
        </is>
      </c>
      <c r="E470" t="inlineStr">
        <is>
          <t>Step 3b · YukthiX Service Desk (ITSM + ESM)</t>
        </is>
      </c>
      <c r="F470" t="inlineStr">
        <is>
          <t>Tickets and queues (incident core)</t>
        </is>
      </c>
      <c r="G470" t="inlineStr">
        <is>
          <t>New</t>
        </is>
      </c>
      <c r="I470">
        <f>IF(H470&lt;&gt;"",H470,G470)</f>
        <v/>
      </c>
      <c r="J470" t="inlineStr">
        <is>
          <t>Step 3b-1</t>
        </is>
      </c>
      <c r="K470" t="n">
        <v>5</v>
      </c>
      <c r="L470" t="n">
        <v>1</v>
      </c>
      <c r="M470" s="5" t="inlineStr">
        <is>
          <t>As an employee, I want to raise a ticket with a category and attachments, so that I get help.</t>
        </is>
      </c>
      <c r="N470" s="5" t="inlineStr">
        <is>
          <t>• Given the portal, when the employee picks a category, writes the issue and adds files, then a ticket is created and routed by category to a queue (YX-HD-01).
• Given impact and urgency, then priority is set from the impact × urgency matrix.
• Given a new ticket, then the requester gets a reference number and sees status and SLA in "My tickets".</t>
        </is>
      </c>
      <c r="O470" s="5" t="inlineStr">
        <is>
          <t>YX-HD-01</t>
        </is>
      </c>
      <c r="P470" t="inlineStr">
        <is>
          <t>M14 §1, M08 §3–5</t>
        </is>
      </c>
      <c r="Q470" t="inlineStr">
        <is>
          <t>US-B-085</t>
        </is>
      </c>
      <c r="R470" s="5" t="inlineStr"/>
    </row>
    <row r="471">
      <c r="A471" t="inlineStr">
        <is>
          <t>US-B-087</t>
        </is>
      </c>
      <c r="B471" t="n">
        <v>503</v>
      </c>
      <c r="C471" t="inlineStr">
        <is>
          <t>Story</t>
        </is>
      </c>
      <c r="D471" s="5" t="inlineStr">
        <is>
          <t xml:space="preserve">        Ticket is assigned automatically or by hand</t>
        </is>
      </c>
      <c r="E471" t="inlineStr">
        <is>
          <t>Step 3b · YukthiX Service Desk (ITSM + ESM)</t>
        </is>
      </c>
      <c r="F471" t="inlineStr">
        <is>
          <t>Tickets and queues (incident core)</t>
        </is>
      </c>
      <c r="G471" t="inlineStr">
        <is>
          <t>New</t>
        </is>
      </c>
      <c r="I471">
        <f>IF(H471&lt;&gt;"",H471,G471)</f>
        <v/>
      </c>
      <c r="J471" t="inlineStr">
        <is>
          <t>Step 3b-1</t>
        </is>
      </c>
      <c r="K471" t="n">
        <v>5</v>
      </c>
      <c r="L471" t="n">
        <v>1</v>
      </c>
      <c r="M471" s="5" t="inlineStr">
        <is>
          <t>As a team lead, I want tickets assigned by rules, so that work is shared fairly.</t>
        </is>
      </c>
      <c r="N471" s="5" t="inlineStr">
        <is>
          <t>• Given a queue set to round-robin, then new tickets go to the next available agent; manual assignment is always possible (YX-HD-01).
• Given load-based assignment, then the agent with the fewest open tickets gets the next one.
• Given skill or location rules, then only agents with that skill or location get matching tickets.</t>
        </is>
      </c>
      <c r="O471" s="5" t="inlineStr">
        <is>
          <t>YX-HD-01</t>
        </is>
      </c>
      <c r="P471" t="inlineStr">
        <is>
          <t>M14 §1, M08 §3–5</t>
        </is>
      </c>
      <c r="Q471" t="inlineStr">
        <is>
          <t>US-B-086</t>
        </is>
      </c>
      <c r="R471" s="5" t="inlineStr"/>
    </row>
    <row r="472">
      <c r="A472" t="inlineStr">
        <is>
          <t>US-B-088</t>
        </is>
      </c>
      <c r="B472" t="n">
        <v>504</v>
      </c>
      <c r="C472" t="inlineStr">
        <is>
          <t>Story</t>
        </is>
      </c>
      <c r="D472" s="5" t="inlineStr">
        <is>
          <t xml:space="preserve">        Ticket moves through statuses with pause, reopen and auto-close</t>
        </is>
      </c>
      <c r="E472" t="inlineStr">
        <is>
          <t>Step 3b · YukthiX Service Desk (ITSM + ESM)</t>
        </is>
      </c>
      <c r="F472" t="inlineStr">
        <is>
          <t>Tickets and queues (incident core)</t>
        </is>
      </c>
      <c r="G472" t="inlineStr">
        <is>
          <t>New</t>
        </is>
      </c>
      <c r="I472">
        <f>IF(H472&lt;&gt;"",H472,G472)</f>
        <v/>
      </c>
      <c r="J472" t="inlineStr">
        <is>
          <t>Step 3b-1</t>
        </is>
      </c>
      <c r="K472" t="n">
        <v>5</v>
      </c>
      <c r="L472" t="n">
        <v>1</v>
      </c>
      <c r="M472" s="5" t="inlineStr">
        <is>
          <t>As an agent, I want clear statuses, so that SLA clocks are fair to me and the requester.</t>
        </is>
      </c>
      <c r="N472" s="5" t="inlineStr">
        <is>
          <t>• Given statuses new → in progress → waiting on requester → resolved → closed / reopened, then SLA pauses while waiting on the requester (YX-HD-01).
• Given a resolved ticket with no reply for 3 days, then it closes automatically (YX-HD-05).
• Given a closed ticket, then the requester can reopen it within 7 days (YX-HD-05).</t>
        </is>
      </c>
      <c r="O472" s="5" t="inlineStr">
        <is>
          <t>YX-HD-01, YX-HD-05</t>
        </is>
      </c>
      <c r="P472" t="inlineStr">
        <is>
          <t>M14 §1, M08 §3–5</t>
        </is>
      </c>
      <c r="Q472" t="inlineStr">
        <is>
          <t>US-B-086</t>
        </is>
      </c>
      <c r="R472" s="5" t="inlineStr"/>
    </row>
    <row r="473">
      <c r="A473" t="inlineStr">
        <is>
          <t>US-B-089</t>
        </is>
      </c>
      <c r="B473" t="n">
        <v>505</v>
      </c>
      <c r="C473" t="inlineStr">
        <is>
          <t>Story</t>
        </is>
      </c>
      <c r="D473" s="5" t="inlineStr">
        <is>
          <t xml:space="preserve">        Agent works tickets in the agent desk</t>
        </is>
      </c>
      <c r="E473" t="inlineStr">
        <is>
          <t>Step 3b · YukthiX Service Desk (ITSM + ESM)</t>
        </is>
      </c>
      <c r="F473" t="inlineStr">
        <is>
          <t>Tickets and queues (incident core)</t>
        </is>
      </c>
      <c r="G473" t="inlineStr">
        <is>
          <t>New</t>
        </is>
      </c>
      <c r="I473">
        <f>IF(H473&lt;&gt;"",H473,G473)</f>
        <v/>
      </c>
      <c r="J473" t="inlineStr">
        <is>
          <t>Step 3b-1</t>
        </is>
      </c>
      <c r="K473" t="n">
        <v>8</v>
      </c>
      <c r="L473" t="n">
        <v>1</v>
      </c>
      <c r="M473" s="5" t="inlineStr">
        <is>
          <t>As an IT agent, I want a list and a detail view with replies, notes and mentions, so that I can work fast.</t>
        </is>
      </c>
      <c r="N473" s="5" t="inlineStr">
        <is>
          <t>• Given the agent desk, then the agent sees queue views with SLA badges and opens a ticket detail.
• Given a ticket, when the agent writes an internal note, then the requester never sees it.
• Given an @mention, then the mentioned colleague gets a notification.
• Given a reply, then the requester gets it in-app and by email.</t>
        </is>
      </c>
      <c r="O473" s="5" t="inlineStr"/>
      <c r="P473" t="inlineStr">
        <is>
          <t>M14 §1, M08 §3–5</t>
        </is>
      </c>
      <c r="Q473" t="inlineStr">
        <is>
          <t>US-B-087</t>
        </is>
      </c>
      <c r="R473" s="5" t="inlineStr"/>
    </row>
    <row r="474">
      <c r="A474" t="inlineStr">
        <is>
          <t>US-B-090</t>
        </is>
      </c>
      <c r="B474" t="n">
        <v>506</v>
      </c>
      <c r="C474" t="inlineStr">
        <is>
          <t>Story</t>
        </is>
      </c>
      <c r="D474" s="5" t="inlineStr">
        <is>
          <t xml:space="preserve">        Agents see collision warnings and use canned responses</t>
        </is>
      </c>
      <c r="E474" t="inlineStr">
        <is>
          <t>Step 3b · YukthiX Service Desk (ITSM + ESM)</t>
        </is>
      </c>
      <c r="F474" t="inlineStr">
        <is>
          <t>Tickets and queues (incident core)</t>
        </is>
      </c>
      <c r="G474" t="inlineStr">
        <is>
          <t>New</t>
        </is>
      </c>
      <c r="I474">
        <f>IF(H474&lt;&gt;"",H474,G474)</f>
        <v/>
      </c>
      <c r="J474" t="inlineStr">
        <is>
          <t>Step 3b-1</t>
        </is>
      </c>
      <c r="K474" t="n">
        <v>3</v>
      </c>
      <c r="L474" t="n">
        <v>1</v>
      </c>
      <c r="M474" s="5" t="inlineStr">
        <is>
          <t>As an agent, I want to know when a colleague is on the same ticket and to reuse saved replies, so that we do not answer twice.</t>
        </is>
      </c>
      <c r="N474" s="5" t="inlineStr">
        <is>
          <t>• Given two agents open one ticket, then each sees "X is also viewing / replying".
• Given canned responses, when an agent inserts one, then its variables fill in (requester name, ticket number).
• Given a team, then a lead can manage shared canned responses.</t>
        </is>
      </c>
      <c r="O474" s="5" t="inlineStr"/>
      <c r="P474" t="inlineStr">
        <is>
          <t>M14 §1, M08 §3–5</t>
        </is>
      </c>
      <c r="Q474" t="inlineStr">
        <is>
          <t>US-B-089</t>
        </is>
      </c>
      <c r="R474" s="5" t="inlineStr"/>
    </row>
    <row r="475">
      <c r="A475" t="inlineStr">
        <is>
          <t>US-B-091</t>
        </is>
      </c>
      <c r="B475" t="n">
        <v>507</v>
      </c>
      <c r="C475" t="inlineStr">
        <is>
          <t>Story</t>
        </is>
      </c>
      <c r="D475" s="5" t="inlineStr">
        <is>
          <t xml:space="preserve">        Agent logs time spent on a ticket</t>
        </is>
      </c>
      <c r="E475" t="inlineStr">
        <is>
          <t>Step 3b · YukthiX Service Desk (ITSM + ESM)</t>
        </is>
      </c>
      <c r="F475" t="inlineStr">
        <is>
          <t>Tickets and queues (incident core)</t>
        </is>
      </c>
      <c r="G475" t="inlineStr">
        <is>
          <t>New</t>
        </is>
      </c>
      <c r="I475">
        <f>IF(H475&lt;&gt;"",H475,G475)</f>
        <v/>
      </c>
      <c r="J475" t="inlineStr">
        <is>
          <t>Step 3b-1</t>
        </is>
      </c>
      <c r="K475" t="n">
        <v>2</v>
      </c>
      <c r="L475" t="n">
        <v>2</v>
      </c>
      <c r="M475" s="5" t="inlineStr">
        <is>
          <t>As an agent, I want to log time per ticket, so that the team sees the effort.</t>
        </is>
      </c>
      <c r="N475" s="5" t="inlineStr">
        <is>
          <t>• Given a ticket, when the agent starts or adds time, then it is saved with the agent and date.
• Given time entries, then the ticket shows the total and reports can sum them.
• Given a closed ticket, then its time entries can no longer be changed except by a team lead, with audit.</t>
        </is>
      </c>
      <c r="O475" s="5" t="inlineStr"/>
      <c r="P475" t="inlineStr">
        <is>
          <t>M14 §1, M08 §3–5</t>
        </is>
      </c>
      <c r="Q475" t="inlineStr">
        <is>
          <t>US-B-089</t>
        </is>
      </c>
      <c r="R475" s="5" t="inlineStr"/>
    </row>
    <row r="476">
      <c r="A476" t="inlineStr">
        <is>
          <t>US-B-092</t>
        </is>
      </c>
      <c r="B476" t="n">
        <v>508</v>
      </c>
      <c r="C476" t="inlineStr">
        <is>
          <t>Story</t>
        </is>
      </c>
      <c r="D476" s="5" t="inlineStr">
        <is>
          <t xml:space="preserve">        Agent merges duplicates and links tickets</t>
        </is>
      </c>
      <c r="E476" t="inlineStr">
        <is>
          <t>Step 3b · YukthiX Service Desk (ITSM + ESM)</t>
        </is>
      </c>
      <c r="F476" t="inlineStr">
        <is>
          <t>Tickets and queues (incident core)</t>
        </is>
      </c>
      <c r="G476" t="inlineStr">
        <is>
          <t>New</t>
        </is>
      </c>
      <c r="I476">
        <f>IF(H476&lt;&gt;"",H476,G476)</f>
        <v/>
      </c>
      <c r="J476" t="inlineStr">
        <is>
          <t>Step 3b-1</t>
        </is>
      </c>
      <c r="K476" t="n">
        <v>3</v>
      </c>
      <c r="L476" t="n">
        <v>1</v>
      </c>
      <c r="M476" s="5" t="inlineStr">
        <is>
          <t>As an agent, I want to merge duplicates and link parent and child tickets, so that related work stays together.</t>
        </is>
      </c>
      <c r="N476" s="5" t="inlineStr">
        <is>
          <t>• Given two duplicate tickets, when the agent merges them, then one stays open with both conversations and the other requester is told.
• Given a parent ticket, then child tickets can be created and the parent shows their status.
• Given any two tickets, then they can be linked as related.</t>
        </is>
      </c>
      <c r="O476" s="5" t="inlineStr"/>
      <c r="P476" t="inlineStr">
        <is>
          <t>M14 §1, M08 §3–5</t>
        </is>
      </c>
      <c r="Q476" t="inlineStr">
        <is>
          <t>US-B-089</t>
        </is>
      </c>
      <c r="R476" s="5" t="inlineStr"/>
    </row>
    <row r="477">
      <c r="A477" t="inlineStr">
        <is>
          <t>US-B-093</t>
        </is>
      </c>
      <c r="B477" t="n">
        <v>509</v>
      </c>
      <c r="C477" t="inlineStr">
        <is>
          <t>Story</t>
        </is>
      </c>
      <c r="D477" s="5" t="inlineStr">
        <is>
          <t xml:space="preserve">        Sensitive and private tickets are seen only by the right agents</t>
        </is>
      </c>
      <c r="E477" t="inlineStr">
        <is>
          <t>Step 3b · YukthiX Service Desk (ITSM + ESM)</t>
        </is>
      </c>
      <c r="F477" t="inlineStr">
        <is>
          <t>Tickets and queues (incident core)</t>
        </is>
      </c>
      <c r="G477" t="inlineStr">
        <is>
          <t>New</t>
        </is>
      </c>
      <c r="I477">
        <f>IF(H477&lt;&gt;"",H477,G477)</f>
        <v/>
      </c>
      <c r="J477" t="inlineStr">
        <is>
          <t>Step 3b-1</t>
        </is>
      </c>
      <c r="K477" t="n">
        <v>3</v>
      </c>
      <c r="L477" t="n">
        <v>1</v>
      </c>
      <c r="M477" s="5" t="inlineStr">
        <is>
          <t>As an employee, I want payroll, medical and personal tickets seen only by that team, so that my privacy is safe.</t>
        </is>
      </c>
      <c r="N477" s="5" t="inlineStr">
        <is>
          <t>• Given a payroll-category ticket, then IT agents cannot see it (YX-HD-03).
• Given a requester who marks a ticket "private", then only the assigned queue agents see it (YX-HD-03).
• Given access to a sensitive ticket, then it is enforced in the database (RLS) as well as the app and audited.</t>
        </is>
      </c>
      <c r="O477" s="5" t="inlineStr">
        <is>
          <t>YX-HD-03</t>
        </is>
      </c>
      <c r="P477" t="inlineStr">
        <is>
          <t>M14 §1, M08 §3–5</t>
        </is>
      </c>
      <c r="Q477" t="inlineStr">
        <is>
          <t>US-B-086</t>
        </is>
      </c>
      <c r="R477" s="5" t="inlineStr"/>
    </row>
    <row r="478">
      <c r="A478" t="inlineStr">
        <is>
          <t>US-G-001</t>
        </is>
      </c>
      <c r="B478" t="n">
        <v>509.042</v>
      </c>
      <c r="C478" t="inlineStr">
        <is>
          <t>Story</t>
        </is>
      </c>
      <c r="D478" s="5" t="inlineStr">
        <is>
          <t xml:space="preserve">        Desk admin sets ticket types, templates and status labels</t>
        </is>
      </c>
      <c r="E478" t="inlineStr">
        <is>
          <t>Step 3b · YukthiX Service Desk (ITSM + ESM)</t>
        </is>
      </c>
      <c r="F478" t="inlineStr">
        <is>
          <t>Tickets and queues (incident core)</t>
        </is>
      </c>
      <c r="G478" t="inlineStr">
        <is>
          <t>New</t>
        </is>
      </c>
      <c r="I478">
        <f>IF(H478&lt;&gt;"",H478,G478)</f>
        <v/>
      </c>
      <c r="J478" t="inlineStr">
        <is>
          <t>Step 3b-1</t>
        </is>
      </c>
      <c r="K478" t="n">
        <v>5</v>
      </c>
      <c r="L478" t="n">
        <v>1</v>
      </c>
      <c r="M478" s="5" t="inlineStr">
        <is>
          <t>As a desk admin, I want ticket types, templates and our own status names, so that each kind of work has the right form and flow.</t>
        </is>
      </c>
      <c r="N478" s="5" t="inlineStr">
        <is>
          <t>• Given incident, service request and question types, then each has its own form and status flow.
• Given a ticket of the wrong type, when an agent converts it, then its history stays and SLA targets restart under the new type.
• Given a template, when an agent or rule applies it, then fields are filled, required or hidden fields are set and its checklist is added.
• Given a custom status label, then it maps to one fixed system state (new, open, pending, on hold, solved) so SLA pause and reports still work.</t>
        </is>
      </c>
      <c r="O478" s="5" t="inlineStr"/>
      <c r="P478" t="inlineStr">
        <is>
          <t>M14 gap check</t>
        </is>
      </c>
      <c r="Q478" t="inlineStr">
        <is>
          <t>US-B-088</t>
        </is>
      </c>
      <c r="R478" s="5" t="inlineStr"/>
    </row>
    <row r="479">
      <c r="A479" t="inlineStr">
        <is>
          <t>US-G-002</t>
        </is>
      </c>
      <c r="B479" t="n">
        <v>509.083</v>
      </c>
      <c r="C479" t="inlineStr">
        <is>
          <t>Story</t>
        </is>
      </c>
      <c r="D479" s="5" t="inlineStr">
        <is>
          <t xml:space="preserve">        Agent uses saved views, boards and bulk actions</t>
        </is>
      </c>
      <c r="E479" t="inlineStr">
        <is>
          <t>Step 3b · YukthiX Service Desk (ITSM + ESM)</t>
        </is>
      </c>
      <c r="F479" t="inlineStr">
        <is>
          <t>Tickets and queues (incident core)</t>
        </is>
      </c>
      <c r="G479" t="inlineStr">
        <is>
          <t>New</t>
        </is>
      </c>
      <c r="I479">
        <f>IF(H479&lt;&gt;"",H479,G479)</f>
        <v/>
      </c>
      <c r="J479" t="inlineStr">
        <is>
          <t>Step 3b-1</t>
        </is>
      </c>
      <c r="K479" t="n">
        <v>5</v>
      </c>
      <c r="L479" t="n">
        <v>1</v>
      </c>
      <c r="M479" s="5" t="inlineStr">
        <is>
          <t>As an agent, I want my own views and actions on many tickets at once, so that I clear the queue fast.</t>
        </is>
      </c>
      <c r="N479" s="5" t="inlineStr">
        <is>
          <t>• Given the list, then I choose columns, filters and sort, also on custom fields, and save views as personal or shared.
• Given the board view, when I drag a card, then its status changes and work-in-progress limits are shown.
• Given many selected tickets, when I assign, change status or priority, tag, merge or close, then it applies to all and each change is audited.
• Given a saved scenario, when I run it on one or many tickets, then all its field changes, note and reply are applied together.
• Given a search, when I export it, then the CSV holds only tickets and fields I may see.</t>
        </is>
      </c>
      <c r="O479" s="5" t="inlineStr"/>
      <c r="P479" t="inlineStr">
        <is>
          <t>M14 gap check</t>
        </is>
      </c>
      <c r="Q479" t="inlineStr"/>
      <c r="R479" s="5" t="inlineStr"/>
    </row>
    <row r="480">
      <c r="A480" t="inlineStr">
        <is>
          <t>US-G-003</t>
        </is>
      </c>
      <c r="B480" t="n">
        <v>509.125</v>
      </c>
      <c r="C480" t="inlineStr">
        <is>
          <t>Story</t>
        </is>
      </c>
      <c r="D480" s="5" t="inlineStr">
        <is>
          <t xml:space="preserve">        Agent sees requester context beside the ticket</t>
        </is>
      </c>
      <c r="E480" t="inlineStr">
        <is>
          <t>Step 3b · YukthiX Service Desk (ITSM + ESM)</t>
        </is>
      </c>
      <c r="F480" t="inlineStr">
        <is>
          <t>Tickets and queues (incident core)</t>
        </is>
      </c>
      <c r="G480" t="inlineStr">
        <is>
          <t>New</t>
        </is>
      </c>
      <c r="I480">
        <f>IF(H480&lt;&gt;"",H480,G480)</f>
        <v/>
      </c>
      <c r="J480" t="inlineStr">
        <is>
          <t>Step 3b-1</t>
        </is>
      </c>
      <c r="K480" t="n">
        <v>5</v>
      </c>
      <c r="L480" t="n">
        <v>1</v>
      </c>
      <c r="M480" s="5" t="inlineStr">
        <is>
          <t>As an agent, I want the requester's history and assets next to the ticket, so that I do not ask what we already know.</t>
        </is>
      </c>
      <c r="N480" s="5" t="inlineStr">
        <is>
          <t>• Given a ticket, then a side panel shows the requester's other open and recent tickets, their assets and CIs.
• Given the ticket text, then similar incidents and matching known errors are listed.
• Given several tickets, then I can keep them open as tabs.
• Given sensitive tickets of the requester in another queue, then they are not shown to me (YX-HD-03).</t>
        </is>
      </c>
      <c r="O480" s="5" t="inlineStr">
        <is>
          <t>YX-HD-03</t>
        </is>
      </c>
      <c r="P480" t="inlineStr">
        <is>
          <t>M14 gap check</t>
        </is>
      </c>
      <c r="Q480" t="inlineStr">
        <is>
          <t>US-B-089</t>
        </is>
      </c>
      <c r="R480" s="5" t="inlineStr"/>
    </row>
    <row r="481">
      <c r="A481" t="inlineStr">
        <is>
          <t>US-G-004</t>
        </is>
      </c>
      <c r="B481" t="n">
        <v>509.167</v>
      </c>
      <c r="C481" t="inlineStr">
        <is>
          <t>Story</t>
        </is>
      </c>
      <c r="D481" s="5" t="inlineStr">
        <is>
          <t xml:space="preserve">        Watchers, VIPs and tickets raised for someone else</t>
        </is>
      </c>
      <c r="E481" t="inlineStr">
        <is>
          <t>Step 3b · YukthiX Service Desk (ITSM + ESM)</t>
        </is>
      </c>
      <c r="F481" t="inlineStr">
        <is>
          <t>Tickets and queues (incident core)</t>
        </is>
      </c>
      <c r="G481" t="inlineStr">
        <is>
          <t>New</t>
        </is>
      </c>
      <c r="I481">
        <f>IF(H481&lt;&gt;"",H481,G481)</f>
        <v/>
      </c>
      <c r="J481" t="inlineStr">
        <is>
          <t>Step 3b-1</t>
        </is>
      </c>
      <c r="K481" t="n">
        <v>5</v>
      </c>
      <c r="L481" t="n">
        <v>1</v>
      </c>
      <c r="M481" s="5" t="inlineStr">
        <is>
          <t>As a requester, I want to add colleagues, raise tickets for others and have VIPs flagged, so that the right people stay informed.</t>
        </is>
      </c>
      <c r="N481" s="5" t="inlineStr">
        <is>
          <t>• Given a ticket, then requesters and agents can add watchers who get updates; people in CC of an incoming email are added automatically.
• Given a watcher, then they are marked internal-only or external, and internal-only watchers never see private notes.
• Given a ticket raised for someone else, then it keeps 'opened by' and 'requested for', and both can follow it.
• Given a VIP requester, then the ticket is flagged and its priority or routing rule for VIPs applies.</t>
        </is>
      </c>
      <c r="O481" s="5" t="inlineStr"/>
      <c r="P481" t="inlineStr">
        <is>
          <t>M14 gap check</t>
        </is>
      </c>
      <c r="Q481" t="inlineStr"/>
      <c r="R481" s="5" t="inlineStr"/>
    </row>
    <row r="482">
      <c r="A482" t="inlineStr">
        <is>
          <t>US-G-005</t>
        </is>
      </c>
      <c r="B482" t="n">
        <v>509.208</v>
      </c>
      <c r="C482" t="inlineStr">
        <is>
          <t>Story</t>
        </is>
      </c>
      <c r="D482" s="5" t="inlineStr">
        <is>
          <t xml:space="preserve">        Agent uses side conversations and splits tickets</t>
        </is>
      </c>
      <c r="E482" t="inlineStr">
        <is>
          <t>Step 3b · YukthiX Service Desk (ITSM + ESM)</t>
        </is>
      </c>
      <c r="F482" t="inlineStr">
        <is>
          <t>Tickets and queues (incident core)</t>
        </is>
      </c>
      <c r="G482" t="inlineStr">
        <is>
          <t>New</t>
        </is>
      </c>
      <c r="I482">
        <f>IF(H482&lt;&gt;"",H482,G482)</f>
        <v/>
      </c>
      <c r="J482" t="inlineStr">
        <is>
          <t>Step 3b-1</t>
        </is>
      </c>
      <c r="K482" t="n">
        <v>5</v>
      </c>
      <c r="L482" t="n">
        <v>1</v>
      </c>
      <c r="M482" s="5" t="inlineStr">
        <is>
          <t>As an agent, I want separate threads with other teams or vendors inside the ticket, so that the requester sees only what is meant for them.</t>
        </is>
      </c>
      <c r="N482" s="5" t="inlineStr">
        <is>
          <t>• Given a ticket, when I start a side conversation by email, Teams / Slack or a child ticket, then replies stay attached to the ticket.
• Given a side conversation, then the requester never sees it.
• Given one message in a ticket, when I choose "new ticket", then a linked ticket is made from it.
• Given a ticket with two issues, when I split it, then two linked tickets exist with their own SLAs.</t>
        </is>
      </c>
      <c r="O482" s="5" t="inlineStr"/>
      <c r="P482" t="inlineStr">
        <is>
          <t>M14 gap check</t>
        </is>
      </c>
      <c r="Q482" t="inlineStr"/>
      <c r="R482" s="5" t="inlineStr"/>
    </row>
    <row r="483">
      <c r="A483" t="inlineStr">
        <is>
          <t>US-G-006</t>
        </is>
      </c>
      <c r="B483" t="n">
        <v>509.25</v>
      </c>
      <c r="C483" t="inlineStr">
        <is>
          <t>Story</t>
        </is>
      </c>
      <c r="D483" s="5" t="inlineStr">
        <is>
          <t xml:space="preserve">        Agent adds tasks to incidents and keeps standalone tasks</t>
        </is>
      </c>
      <c r="E483" t="inlineStr">
        <is>
          <t>Step 3b · YukthiX Service Desk (ITSM + ESM)</t>
        </is>
      </c>
      <c r="F483" t="inlineStr">
        <is>
          <t>Tickets and queues (incident core)</t>
        </is>
      </c>
      <c r="G483" t="inlineStr">
        <is>
          <t>New</t>
        </is>
      </c>
      <c r="I483">
        <f>IF(H483&lt;&gt;"",H483,G483)</f>
        <v/>
      </c>
      <c r="J483" t="inlineStr">
        <is>
          <t>Step 3b-1</t>
        </is>
      </c>
      <c r="K483" t="n">
        <v>3</v>
      </c>
      <c r="L483" t="n">
        <v>2</v>
      </c>
      <c r="M483" s="5" t="inlineStr">
        <is>
          <t>As an agent, I want tasks inside incidents and on their own, so that all small work is tracked.</t>
        </is>
      </c>
      <c r="N483" s="5" t="inlineStr">
        <is>
          <t>• Given an incident, then I add tasks with assignee, due date and status.
• Given open tasks, then the incident cannot be resolved until they are done or cancelled.
• Given a task with no ticket, then it shows in a task list with its own status and due date.</t>
        </is>
      </c>
      <c r="O483" s="5" t="inlineStr"/>
      <c r="P483" t="inlineStr">
        <is>
          <t>M14 gap check</t>
        </is>
      </c>
      <c r="Q483" t="inlineStr"/>
      <c r="R483" s="5" t="inlineStr"/>
    </row>
    <row r="484">
      <c r="A484" t="inlineStr">
        <is>
          <t>US-G-007</t>
        </is>
      </c>
      <c r="B484" t="n">
        <v>509.292</v>
      </c>
      <c r="C484" t="inlineStr">
        <is>
          <t>Story</t>
        </is>
      </c>
      <c r="D484" s="5" t="inlineStr">
        <is>
          <t xml:space="preserve">        Agent closes with resolution codes and escalates by support level</t>
        </is>
      </c>
      <c r="E484" t="inlineStr">
        <is>
          <t>Step 3b · YukthiX Service Desk (ITSM + ESM)</t>
        </is>
      </c>
      <c r="F484" t="inlineStr">
        <is>
          <t>Tickets and queues (incident core)</t>
        </is>
      </c>
      <c r="G484" t="inlineStr">
        <is>
          <t>New</t>
        </is>
      </c>
      <c r="I484">
        <f>IF(H484&lt;&gt;"",H484,G484)</f>
        <v/>
      </c>
      <c r="J484" t="inlineStr">
        <is>
          <t>Step 3b-1</t>
        </is>
      </c>
      <c r="K484" t="n">
        <v>3</v>
      </c>
      <c r="L484" t="n">
        <v>2</v>
      </c>
      <c r="M484" s="5" t="inlineStr">
        <is>
          <t>As a team lead, I want resolution codes and clear L1 / L2 / L3 steps, so that reports show how tickets are solved.</t>
        </is>
      </c>
      <c r="N484" s="5" t="inlineStr">
        <is>
          <t>• Given a resolve action, then a resolution code and a resolution note are required.
• Given an escalation from L1 to L2 or L3, then the step, time and reason are recorded.
• Given reports, then they count tickets by resolution code and by level that solved them.</t>
        </is>
      </c>
      <c r="O484" s="5" t="inlineStr"/>
      <c r="P484" t="inlineStr">
        <is>
          <t>M14 gap check</t>
        </is>
      </c>
      <c r="Q484" t="inlineStr"/>
      <c r="R484" s="5" t="inlineStr"/>
    </row>
    <row r="485">
      <c r="A485" t="inlineStr">
        <is>
          <t>US-G-008</t>
        </is>
      </c>
      <c r="B485" t="n">
        <v>509.333</v>
      </c>
      <c r="C485" t="inlineStr">
        <is>
          <t>Story</t>
        </is>
      </c>
      <c r="D485" s="5" t="inlineStr">
        <is>
          <t xml:space="preserve">        Desk admin sets reopen rules and requesters open a follow-up</t>
        </is>
      </c>
      <c r="E485" t="inlineStr">
        <is>
          <t>Step 3b · YukthiX Service Desk (ITSM + ESM)</t>
        </is>
      </c>
      <c r="F485" t="inlineStr">
        <is>
          <t>Tickets and queues (incident core)</t>
        </is>
      </c>
      <c r="G485" t="inlineStr">
        <is>
          <t>New</t>
        </is>
      </c>
      <c r="I485">
        <f>IF(H485&lt;&gt;"",H485,G485)</f>
        <v/>
      </c>
      <c r="J485" t="inlineStr">
        <is>
          <t>Step 3b-1</t>
        </is>
      </c>
      <c r="K485" t="n">
        <v>2</v>
      </c>
      <c r="L485" t="n">
        <v>2</v>
      </c>
      <c r="M485" s="5" t="inlineStr">
        <is>
          <t>As a desk admin, I want reopen rules per desk, so that old tickets are handled fairly.</t>
        </is>
      </c>
      <c r="N485" s="5" t="inlineStr">
        <is>
          <t>• Given a desk or category, then I set who may reopen, from which states and for how many days.
• Given the reopen window has passed, when the requester replies, then a follow-up ticket is made and linked to the closed one.
• Given the default, then the 7-day rule of YX-HD-05 applies (YX-HD-05).</t>
        </is>
      </c>
      <c r="O485" s="5" t="inlineStr">
        <is>
          <t>YX-HD-05</t>
        </is>
      </c>
      <c r="P485" t="inlineStr">
        <is>
          <t>M14 gap check</t>
        </is>
      </c>
      <c r="Q485" t="inlineStr">
        <is>
          <t>US-B-088</t>
        </is>
      </c>
      <c r="R485" s="5" t="inlineStr"/>
    </row>
    <row r="486">
      <c r="A486" t="inlineStr">
        <is>
          <t>US-G-009</t>
        </is>
      </c>
      <c r="B486" t="n">
        <v>509.375</v>
      </c>
      <c r="C486" t="inlineStr">
        <is>
          <t>Story</t>
        </is>
      </c>
      <c r="D486" s="5" t="inlineStr">
        <is>
          <t xml:space="preserve">        Agent sets reminders, snoozes tickets and sees a personal calendar</t>
        </is>
      </c>
      <c r="E486" t="inlineStr">
        <is>
          <t>Step 3b · YukthiX Service Desk (ITSM + ESM)</t>
        </is>
      </c>
      <c r="F486" t="inlineStr">
        <is>
          <t>Tickets and queues (incident core)</t>
        </is>
      </c>
      <c r="G486" t="inlineStr">
        <is>
          <t>New</t>
        </is>
      </c>
      <c r="I486">
        <f>IF(H486&lt;&gt;"",H486,G486)</f>
        <v/>
      </c>
      <c r="J486" t="inlineStr">
        <is>
          <t>Step 3b-1</t>
        </is>
      </c>
      <c r="K486" t="n">
        <v>3</v>
      </c>
      <c r="L486" t="n">
        <v>2</v>
      </c>
      <c r="M486" s="5" t="inlineStr">
        <is>
          <t>As an agent, I want reminders, snooze and my own calendar, so that I follow up on time.</t>
        </is>
      </c>
      <c r="N486" s="5" t="inlineStr">
        <is>
          <t>• Given a ticket, then I set a reminder and get notified at that time.
• Given snooze until a date, then the ticket leaves my queue view until then and comes back by itself.
• Given my calendar, then it shows my tasks, changes, reminders and time off and has an iCal feed.</t>
        </is>
      </c>
      <c r="O486" s="5" t="inlineStr"/>
      <c r="P486" t="inlineStr">
        <is>
          <t>M14 gap check</t>
        </is>
      </c>
      <c r="Q486" t="inlineStr"/>
      <c r="R486" s="5" t="inlineStr"/>
    </row>
    <row r="487">
      <c r="A487" t="inlineStr">
        <is>
          <t>US-G-010</t>
        </is>
      </c>
      <c r="B487" t="n">
        <v>509.417</v>
      </c>
      <c r="C487" t="inlineStr">
        <is>
          <t>Story</t>
        </is>
      </c>
      <c r="D487" s="5" t="inlineStr">
        <is>
          <t xml:space="preserve">        Agent writes rich replies and tags tickets</t>
        </is>
      </c>
      <c r="E487" t="inlineStr">
        <is>
          <t>Step 3b · YukthiX Service Desk (ITSM + ESM)</t>
        </is>
      </c>
      <c r="F487" t="inlineStr">
        <is>
          <t>Tickets and queues (incident core)</t>
        </is>
      </c>
      <c r="G487" t="inlineStr">
        <is>
          <t>New</t>
        </is>
      </c>
      <c r="I487">
        <f>IF(H487&lt;&gt;"",H487,G487)</f>
        <v/>
      </c>
      <c r="J487" t="inlineStr">
        <is>
          <t>Step 3b-1</t>
        </is>
      </c>
      <c r="K487" t="n">
        <v>3</v>
      </c>
      <c r="L487" t="n">
        <v>3</v>
      </c>
      <c r="M487" s="5" t="inlineStr">
        <is>
          <t>As an agent, I want rich replies and tags, so that answers are clear and tickets are easy to find.</t>
        </is>
      </c>
      <c r="N487" s="5" t="inlineStr">
        <is>
          <t>• Given the editor, then I can drag in several files, paste inline images and embed a video link.
• Given tags, then I add free tags to a ticket and use them in filters, rules and reports.
• Given a pasted file, then it goes through the same virus scan as email attachments.</t>
        </is>
      </c>
      <c r="O487" s="5" t="inlineStr"/>
      <c r="P487" t="inlineStr">
        <is>
          <t>M14 gap check</t>
        </is>
      </c>
      <c r="Q487" t="inlineStr"/>
      <c r="R487" s="5" t="inlineStr"/>
    </row>
    <row r="488">
      <c r="A488" t="inlineStr">
        <is>
          <t>US-G-011</t>
        </is>
      </c>
      <c r="B488" t="n">
        <v>509.458</v>
      </c>
      <c r="C488" t="inlineStr">
        <is>
          <t>Story</t>
        </is>
      </c>
      <c r="D488" s="5" t="inlineStr">
        <is>
          <t xml:space="preserve">        Assignment skips agents who are away, on leave or off shift</t>
        </is>
      </c>
      <c r="E488" t="inlineStr">
        <is>
          <t>Step 3b · YukthiX Service Desk (ITSM + ESM)</t>
        </is>
      </c>
      <c r="F488" t="inlineStr">
        <is>
          <t>Tickets and queues (incident core)</t>
        </is>
      </c>
      <c r="G488" t="inlineStr">
        <is>
          <t>New</t>
        </is>
      </c>
      <c r="I488">
        <f>IF(H488&lt;&gt;"",H488,G488)</f>
        <v/>
      </c>
      <c r="J488" t="inlineStr">
        <is>
          <t>Step 3b-1</t>
        </is>
      </c>
      <c r="K488" t="n">
        <v>5</v>
      </c>
      <c r="L488" t="n">
        <v>1</v>
      </c>
      <c r="M488" s="5" t="inlineStr">
        <is>
          <t>As a team lead, I want automatic assignment to respect leave and shifts, so that tickets do not wait with absent agents.</t>
        </is>
      </c>
      <c r="N488" s="5" t="inlineStr">
        <is>
          <t>• Given an agent on approved leave in YukthiX HR or marked out of office, then round-robin and load-based assignment skip them.
• Given shift hours, then an agent outside their shift gets no new tickets.
• Given an agent, then they can set their own away status and time off.
• Given the team view, then the lead sees who is available now.</t>
        </is>
      </c>
      <c r="O488" s="5" t="inlineStr"/>
      <c r="P488" t="inlineStr">
        <is>
          <t>M14 gap check</t>
        </is>
      </c>
      <c r="Q488" t="inlineStr">
        <is>
          <t>US-B-087</t>
        </is>
      </c>
      <c r="R488" s="5" t="inlineStr"/>
    </row>
    <row r="489">
      <c r="A489" s="9" t="inlineStr">
        <is>
          <t>FT-B-019</t>
        </is>
      </c>
      <c r="B489" s="9" t="n">
        <v>510</v>
      </c>
      <c r="C489" s="9" t="inlineStr">
        <is>
          <t>Feature</t>
        </is>
      </c>
      <c r="D489" s="10" t="inlineStr">
        <is>
          <t xml:space="preserve">    SLA, OLA and business hours</t>
        </is>
      </c>
      <c r="E489" s="9" t="inlineStr">
        <is>
          <t>Step 3b · YukthiX Service Desk (ITSM + ESM)</t>
        </is>
      </c>
      <c r="F489" s="9" t="inlineStr">
        <is>
          <t>SLA, OLA and business hours</t>
        </is>
      </c>
      <c r="G489" s="9" t="inlineStr">
        <is>
          <t>New</t>
        </is>
      </c>
      <c r="H489" s="9" t="n"/>
      <c r="I489" s="9">
        <f>IF(H489&lt;&gt;"",H489,G489)</f>
        <v/>
      </c>
      <c r="J489" s="9" t="inlineStr">
        <is>
          <t>Step 3b-1</t>
        </is>
      </c>
      <c r="K489" s="9" t="n"/>
      <c r="L489" s="9" t="n"/>
      <c r="M489" s="10" t="inlineStr"/>
      <c r="N489" s="10" t="inlineStr"/>
      <c r="O489" s="10" t="inlineStr">
        <is>
          <t>YX-HD-01, YX-HD-02</t>
        </is>
      </c>
      <c r="P489" s="9" t="inlineStr">
        <is>
          <t>M14 §9, M08 YX-HD-01/02</t>
        </is>
      </c>
      <c r="Q489" s="9" t="inlineStr"/>
      <c r="R489" s="10" t="inlineStr"/>
      <c r="S489" s="9" t="n"/>
    </row>
    <row r="490">
      <c r="A490" t="inlineStr">
        <is>
          <t>US-B-094</t>
        </is>
      </c>
      <c r="B490" t="n">
        <v>510</v>
      </c>
      <c r="C490" t="inlineStr">
        <is>
          <t>Story</t>
        </is>
      </c>
      <c r="D490" s="5" t="inlineStr">
        <is>
          <t xml:space="preserve">        Desk admin defines SLA policies</t>
        </is>
      </c>
      <c r="E490" t="inlineStr">
        <is>
          <t>Step 3b · YukthiX Service Desk (ITSM + ESM)</t>
        </is>
      </c>
      <c r="F490" t="inlineStr">
        <is>
          <t>SLA, OLA and business hours</t>
        </is>
      </c>
      <c r="G490" t="inlineStr">
        <is>
          <t>New</t>
        </is>
      </c>
      <c r="I490">
        <f>IF(H490&lt;&gt;"",H490,G490)</f>
        <v/>
      </c>
      <c r="J490" t="inlineStr">
        <is>
          <t>Step 3b-1</t>
        </is>
      </c>
      <c r="K490" t="n">
        <v>5</v>
      </c>
      <c r="L490" t="n">
        <v>1</v>
      </c>
      <c r="M490" s="5" t="inlineStr">
        <is>
          <t>As a desk admin, I want SLAs per priority, category, customer or contract, so that targets match what we promised.</t>
        </is>
      </c>
      <c r="N490" s="5" t="inlineStr">
        <is>
          <t>• Given an SLA policy, then it sets first-response and resolution targets per priority and can apply by category, customer or contract.
• Given a ticket, then the most specific matching policy is applied and shown on the ticket.
• Given SLA timers, then they use the queue business hours (YX-HD-01).</t>
        </is>
      </c>
      <c r="O490" s="5" t="inlineStr">
        <is>
          <t>YX-HD-01</t>
        </is>
      </c>
      <c r="P490" t="inlineStr">
        <is>
          <t>M14 §9, M08 YX-HD-01/02</t>
        </is>
      </c>
      <c r="Q490" t="inlineStr">
        <is>
          <t>US-B-085</t>
        </is>
      </c>
      <c r="R490" s="5" t="inlineStr"/>
    </row>
    <row r="491">
      <c r="A491" t="inlineStr">
        <is>
          <t>US-B-095</t>
        </is>
      </c>
      <c r="B491" t="n">
        <v>511</v>
      </c>
      <c r="C491" t="inlineStr">
        <is>
          <t>Story</t>
        </is>
      </c>
      <c r="D491" s="5" t="inlineStr">
        <is>
          <t xml:space="preserve">        Desk admin sets business hours and holidays</t>
        </is>
      </c>
      <c r="E491" t="inlineStr">
        <is>
          <t>Step 3b · YukthiX Service Desk (ITSM + ESM)</t>
        </is>
      </c>
      <c r="F491" t="inlineStr">
        <is>
          <t>SLA, OLA and business hours</t>
        </is>
      </c>
      <c r="G491" t="inlineStr">
        <is>
          <t>New</t>
        </is>
      </c>
      <c r="I491">
        <f>IF(H491&lt;&gt;"",H491,G491)</f>
        <v/>
      </c>
      <c r="J491" t="inlineStr">
        <is>
          <t>Step 3b-1</t>
        </is>
      </c>
      <c r="K491" t="n">
        <v>3</v>
      </c>
      <c r="L491" t="n">
        <v>1</v>
      </c>
      <c r="M491" s="5" t="inlineStr">
        <is>
          <t>As a desk admin, I want business hours and holiday calendars per team and location, so that SLAs do not run at night or on holidays.</t>
        </is>
      </c>
      <c r="N491" s="5" t="inlineStr">
        <is>
          <t>• Given a team or location, then it uses a P03 calendar with working hours and holidays.
• Given pause conditions (waiting on requester, waiting on vendor), then the clock stops while they apply (YX-HD-01).
• Given a holiday, then no SLA time is counted on that day.</t>
        </is>
      </c>
      <c r="O491" s="5" t="inlineStr">
        <is>
          <t>YX-HD-01</t>
        </is>
      </c>
      <c r="P491" t="inlineStr">
        <is>
          <t>M14 §9, M08 YX-HD-01/02</t>
        </is>
      </c>
      <c r="Q491" t="inlineStr">
        <is>
          <t>US-B-094</t>
        </is>
      </c>
      <c r="R491" s="5" t="inlineStr"/>
    </row>
    <row r="492">
      <c r="A492" t="inlineStr">
        <is>
          <t>US-B-096</t>
        </is>
      </c>
      <c r="B492" t="n">
        <v>512</v>
      </c>
      <c r="C492" t="inlineStr">
        <is>
          <t>Story</t>
        </is>
      </c>
      <c r="D492" s="5" t="inlineStr">
        <is>
          <t xml:space="preserve">        Agents and leads get breach warnings and escalations</t>
        </is>
      </c>
      <c r="E492" t="inlineStr">
        <is>
          <t>Step 3b · YukthiX Service Desk (ITSM + ESM)</t>
        </is>
      </c>
      <c r="F492" t="inlineStr">
        <is>
          <t>SLA, OLA and business hours</t>
        </is>
      </c>
      <c r="G492" t="inlineStr">
        <is>
          <t>New</t>
        </is>
      </c>
      <c r="I492">
        <f>IF(H492&lt;&gt;"",H492,G492)</f>
        <v/>
      </c>
      <c r="J492" t="inlineStr">
        <is>
          <t>Step 3b-1</t>
        </is>
      </c>
      <c r="K492" t="n">
        <v>3</v>
      </c>
      <c r="L492" t="n">
        <v>1</v>
      </c>
      <c r="M492" s="5" t="inlineStr">
        <is>
          <t>As a team lead, I want warnings before an SLA breach, so that we act in time.</t>
        </is>
      </c>
      <c r="N492" s="5" t="inlineStr">
        <is>
          <t>• Given a ticket at 80 % of its target, then the agent is warned (YX-HD-02).
• Given a breach, then the queue lead is told and the escalation chain moves to the next level (YX-HD-02).
• Given an escalation chain, then the admin can set its levels and wait times.</t>
        </is>
      </c>
      <c r="O492" s="5" t="inlineStr">
        <is>
          <t>YX-HD-02</t>
        </is>
      </c>
      <c r="P492" t="inlineStr">
        <is>
          <t>M14 §9, M08 YX-HD-01/02</t>
        </is>
      </c>
      <c r="Q492" t="inlineStr">
        <is>
          <t>US-B-094</t>
        </is>
      </c>
      <c r="R492" s="5" t="inlineStr"/>
    </row>
    <row r="493">
      <c r="A493" t="inlineStr">
        <is>
          <t>US-B-097</t>
        </is>
      </c>
      <c r="B493" t="n">
        <v>513</v>
      </c>
      <c r="C493" t="inlineStr">
        <is>
          <t>Story</t>
        </is>
      </c>
      <c r="D493" s="5" t="inlineStr">
        <is>
          <t xml:space="preserve">        Teams agree OLAs and vendor underpinning contracts</t>
        </is>
      </c>
      <c r="E493" t="inlineStr">
        <is>
          <t>Step 3b · YukthiX Service Desk (ITSM + ESM)</t>
        </is>
      </c>
      <c r="F493" t="inlineStr">
        <is>
          <t>SLA, OLA and business hours</t>
        </is>
      </c>
      <c r="G493" t="inlineStr">
        <is>
          <t>New</t>
        </is>
      </c>
      <c r="I493">
        <f>IF(H493&lt;&gt;"",H493,G493)</f>
        <v/>
      </c>
      <c r="J493" t="inlineStr">
        <is>
          <t>Step 3b-1</t>
        </is>
      </c>
      <c r="K493" t="n">
        <v>3</v>
      </c>
      <c r="L493" t="n">
        <v>2</v>
      </c>
      <c r="M493" s="5" t="inlineStr">
        <is>
          <t>As a desk admin, I want OLAs between internal teams and contracts with vendors, so that hand-offs also have targets.</t>
        </is>
      </c>
      <c r="N493" s="5" t="inlineStr">
        <is>
          <t>• Given a task handed to another internal team, then that team's OLA timer starts.
• Given a ticket waiting on a vendor, then the underpinning contract target is tracked.
• Given an OLA breach, then the receiving team lead is warned (YX-HD-02).</t>
        </is>
      </c>
      <c r="O493" s="5" t="inlineStr">
        <is>
          <t>YX-HD-02</t>
        </is>
      </c>
      <c r="P493" t="inlineStr">
        <is>
          <t>M14 §9, M08 YX-HD-01/02</t>
        </is>
      </c>
      <c r="Q493" t="inlineStr">
        <is>
          <t>US-B-096</t>
        </is>
      </c>
      <c r="R493" s="5" t="inlineStr"/>
    </row>
    <row r="494">
      <c r="A494" t="inlineStr">
        <is>
          <t>US-B-098</t>
        </is>
      </c>
      <c r="B494" t="n">
        <v>514</v>
      </c>
      <c r="C494" t="inlineStr">
        <is>
          <t>Story</t>
        </is>
      </c>
      <c r="D494" s="5" t="inlineStr">
        <is>
          <t xml:space="preserve">        Lead and customer see SLA reports</t>
        </is>
      </c>
      <c r="E494" t="inlineStr">
        <is>
          <t>Step 3b · YukthiX Service Desk (ITSM + ESM)</t>
        </is>
      </c>
      <c r="F494" t="inlineStr">
        <is>
          <t>SLA, OLA and business hours</t>
        </is>
      </c>
      <c r="G494" t="inlineStr">
        <is>
          <t>New</t>
        </is>
      </c>
      <c r="I494">
        <f>IF(H494&lt;&gt;"",H494,G494)</f>
        <v/>
      </c>
      <c r="J494" t="inlineStr">
        <is>
          <t>Step 3b-1</t>
        </is>
      </c>
      <c r="K494" t="n">
        <v>3</v>
      </c>
      <c r="L494" t="n">
        <v>1</v>
      </c>
      <c r="M494" s="5" t="inlineStr">
        <is>
          <t>As a team lead, I want SLA reports and a customer-facing SLA dashboard, so that we show how we perform.</t>
        </is>
      </c>
      <c r="N494" s="5" t="inlineStr">
        <is>
          <t>• Given a period, then the report shows met and breached targets per priority, queue and agent.
• Given an external customer, then their portal dashboard shows SLA results for their own tickets only.
• Given any SLA report, then it can be exported to CSV.</t>
        </is>
      </c>
      <c r="O494" s="5" t="inlineStr"/>
      <c r="P494" t="inlineStr">
        <is>
          <t>M14 §9, M08 YX-HD-01/02</t>
        </is>
      </c>
      <c r="Q494" t="inlineStr">
        <is>
          <t>US-B-096</t>
        </is>
      </c>
      <c r="R494" s="5" t="inlineStr"/>
    </row>
    <row r="495">
      <c r="A495" t="inlineStr">
        <is>
          <t>US-G-012</t>
        </is>
      </c>
      <c r="B495" t="n">
        <v>514.083</v>
      </c>
      <c r="C495" t="inlineStr">
        <is>
          <t>Story</t>
        </is>
      </c>
      <c r="D495" s="5" t="inlineStr">
        <is>
          <t xml:space="preserve">        Desk admin runs several SLA targets on one ticket</t>
        </is>
      </c>
      <c r="E495" t="inlineStr">
        <is>
          <t>Step 3b · YukthiX Service Desk (ITSM + ESM)</t>
        </is>
      </c>
      <c r="F495" t="inlineStr">
        <is>
          <t>SLA, OLA and business hours</t>
        </is>
      </c>
      <c r="G495" t="inlineStr">
        <is>
          <t>New</t>
        </is>
      </c>
      <c r="I495">
        <f>IF(H495&lt;&gt;"",H495,G495)</f>
        <v/>
      </c>
      <c r="J495" t="inlineStr">
        <is>
          <t>Step 3b-1</t>
        </is>
      </c>
      <c r="K495" t="n">
        <v>5</v>
      </c>
      <c r="L495" t="n">
        <v>1</v>
      </c>
      <c r="M495" s="5" t="inlineStr">
        <is>
          <t>As a desk admin, I want several targets on one ticket, so that every promise is measured.</t>
        </is>
      </c>
      <c r="N495" s="5" t="inlineStr">
        <is>
          <t>• Given a policy, then it can set time to assign, first response, next response after each requester message, and resolution.
• Given a custom measure (time with vendor, time to approve), then it can have its own target.
• Given a ticket, then each target shows its own due time and state.</t>
        </is>
      </c>
      <c r="O495" s="5" t="inlineStr"/>
      <c r="P495" t="inlineStr">
        <is>
          <t>M14 gap check</t>
        </is>
      </c>
      <c r="Q495" t="inlineStr">
        <is>
          <t>US-B-094</t>
        </is>
      </c>
      <c r="R495" s="5" t="inlineStr"/>
    </row>
    <row r="496">
      <c r="A496" t="inlineStr">
        <is>
          <t>US-G-013</t>
        </is>
      </c>
      <c r="B496" t="n">
        <v>514.167</v>
      </c>
      <c r="C496" t="inlineStr">
        <is>
          <t>Story</t>
        </is>
      </c>
      <c r="D496" s="5" t="inlineStr">
        <is>
          <t xml:space="preserve">        SLA policy has its own conditions and business hours</t>
        </is>
      </c>
      <c r="E496" t="inlineStr">
        <is>
          <t>Step 3b · YukthiX Service Desk (ITSM + ESM)</t>
        </is>
      </c>
      <c r="F496" t="inlineStr">
        <is>
          <t>SLA, OLA and business hours</t>
        </is>
      </c>
      <c r="G496" t="inlineStr">
        <is>
          <t>New</t>
        </is>
      </c>
      <c r="I496">
        <f>IF(H496&lt;&gt;"",H496,G496)</f>
        <v/>
      </c>
      <c r="J496" t="inlineStr">
        <is>
          <t>Step 3b-1</t>
        </is>
      </c>
      <c r="K496" t="n">
        <v>5</v>
      </c>
      <c r="L496" t="n">
        <v>1</v>
      </c>
      <c r="M496" s="5" t="inlineStr">
        <is>
          <t>As a desk admin, I want start, pause and stop conditions and hours per policy, so that SLAs fit how each team works.</t>
        </is>
      </c>
      <c r="N496" s="5" t="inlineStr">
        <is>
          <t>• Given a policy, then pause can depend on any field (for example 'waiting for part').
• Given a policy attached late, then the clock can count from ticket creation.
• Given a policy, then it has its own business hours and uses the requester's, team's or site's time zone.
• Given scope rules, then they combine any fields with AND / OR.</t>
        </is>
      </c>
      <c r="O496" s="5" t="inlineStr"/>
      <c r="P496" t="inlineStr">
        <is>
          <t>M14 gap check</t>
        </is>
      </c>
      <c r="Q496" t="inlineStr">
        <is>
          <t>US-B-094, US-B-095</t>
        </is>
      </c>
      <c r="R496" s="5" t="inlineStr"/>
    </row>
    <row r="497">
      <c r="A497" t="inlineStr">
        <is>
          <t>US-G-014</t>
        </is>
      </c>
      <c r="B497" t="n">
        <v>514.25</v>
      </c>
      <c r="C497" t="inlineStr">
        <is>
          <t>Story</t>
        </is>
      </c>
      <c r="D497" s="5" t="inlineStr">
        <is>
          <t xml:space="preserve">        SLA milestones run actions at any percentage</t>
        </is>
      </c>
      <c r="E497" t="inlineStr">
        <is>
          <t>Step 3b · YukthiX Service Desk (ITSM + ESM)</t>
        </is>
      </c>
      <c r="F497" t="inlineStr">
        <is>
          <t>SLA, OLA and business hours</t>
        </is>
      </c>
      <c r="G497" t="inlineStr">
        <is>
          <t>New</t>
        </is>
      </c>
      <c r="I497">
        <f>IF(H497&lt;&gt;"",H497,G497)</f>
        <v/>
      </c>
      <c r="J497" t="inlineStr">
        <is>
          <t>Step 3b-1</t>
        </is>
      </c>
      <c r="K497" t="n">
        <v>3</v>
      </c>
      <c r="L497" t="n">
        <v>1</v>
      </c>
      <c r="M497" s="5" t="inlineStr">
        <is>
          <t>As a team lead, I want actions at chosen points of the SLA, so that we act early.</t>
        </is>
      </c>
      <c r="N497" s="5" t="inlineStr">
        <is>
          <t>• Given milestones such as 50, 75, 100 and 150 %, then each can have several actions (notify, reassign, raise priority, run a rule).
• Given each target, then it can have its own milestones.
• Given a milestone fires, then the action is logged on the ticket (YX-HD-02).</t>
        </is>
      </c>
      <c r="O497" s="5" t="inlineStr">
        <is>
          <t>YX-HD-02</t>
        </is>
      </c>
      <c r="P497" t="inlineStr">
        <is>
          <t>M14 gap check</t>
        </is>
      </c>
      <c r="Q497" t="inlineStr">
        <is>
          <t>US-B-096</t>
        </is>
      </c>
      <c r="R497" s="5" t="inlineStr"/>
    </row>
    <row r="498">
      <c r="A498" t="inlineStr">
        <is>
          <t>US-G-015</t>
        </is>
      </c>
      <c r="B498" t="n">
        <v>514.333</v>
      </c>
      <c r="C498" t="inlineStr">
        <is>
          <t>Story</t>
        </is>
      </c>
      <c r="D498" s="5" t="inlineStr">
        <is>
          <t xml:space="preserve">        Lead tracks period compliance targets and breach reasons</t>
        </is>
      </c>
      <c r="E498" t="inlineStr">
        <is>
          <t>Step 3b · YukthiX Service Desk (ITSM + ESM)</t>
        </is>
      </c>
      <c r="F498" t="inlineStr">
        <is>
          <t>SLA, OLA and business hours</t>
        </is>
      </c>
      <c r="G498" t="inlineStr">
        <is>
          <t>New</t>
        </is>
      </c>
      <c r="I498">
        <f>IF(H498&lt;&gt;"",H498,G498)</f>
        <v/>
      </c>
      <c r="J498" t="inlineStr">
        <is>
          <t>Step 3b-1</t>
        </is>
      </c>
      <c r="K498" t="n">
        <v>3</v>
      </c>
      <c r="L498" t="n">
        <v>1</v>
      </c>
      <c r="M498" s="5" t="inlineStr">
        <is>
          <t>As a team lead, I want monthly compliance targets and reasons for breaches, so that reports are fair.</t>
        </is>
      </c>
      <c r="N498" s="5" t="inlineStr">
        <is>
          <t>• Given a target like '95 % of P2 solved in 8 h each month', then the report shows progress and an at-risk warning during the month.
• Given a breach, then the agent must give a reason.
• Given an exclusion approved by the lead, then the ticket is left out of SLA counts and the decision is audited.</t>
        </is>
      </c>
      <c r="O498" s="5" t="inlineStr"/>
      <c r="P498" t="inlineStr">
        <is>
          <t>M14 gap check</t>
        </is>
      </c>
      <c r="Q498" t="inlineStr">
        <is>
          <t>US-B-098</t>
        </is>
      </c>
      <c r="R498" s="5" t="inlineStr"/>
    </row>
    <row r="499">
      <c r="A499" t="inlineStr">
        <is>
          <t>US-G-016</t>
        </is>
      </c>
      <c r="B499" t="n">
        <v>514.417</v>
      </c>
      <c r="C499" t="inlineStr">
        <is>
          <t>Story</t>
        </is>
      </c>
      <c r="D499" s="5" t="inlineStr">
        <is>
          <t xml:space="preserve">        Agent sees the SLA timeline on the ticket</t>
        </is>
      </c>
      <c r="E499" t="inlineStr">
        <is>
          <t>Step 3b · YukthiX Service Desk (ITSM + ESM)</t>
        </is>
      </c>
      <c r="F499" t="inlineStr">
        <is>
          <t>SLA, OLA and business hours</t>
        </is>
      </c>
      <c r="G499" t="inlineStr">
        <is>
          <t>New</t>
        </is>
      </c>
      <c r="I499">
        <f>IF(H499&lt;&gt;"",H499,G499)</f>
        <v/>
      </c>
      <c r="J499" t="inlineStr">
        <is>
          <t>Step 3b-1</t>
        </is>
      </c>
      <c r="K499" t="n">
        <v>2</v>
      </c>
      <c r="L499" t="n">
        <v>2</v>
      </c>
      <c r="M499" s="5" t="inlineStr">
        <is>
          <t>As an agent, I want a picture of the SLA clock, so that I understand why time ran or stopped.</t>
        </is>
      </c>
      <c r="N499" s="5" t="inlineStr">
        <is>
          <t>• Given a ticket, then a timeline shows running, paused and breached parts per target.
• Given a pause, then the reason (status or condition) is shown.
• Given the requester view, then only the due time is shown, not internal reasons.</t>
        </is>
      </c>
      <c r="O499" s="5" t="inlineStr"/>
      <c r="P499" t="inlineStr">
        <is>
          <t>M14 gap check</t>
        </is>
      </c>
      <c r="Q499" t="inlineStr"/>
      <c r="R499" s="5" t="inlineStr"/>
    </row>
    <row r="500">
      <c r="A500" s="9" t="inlineStr">
        <is>
          <t>FT-B-020</t>
        </is>
      </c>
      <c r="B500" s="9" t="n">
        <v>515</v>
      </c>
      <c r="C500" s="9" t="inlineStr">
        <is>
          <t>Feature</t>
        </is>
      </c>
      <c r="D500" s="10" t="inlineStr">
        <is>
          <t xml:space="preserve">    Self-service portal and email</t>
        </is>
      </c>
      <c r="E500" s="9" t="inlineStr">
        <is>
          <t>Step 3b · YukthiX Service Desk (ITSM + ESM)</t>
        </is>
      </c>
      <c r="F500" s="9" t="inlineStr">
        <is>
          <t>Self-service portal and email</t>
        </is>
      </c>
      <c r="G500" s="9" t="inlineStr">
        <is>
          <t>New</t>
        </is>
      </c>
      <c r="H500" s="9" t="n"/>
      <c r="I500" s="9">
        <f>IF(H500&lt;&gt;"",H500,G500)</f>
        <v/>
      </c>
      <c r="J500" s="9" t="inlineStr">
        <is>
          <t>Step 3b-1</t>
        </is>
      </c>
      <c r="K500" s="9" t="n"/>
      <c r="L500" s="9" t="n"/>
      <c r="M500" s="10" t="inlineStr"/>
      <c r="N500" s="10" t="inlineStr"/>
      <c r="O500" s="10" t="inlineStr">
        <is>
          <t>YX-HD-04, YX-SEC-21</t>
        </is>
      </c>
      <c r="P500" s="9" t="inlineStr">
        <is>
          <t>M14 §10, M08 §7</t>
        </is>
      </c>
      <c r="Q500" s="9" t="inlineStr"/>
      <c r="R500" s="10" t="inlineStr"/>
      <c r="S500" s="9" t="n"/>
    </row>
    <row r="501">
      <c r="A501" t="inlineStr">
        <is>
          <t>US-B-099</t>
        </is>
      </c>
      <c r="B501" t="n">
        <v>515</v>
      </c>
      <c r="C501" t="inlineStr">
        <is>
          <t>Story</t>
        </is>
      </c>
      <c r="D501" s="5" t="inlineStr">
        <is>
          <t xml:space="preserve">        Requester uses a branded self-service portal</t>
        </is>
      </c>
      <c r="E501" t="inlineStr">
        <is>
          <t>Step 3b · YukthiX Service Desk (ITSM + ESM)</t>
        </is>
      </c>
      <c r="F501" t="inlineStr">
        <is>
          <t>Self-service portal and email</t>
        </is>
      </c>
      <c r="G501" t="inlineStr">
        <is>
          <t>New</t>
        </is>
      </c>
      <c r="I501">
        <f>IF(H501&lt;&gt;"",H501,G501)</f>
        <v/>
      </c>
      <c r="J501" t="inlineStr">
        <is>
          <t>Step 3b-1</t>
        </is>
      </c>
      <c r="K501" t="n">
        <v>5</v>
      </c>
      <c r="L501" t="n">
        <v>1</v>
      </c>
      <c r="M501" s="5" t="inlineStr">
        <is>
          <t>As an employee, I want a simple portal with my company's branding, so that raising and tracking tickets is easy.</t>
        </is>
      </c>
      <c r="N501" s="5" t="inlineStr">
        <is>
          <t>• Given a company, then the portal shows its logo and colours and works well on mobile.
• Given "My tickets", then the requester sees status and SLA for each ticket.
• Given the standalone product, then the portal can be white-labelled on the company's own domain.</t>
        </is>
      </c>
      <c r="O501" s="5" t="inlineStr"/>
      <c r="P501" t="inlineStr">
        <is>
          <t>M14 §10, M08 §7</t>
        </is>
      </c>
      <c r="Q501" t="inlineStr">
        <is>
          <t>US-B-086</t>
        </is>
      </c>
      <c r="R501" s="5" t="inlineStr"/>
    </row>
    <row r="502">
      <c r="A502" t="inlineStr">
        <is>
          <t>US-B-100</t>
        </is>
      </c>
      <c r="B502" t="n">
        <v>516</v>
      </c>
      <c r="C502" t="inlineStr">
        <is>
          <t>Story</t>
        </is>
      </c>
      <c r="D502" s="5" t="inlineStr">
        <is>
          <t xml:space="preserve">        Employee raises a ticket from the in-app help drawer</t>
        </is>
      </c>
      <c r="E502" t="inlineStr">
        <is>
          <t>Step 3b · YukthiX Service Desk (ITSM + ESM)</t>
        </is>
      </c>
      <c r="F502" t="inlineStr">
        <is>
          <t>Self-service portal and email</t>
        </is>
      </c>
      <c r="G502" t="inlineStr">
        <is>
          <t>New</t>
        </is>
      </c>
      <c r="I502">
        <f>IF(H502&lt;&gt;"",H502,G502)</f>
        <v/>
      </c>
      <c r="J502" t="inlineStr">
        <is>
          <t>Step 3b-1</t>
        </is>
      </c>
      <c r="K502" t="n">
        <v>3</v>
      </c>
      <c r="L502" t="n">
        <v>1</v>
      </c>
      <c r="M502" s="5" t="inlineStr">
        <is>
          <t>As an employee using YukthiX, I want to ask for help from the screen I am on, so that the agent sees the context.</t>
        </is>
      </c>
      <c r="N502" s="5" t="inlineStr">
        <is>
          <t>• Given the in-app help drawer, when the employee raises a ticket, then the screen name and product are added to the ticket.
• Given the drawer, then help articles for that screen show first (YX-HD-04).
• Given the drawer ticket, then the requester can follow it in "My tickets" like any other ticket.</t>
        </is>
      </c>
      <c r="O502" s="5" t="inlineStr">
        <is>
          <t>YX-HD-04</t>
        </is>
      </c>
      <c r="P502" t="inlineStr">
        <is>
          <t>M14 §10, M08 §7</t>
        </is>
      </c>
      <c r="Q502" t="inlineStr">
        <is>
          <t>US-B-099</t>
        </is>
      </c>
      <c r="R502" s="5" t="inlineStr"/>
    </row>
    <row r="503">
      <c r="A503" t="inlineStr">
        <is>
          <t>US-B-101</t>
        </is>
      </c>
      <c r="B503" t="n">
        <v>517</v>
      </c>
      <c r="C503" t="inlineStr">
        <is>
          <t>Story</t>
        </is>
      </c>
      <c r="D503" s="5" t="inlineStr">
        <is>
          <t xml:space="preserve">        Emails become tickets with threading</t>
        </is>
      </c>
      <c r="E503" t="inlineStr">
        <is>
          <t>Step 3b · YukthiX Service Desk (ITSM + ESM)</t>
        </is>
      </c>
      <c r="F503" t="inlineStr">
        <is>
          <t>Self-service portal and email</t>
        </is>
      </c>
      <c r="G503" t="inlineStr">
        <is>
          <t>New</t>
        </is>
      </c>
      <c r="I503">
        <f>IF(H503&lt;&gt;"",H503,G503)</f>
        <v/>
      </c>
      <c r="J503" t="inlineStr">
        <is>
          <t>Step 3b-1</t>
        </is>
      </c>
      <c r="K503" t="n">
        <v>5</v>
      </c>
      <c r="L503" t="n">
        <v>1</v>
      </c>
      <c r="M503" s="5" t="inlineStr">
        <is>
          <t>As an agent, I want emails to support addresses turned into tickets, so that nothing is lost in a mailbox.</t>
        </is>
      </c>
      <c r="N503" s="5" t="inlineStr">
        <is>
          <t>• Given an email to a team address, then a ticket is created in that team's queue.
• Given a reply to a ticket email, then it is added to the same ticket, not a new one.
• Given several addresses per team, then each maps to its own queue and category.</t>
        </is>
      </c>
      <c r="O503" s="5" t="inlineStr"/>
      <c r="P503" t="inlineStr">
        <is>
          <t>M14 §10, M08 §7</t>
        </is>
      </c>
      <c r="Q503" t="inlineStr">
        <is>
          <t>US-B-086</t>
        </is>
      </c>
      <c r="R503" s="5" t="inlineStr"/>
    </row>
    <row r="504">
      <c r="A504" t="inlineStr">
        <is>
          <t>US-B-102</t>
        </is>
      </c>
      <c r="B504" t="n">
        <v>518</v>
      </c>
      <c r="C504" t="inlineStr">
        <is>
          <t>Story</t>
        </is>
      </c>
      <c r="D504" s="5" t="inlineStr">
        <is>
          <t xml:space="preserve">        Email channel blocks spam, loops and bad files</t>
        </is>
      </c>
      <c r="E504" t="inlineStr">
        <is>
          <t>Step 3b · YukthiX Service Desk (ITSM + ESM)</t>
        </is>
      </c>
      <c r="F504" t="inlineStr">
        <is>
          <t>Self-service portal and email</t>
        </is>
      </c>
      <c r="G504" t="inlineStr">
        <is>
          <t>New</t>
        </is>
      </c>
      <c r="I504">
        <f>IF(H504&lt;&gt;"",H504,G504)</f>
        <v/>
      </c>
      <c r="J504" t="inlineStr">
        <is>
          <t>Step 3b-1</t>
        </is>
      </c>
      <c r="K504" t="n">
        <v>3</v>
      </c>
      <c r="L504" t="n">
        <v>1</v>
      </c>
      <c r="M504" s="5" t="inlineStr">
        <is>
          <t>As a desk admin, I want spam, mail loops and unsafe attachments stopped, so that the queue stays clean and safe.</t>
        </is>
      </c>
      <c r="N504" s="5" t="inlineStr">
        <is>
          <t>• Given spam, then it goes to a spam folder, not the queue.
• Given an auto-reply loop, then the loop is detected and stopped after a set number of messages.
• Given an attachment, then it is virus-scanned before agents can open it.</t>
        </is>
      </c>
      <c r="O504" s="5" t="inlineStr"/>
      <c r="P504" t="inlineStr">
        <is>
          <t>M14 §10, M08 §7</t>
        </is>
      </c>
      <c r="Q504" t="inlineStr">
        <is>
          <t>US-B-101</t>
        </is>
      </c>
      <c r="R504" s="5" t="inlineStr"/>
    </row>
    <row r="505">
      <c r="A505" t="inlineStr">
        <is>
          <t>US-B-103</t>
        </is>
      </c>
      <c r="B505" t="n">
        <v>519</v>
      </c>
      <c r="C505" t="inlineStr">
        <is>
          <t>Story</t>
        </is>
      </c>
      <c r="D505" s="5" t="inlineStr">
        <is>
          <t xml:space="preserve">        External customers and guests raise tickets</t>
        </is>
      </c>
      <c r="E505" t="inlineStr">
        <is>
          <t>Step 3b · YukthiX Service Desk (ITSM + ESM)</t>
        </is>
      </c>
      <c r="F505" t="inlineStr">
        <is>
          <t>Self-service portal and email</t>
        </is>
      </c>
      <c r="G505" t="inlineStr">
        <is>
          <t>New</t>
        </is>
      </c>
      <c r="I505">
        <f>IF(H505&lt;&gt;"",H505,G505)</f>
        <v/>
      </c>
      <c r="J505" t="inlineStr">
        <is>
          <t>Step 3b-1</t>
        </is>
      </c>
      <c r="K505" t="n">
        <v>5</v>
      </c>
      <c r="L505" t="n">
        <v>1</v>
      </c>
      <c r="M505" s="5" t="inlineStr">
        <is>
          <t>As an external customer or guest, I want to raise and follow tickets, so that I get support without being an employee.</t>
        </is>
      </c>
      <c r="N505" s="5" t="inlineStr">
        <is>
          <t>• Given an external customer or guest, then they sign in with OTP and see only their own tickets (YX-SEC-21).
• Given external requesters, then they are free and never billed as agents.
• Given an external requester, then their account expires when no longer needed and access is audited (YX-SEC-21).</t>
        </is>
      </c>
      <c r="O505" s="5" t="inlineStr">
        <is>
          <t>YX-SEC-21</t>
        </is>
      </c>
      <c r="P505" t="inlineStr">
        <is>
          <t>M14 §10, M08 §7</t>
        </is>
      </c>
      <c r="Q505" t="inlineStr">
        <is>
          <t>US-B-099</t>
        </is>
      </c>
      <c r="R505" s="5" t="inlineStr"/>
    </row>
    <row r="506">
      <c r="A506" t="inlineStr">
        <is>
          <t>US-G-017</t>
        </is>
      </c>
      <c r="B506" t="n">
        <v>519.071</v>
      </c>
      <c r="C506" t="inlineStr">
        <is>
          <t>Story</t>
        </is>
      </c>
      <c r="D506" s="5" t="inlineStr">
        <is>
          <t xml:space="preserve">        Company sends desk email from its own domain and mailbox</t>
        </is>
      </c>
      <c r="E506" t="inlineStr">
        <is>
          <t>Step 3b · YukthiX Service Desk (ITSM + ESM)</t>
        </is>
      </c>
      <c r="F506" t="inlineStr">
        <is>
          <t>Self-service portal and email</t>
        </is>
      </c>
      <c r="G506" t="inlineStr">
        <is>
          <t>New</t>
        </is>
      </c>
      <c r="I506">
        <f>IF(H506&lt;&gt;"",H506,G506)</f>
        <v/>
      </c>
      <c r="J506" t="inlineStr">
        <is>
          <t>Step 3b-1</t>
        </is>
      </c>
      <c r="K506" t="n">
        <v>5</v>
      </c>
      <c r="L506" t="n">
        <v>1</v>
      </c>
      <c r="M506" s="5" t="inlineStr">
        <is>
          <t>As a desk admin, I want our own mailbox and sending domain, so that emails come from us and reach the inbox.</t>
        </is>
      </c>
      <c r="N506" s="5" t="inlineStr">
        <is>
          <t>• Given Microsoft 365 or Gmail, then the mailbox connects by OAuth for receiving and sending; SMTP / IMAP is also possible.
• Given a sending domain, then a wizard shows the SPF, DKIM and DMARC records and checks them.
• Given bounces, then the admin can see and clear the bounce list for desk addresses.
• Given a failed check, then sending falls back to our address and the admin is told.</t>
        </is>
      </c>
      <c r="O506" s="5" t="inlineStr"/>
      <c r="P506" t="inlineStr">
        <is>
          <t>M14 gap check</t>
        </is>
      </c>
      <c r="Q506" t="inlineStr">
        <is>
          <t>US-B-101</t>
        </is>
      </c>
      <c r="R506" s="5" t="inlineStr"/>
    </row>
    <row r="507">
      <c r="A507" t="inlineStr">
        <is>
          <t>US-G-018</t>
        </is>
      </c>
      <c r="B507" t="n">
        <v>519.143</v>
      </c>
      <c r="C507" t="inlineStr">
        <is>
          <t>Story</t>
        </is>
      </c>
      <c r="D507" s="5" t="inlineStr">
        <is>
          <t xml:space="preserve">        Desk admin filters and parses incoming email</t>
        </is>
      </c>
      <c r="E507" t="inlineStr">
        <is>
          <t>Step 3b · YukthiX Service Desk (ITSM + ESM)</t>
        </is>
      </c>
      <c r="F507" t="inlineStr">
        <is>
          <t>Self-service portal and email</t>
        </is>
      </c>
      <c r="G507" t="inlineStr">
        <is>
          <t>New</t>
        </is>
      </c>
      <c r="I507">
        <f>IF(H507&lt;&gt;"",H507,G507)</f>
        <v/>
      </c>
      <c r="J507" t="inlineStr">
        <is>
          <t>Step 3b-1</t>
        </is>
      </c>
      <c r="K507" t="n">
        <v>3</v>
      </c>
      <c r="L507" t="n">
        <v>2</v>
      </c>
      <c r="M507" s="5" t="inlineStr">
        <is>
          <t>As a desk admin, I want rules on incoming email, so that tickets arrive sorted and filled.</t>
        </is>
      </c>
      <c r="N507" s="5" t="inlineStr">
        <is>
          <t>• Given a filter on sender, domain, subject, header or pattern, then the email is routed, tagged, prioritised or rejected before it becomes a ticket.
• Given parsing rules (key: value lines or patterns), then values are copied into ticket fields.
• Given an address, then it can have a default template.</t>
        </is>
      </c>
      <c r="O507" s="5" t="inlineStr"/>
      <c r="P507" t="inlineStr">
        <is>
          <t>M14 gap check</t>
        </is>
      </c>
      <c r="Q507" t="inlineStr">
        <is>
          <t>US-B-101</t>
        </is>
      </c>
      <c r="R507" s="5" t="inlineStr"/>
    </row>
    <row r="508">
      <c r="A508" t="inlineStr">
        <is>
          <t>US-G-019</t>
        </is>
      </c>
      <c r="B508" t="n">
        <v>519.2140000000001</v>
      </c>
      <c r="C508" t="inlineStr">
        <is>
          <t>Story</t>
        </is>
      </c>
      <c r="D508" s="5" t="inlineStr">
        <is>
          <t xml:space="preserve">        Requester gets an acknowledgement and replies with commands</t>
        </is>
      </c>
      <c r="E508" t="inlineStr">
        <is>
          <t>Step 3b · YukthiX Service Desk (ITSM + ESM)</t>
        </is>
      </c>
      <c r="F508" t="inlineStr">
        <is>
          <t>Self-service portal and email</t>
        </is>
      </c>
      <c r="G508" t="inlineStr">
        <is>
          <t>New</t>
        </is>
      </c>
      <c r="I508">
        <f>IF(H508&lt;&gt;"",H508,G508)</f>
        <v/>
      </c>
      <c r="J508" t="inlineStr">
        <is>
          <t>Step 3b-1</t>
        </is>
      </c>
      <c r="K508" t="n">
        <v>3</v>
      </c>
      <c r="L508" t="n">
        <v>2</v>
      </c>
      <c r="M508" s="5" t="inlineStr">
        <is>
          <t>As a requester, I want an instant receipt and simple reply commands, so that I know my ticket number and can act by email.</t>
        </is>
      </c>
      <c r="N508" s="5" t="inlineStr">
        <is>
          <t>• Given a new email ticket, then an acknowledgement per team goes out with the number and suggested articles (YX-HD-04).
• Given a reply with a keyword such as 'close' or 'approve', then the ticket is updated if the sender is allowed.
• Given an agent reply with field keywords, then status, priority or assignee change.
• Given an unknown command, then nothing changes and the sender gets a short help reply.</t>
        </is>
      </c>
      <c r="O508" s="5" t="inlineStr">
        <is>
          <t>YX-HD-04</t>
        </is>
      </c>
      <c r="P508" t="inlineStr">
        <is>
          <t>M14 gap check</t>
        </is>
      </c>
      <c r="Q508" t="inlineStr"/>
      <c r="R508" s="5" t="inlineStr"/>
    </row>
    <row r="509">
      <c r="A509" t="inlineStr">
        <is>
          <t>US-G-020</t>
        </is>
      </c>
      <c r="B509" t="n">
        <v>519.2859999999999</v>
      </c>
      <c r="C509" t="inlineStr">
        <is>
          <t>Story</t>
        </is>
      </c>
      <c r="D509" s="5" t="inlineStr">
        <is>
          <t xml:space="preserve">        Agents post known-issue banners with a 'me too' button</t>
        </is>
      </c>
      <c r="E509" t="inlineStr">
        <is>
          <t>Step 3b · YukthiX Service Desk (ITSM + ESM)</t>
        </is>
      </c>
      <c r="F509" t="inlineStr">
        <is>
          <t>Self-service portal and email</t>
        </is>
      </c>
      <c r="G509" t="inlineStr">
        <is>
          <t>New</t>
        </is>
      </c>
      <c r="I509">
        <f>IF(H509&lt;&gt;"",H509,G509)</f>
        <v/>
      </c>
      <c r="J509" t="inlineStr">
        <is>
          <t>Step 3b-1</t>
        </is>
      </c>
      <c r="K509" t="n">
        <v>3</v>
      </c>
      <c r="L509" t="n">
        <v>1</v>
      </c>
      <c r="M509" s="5" t="inlineStr">
        <is>
          <t>As an agent, I want banners for known issues and maintenance, so that people do not raise the same ticket again.</t>
        </is>
      </c>
      <c r="N509" s="5" t="inlineStr">
        <is>
          <t>• Given a banner, then it shows on the portal and help drawer for the chosen audience or location.
• Given 'me too', then the requester is linked to the open incident instead of making a new ticket.
• Given a major incident, then a banner can be posted from it and ends when it is resolved.</t>
        </is>
      </c>
      <c r="O509" s="5" t="inlineStr"/>
      <c r="P509" t="inlineStr">
        <is>
          <t>M14 gap check</t>
        </is>
      </c>
      <c r="Q509" t="inlineStr"/>
      <c r="R509" s="5" t="inlineStr"/>
    </row>
    <row r="510">
      <c r="A510" t="inlineStr">
        <is>
          <t>US-G-021</t>
        </is>
      </c>
      <c r="B510" t="n">
        <v>519.357</v>
      </c>
      <c r="C510" t="inlineStr">
        <is>
          <t>Story</t>
        </is>
      </c>
      <c r="D510" s="5" t="inlineStr">
        <is>
          <t xml:space="preserve">        Public can raise tickets through an open portal safely</t>
        </is>
      </c>
      <c r="E510" t="inlineStr">
        <is>
          <t>Step 3b · YukthiX Service Desk (ITSM + ESM)</t>
        </is>
      </c>
      <c r="F510" t="inlineStr">
        <is>
          <t>Self-service portal and email</t>
        </is>
      </c>
      <c r="G510" t="inlineStr">
        <is>
          <t>New</t>
        </is>
      </c>
      <c r="I510">
        <f>IF(H510&lt;&gt;"",H510,G510)</f>
        <v/>
      </c>
      <c r="J510" t="inlineStr">
        <is>
          <t>Step 3b-1</t>
        </is>
      </c>
      <c r="K510" t="n">
        <v>3</v>
      </c>
      <c r="L510" t="n">
        <v>2</v>
      </c>
      <c r="M510" s="5" t="inlineStr">
        <is>
          <t>As a desk admin, I want an open portal for people without an account, so that the public can ask for help without abuse.</t>
        </is>
      </c>
      <c r="N510" s="5" t="inlineStr">
        <is>
          <t>• Given open portal mode, then a person submits with an email address and confirms by a link.
• Given a submission, then a bot check and per-sender rate limits apply.
• Given sign-up settings, then only allowed email domains can self-register, or sign-up is by invite only.</t>
        </is>
      </c>
      <c r="O510" s="5" t="inlineStr"/>
      <c r="P510" t="inlineStr">
        <is>
          <t>M14 gap check</t>
        </is>
      </c>
      <c r="Q510" t="inlineStr">
        <is>
          <t>US-B-103</t>
        </is>
      </c>
      <c r="R510" s="5" t="inlineStr"/>
    </row>
    <row r="511">
      <c r="A511" t="inlineStr">
        <is>
          <t>US-G-022</t>
        </is>
      </c>
      <c r="B511" t="n">
        <v>519.429</v>
      </c>
      <c r="C511" t="inlineStr">
        <is>
          <t>Story</t>
        </is>
      </c>
      <c r="D511" s="5" t="inlineStr">
        <is>
          <t xml:space="preserve">        Portal shows our look, my time zone and reading aids</t>
        </is>
      </c>
      <c r="E511" t="inlineStr">
        <is>
          <t>Step 3b · YukthiX Service Desk (ITSM + ESM)</t>
        </is>
      </c>
      <c r="F511" t="inlineStr">
        <is>
          <t>Self-service portal and email</t>
        </is>
      </c>
      <c r="G511" t="inlineStr">
        <is>
          <t>New</t>
        </is>
      </c>
      <c r="I511">
        <f>IF(H511&lt;&gt;"",H511,G511)</f>
        <v/>
      </c>
      <c r="J511" t="inlineStr">
        <is>
          <t>Step 3b-1</t>
        </is>
      </c>
      <c r="K511" t="n">
        <v>3</v>
      </c>
      <c r="L511" t="n">
        <v>2</v>
      </c>
      <c r="M511" s="5" t="inlineStr">
        <is>
          <t>As a requester, I want a portal that looks like my company and fits my needs, so that it is easy to use.</t>
        </is>
      </c>
      <c r="N511" s="5" t="inlineStr">
        <is>
          <t>• Given branding, then the login screen shows the company image and text and the portal uses its theme.
• Given my profile, then all dates and SLA times show in my time zone and locale.
• Given reading aids, then I can switch on a dyslexia-friendly font, reading mask, zoom and focus highlight.</t>
        </is>
      </c>
      <c r="O511" s="5" t="inlineStr"/>
      <c r="P511" t="inlineStr">
        <is>
          <t>M14 gap check</t>
        </is>
      </c>
      <c r="Q511" t="inlineStr"/>
      <c r="R511" s="5" t="inlineStr"/>
    </row>
    <row r="512">
      <c r="A512" s="9" t="inlineStr">
        <is>
          <t>FT-B-021</t>
        </is>
      </c>
      <c r="B512" s="9" t="n">
        <v>520</v>
      </c>
      <c r="C512" s="9" t="inlineStr">
        <is>
          <t>Feature</t>
        </is>
      </c>
      <c r="D512" s="10" t="inlineStr">
        <is>
          <t xml:space="preserve">    Knowledge base</t>
        </is>
      </c>
      <c r="E512" s="9" t="inlineStr">
        <is>
          <t>Step 3b · YukthiX Service Desk (ITSM + ESM)</t>
        </is>
      </c>
      <c r="F512" s="9" t="inlineStr">
        <is>
          <t>Knowledge base</t>
        </is>
      </c>
      <c r="G512" s="9" t="inlineStr">
        <is>
          <t>New</t>
        </is>
      </c>
      <c r="H512" s="9" t="n"/>
      <c r="I512" s="9">
        <f>IF(H512&lt;&gt;"",H512,G512)</f>
        <v/>
      </c>
      <c r="J512" s="9" t="inlineStr">
        <is>
          <t>Step 3b-1</t>
        </is>
      </c>
      <c r="K512" s="9" t="n"/>
      <c r="L512" s="9" t="n"/>
      <c r="M512" s="10" t="inlineStr"/>
      <c r="N512" s="10" t="inlineStr"/>
      <c r="O512" s="10" t="inlineStr">
        <is>
          <t>YX-HD-04, YX-GRO-07</t>
        </is>
      </c>
      <c r="P512" s="9" t="inlineStr">
        <is>
          <t>M14 §8, M08 YX-HD-04</t>
        </is>
      </c>
      <c r="Q512" s="9" t="inlineStr"/>
      <c r="R512" s="10" t="inlineStr"/>
      <c r="S512" s="9" t="n"/>
    </row>
    <row r="513">
      <c r="A513" t="inlineStr">
        <is>
          <t>US-B-104</t>
        </is>
      </c>
      <c r="B513" t="n">
        <v>520</v>
      </c>
      <c r="C513" t="inlineStr">
        <is>
          <t>Story</t>
        </is>
      </c>
      <c r="D513" s="5" t="inlineStr">
        <is>
          <t xml:space="preserve">        Agent writes and publishes knowledge articles</t>
        </is>
      </c>
      <c r="E513" t="inlineStr">
        <is>
          <t>Step 3b · YukthiX Service Desk (ITSM + ESM)</t>
        </is>
      </c>
      <c r="F513" t="inlineStr">
        <is>
          <t>Knowledge base</t>
        </is>
      </c>
      <c r="G513" t="inlineStr">
        <is>
          <t>New</t>
        </is>
      </c>
      <c r="I513">
        <f>IF(H513&lt;&gt;"",H513,G513)</f>
        <v/>
      </c>
      <c r="J513" t="inlineStr">
        <is>
          <t>Step 3b-1</t>
        </is>
      </c>
      <c r="K513" t="n">
        <v>5</v>
      </c>
      <c r="L513" t="n">
        <v>1</v>
      </c>
      <c r="M513" s="5" t="inlineStr">
        <is>
          <t>As a support agent, I want versioned articles with review, so that answers stay correct.</t>
        </is>
      </c>
      <c r="N513" s="5" t="inlineStr">
        <is>
          <t>• Given an article, then it has versions, a review and approval step, and a review-by date.
• Given an audience, then an article is either agent-only or public.
• Given the four launch languages, then each article can have translations.</t>
        </is>
      </c>
      <c r="O513" s="5" t="inlineStr"/>
      <c r="P513" t="inlineStr">
        <is>
          <t>M14 §8, M08 YX-HD-04</t>
        </is>
      </c>
      <c r="Q513" t="inlineStr">
        <is>
          <t>US-B-085</t>
        </is>
      </c>
      <c r="R513" s="5" t="inlineStr"/>
    </row>
    <row r="514">
      <c r="A514" t="inlineStr">
        <is>
          <t>US-B-105</t>
        </is>
      </c>
      <c r="B514" t="n">
        <v>521</v>
      </c>
      <c r="C514" t="inlineStr">
        <is>
          <t>Story</t>
        </is>
      </c>
      <c r="D514" s="5" t="inlineStr">
        <is>
          <t xml:space="preserve">        Requester sees suggested articles while typing</t>
        </is>
      </c>
      <c r="E514" t="inlineStr">
        <is>
          <t>Step 3b · YukthiX Service Desk (ITSM + ESM)</t>
        </is>
      </c>
      <c r="F514" t="inlineStr">
        <is>
          <t>Knowledge base</t>
        </is>
      </c>
      <c r="G514" t="inlineStr">
        <is>
          <t>New</t>
        </is>
      </c>
      <c r="I514">
        <f>IF(H514&lt;&gt;"",H514,G514)</f>
        <v/>
      </c>
      <c r="J514" t="inlineStr">
        <is>
          <t>Step 3b-1</t>
        </is>
      </c>
      <c r="K514" t="n">
        <v>3</v>
      </c>
      <c r="L514" t="n">
        <v>1</v>
      </c>
      <c r="M514" s="5" t="inlineStr">
        <is>
          <t>As an employee, I want articles suggested while I type, so that I may not need a ticket.</t>
        </is>
      </c>
      <c r="N514" s="5" t="inlineStr">
        <is>
          <t>• Given the requester types a subject, then matching articles are suggested (YX-HD-04).
• Given the requester clicks "This solved it", then no ticket is created and it counts as deflected (YX-HD-04).
• Given any article, then readers can say if it helped.</t>
        </is>
      </c>
      <c r="O514" s="5" t="inlineStr">
        <is>
          <t>YX-HD-04</t>
        </is>
      </c>
      <c r="P514" t="inlineStr">
        <is>
          <t>M14 §8, M08 YX-HD-04</t>
        </is>
      </c>
      <c r="Q514" t="inlineStr">
        <is>
          <t>US-B-104</t>
        </is>
      </c>
      <c r="R514" s="5" t="inlineStr"/>
    </row>
    <row r="515">
      <c r="A515" t="inlineStr">
        <is>
          <t>US-B-106</t>
        </is>
      </c>
      <c r="B515" t="n">
        <v>522</v>
      </c>
      <c r="C515" t="inlineStr">
        <is>
          <t>Story</t>
        </is>
      </c>
      <c r="D515" s="5" t="inlineStr">
        <is>
          <t xml:space="preserve">        Agent makes an article from a resolved ticket</t>
        </is>
      </c>
      <c r="E515" t="inlineStr">
        <is>
          <t>Step 3b · YukthiX Service Desk (ITSM + ESM)</t>
        </is>
      </c>
      <c r="F515" t="inlineStr">
        <is>
          <t>Knowledge base</t>
        </is>
      </c>
      <c r="G515" t="inlineStr">
        <is>
          <t>New</t>
        </is>
      </c>
      <c r="I515">
        <f>IF(H515&lt;&gt;"",H515,G515)</f>
        <v/>
      </c>
      <c r="J515" t="inlineStr">
        <is>
          <t>Step 3b-1</t>
        </is>
      </c>
      <c r="K515" t="n">
        <v>2</v>
      </c>
      <c r="L515" t="n">
        <v>1</v>
      </c>
      <c r="M515" s="5" t="inlineStr">
        <is>
          <t>As an agent, I want to turn a good answer into an article in one click, so that others benefit.</t>
        </is>
      </c>
      <c r="N515" s="5" t="inlineStr">
        <is>
          <t>• Given a resolved ticket, when the agent clicks "Create article", then a draft is made from the question and answer, without the requester's personal data.
• Given the draft, then it follows the normal review flow.
• Given the new article, then it links back to the source ticket for agents only.</t>
        </is>
      </c>
      <c r="O515" s="5" t="inlineStr"/>
      <c r="P515" t="inlineStr">
        <is>
          <t>M14 §8, M08 YX-HD-04</t>
        </is>
      </c>
      <c r="Q515" t="inlineStr">
        <is>
          <t>US-B-104</t>
        </is>
      </c>
      <c r="R515" s="5" t="inlineStr"/>
    </row>
    <row r="516">
      <c r="A516" t="inlineStr">
        <is>
          <t>US-B-107</t>
        </is>
      </c>
      <c r="B516" t="n">
        <v>523</v>
      </c>
      <c r="C516" t="inlineStr">
        <is>
          <t>Story</t>
        </is>
      </c>
      <c r="D516" s="5" t="inlineStr">
        <is>
          <t xml:space="preserve">        Public help centre runs on the knowledge base</t>
        </is>
      </c>
      <c r="E516" t="inlineStr">
        <is>
          <t>Step 3b · YukthiX Service Desk (ITSM + ESM)</t>
        </is>
      </c>
      <c r="F516" t="inlineStr">
        <is>
          <t>Knowledge base</t>
        </is>
      </c>
      <c r="G516" t="inlineStr">
        <is>
          <t>New</t>
        </is>
      </c>
      <c r="I516">
        <f>IF(H516&lt;&gt;"",H516,G516)</f>
        <v/>
      </c>
      <c r="J516" t="inlineStr">
        <is>
          <t>Step 3b-1</t>
        </is>
      </c>
      <c r="K516" t="n">
        <v>5</v>
      </c>
      <c r="L516" t="n">
        <v>1</v>
      </c>
      <c r="M516" s="5" t="inlineStr">
        <is>
          <t>As a standalone Service Desk customer, I want a public help centre for my own customers, so that they help themselves.</t>
        </is>
      </c>
      <c r="N516" s="5" t="inlineStr">
        <is>
          <t>• Given public articles, then they show on the company's public help centre with search.
• Given YukthiX's own help.yukthix.com, then it moves onto this engine and keeps every YX-GRO-07 behaviour (CI check, languages, review flags) (YX-GRO-07).
• Given search terms, then they are logged without user ids (YX-GRO-07).</t>
        </is>
      </c>
      <c r="O516" s="5" t="inlineStr">
        <is>
          <t>YX-GRO-07</t>
        </is>
      </c>
      <c r="P516" t="inlineStr">
        <is>
          <t>M14 §8, M08 YX-HD-04</t>
        </is>
      </c>
      <c r="Q516" t="inlineStr">
        <is>
          <t>US-B-104, US-B-075</t>
        </is>
      </c>
      <c r="R516" s="5" t="inlineStr"/>
    </row>
    <row r="517">
      <c r="A517" t="inlineStr">
        <is>
          <t>US-G-023</t>
        </is>
      </c>
      <c r="B517" t="n">
        <v>523.125</v>
      </c>
      <c r="C517" t="inlineStr">
        <is>
          <t>Story</t>
        </is>
      </c>
      <c r="D517" s="5" t="inlineStr">
        <is>
          <t xml:space="preserve">        Agent links articles in replies and flags outdated ones</t>
        </is>
      </c>
      <c r="E517" t="inlineStr">
        <is>
          <t>Step 3b · YukthiX Service Desk (ITSM + ESM)</t>
        </is>
      </c>
      <c r="F517" t="inlineStr">
        <is>
          <t>Knowledge base</t>
        </is>
      </c>
      <c r="G517" t="inlineStr">
        <is>
          <t>New</t>
        </is>
      </c>
      <c r="I517">
        <f>IF(H517&lt;&gt;"",H517,G517)</f>
        <v/>
      </c>
      <c r="J517" t="inlineStr">
        <is>
          <t>Step 3b-1</t>
        </is>
      </c>
      <c r="K517" t="n">
        <v>3</v>
      </c>
      <c r="L517" t="n">
        <v>1</v>
      </c>
      <c r="M517" s="5" t="inlineStr">
        <is>
          <t>As an agent, I want to insert articles and flag bad ones from the ticket, so that knowledge stays used and correct.</t>
        </is>
      </c>
      <c r="N517" s="5" t="inlineStr">
        <is>
          <t>• Given a reply, then I insert an article link in one click.
• Given a resolved ticket, then it records which article solved it and the article reuse count goes up.
• Given an outdated article, when I flag it, then the author gets a task.
• Given an article, then authors see a health score from use, feedback and flags.</t>
        </is>
      </c>
      <c r="O517" s="5" t="inlineStr"/>
      <c r="P517" t="inlineStr">
        <is>
          <t>M14 gap check</t>
        </is>
      </c>
      <c r="Q517" t="inlineStr">
        <is>
          <t>US-B-104</t>
        </is>
      </c>
      <c r="R517" s="5" t="inlineStr"/>
    </row>
    <row r="518">
      <c r="A518" t="inlineStr">
        <is>
          <t>US-G-024</t>
        </is>
      </c>
      <c r="B518" t="n">
        <v>523.25</v>
      </c>
      <c r="C518" t="inlineStr">
        <is>
          <t>Story</t>
        </is>
      </c>
      <c r="D518" s="5" t="inlineStr">
        <is>
          <t xml:space="preserve">        Knowledge lead sees content gaps from searches</t>
        </is>
      </c>
      <c r="E518" t="inlineStr">
        <is>
          <t>Step 3b · YukthiX Service Desk (ITSM + ESM)</t>
        </is>
      </c>
      <c r="F518" t="inlineStr">
        <is>
          <t>Knowledge base</t>
        </is>
      </c>
      <c r="G518" t="inlineStr">
        <is>
          <t>New</t>
        </is>
      </c>
      <c r="I518">
        <f>IF(H518&lt;&gt;"",H518,G518)</f>
        <v/>
      </c>
      <c r="J518" t="inlineStr">
        <is>
          <t>Step 3b-1</t>
        </is>
      </c>
      <c r="K518" t="n">
        <v>2</v>
      </c>
      <c r="L518" t="n">
        <v>2</v>
      </c>
      <c r="M518" s="5" t="inlineStr">
        <is>
          <t>As a knowledge lead, I want a list of searches with no answer, so that we write the articles people need.</t>
        </is>
      </c>
      <c r="N518" s="5" t="inlineStr">
        <is>
          <t>• Given searches with no result or no click, then they are grouped by topic in a report.
• Given tickets closed without an article, then their topics are listed too.
• Given a gap, then it can become an article-request task. Search terms stay without user ids (YX-GRO-07).</t>
        </is>
      </c>
      <c r="O518" s="5" t="inlineStr">
        <is>
          <t>YX-GRO-07</t>
        </is>
      </c>
      <c r="P518" t="inlineStr">
        <is>
          <t>M14 gap check</t>
        </is>
      </c>
      <c r="Q518" t="inlineStr"/>
      <c r="R518" s="5" t="inlineStr"/>
    </row>
    <row r="519">
      <c r="A519" t="inlineStr">
        <is>
          <t>US-G-025</t>
        </is>
      </c>
      <c r="B519" t="n">
        <v>523.375</v>
      </c>
      <c r="C519" t="inlineStr">
        <is>
          <t>Story</t>
        </is>
      </c>
      <c r="D519" s="5" t="inlineStr">
        <is>
          <t xml:space="preserve">        Author uses article templates and reusable blocks</t>
        </is>
      </c>
      <c r="E519" t="inlineStr">
        <is>
          <t>Step 3b · YukthiX Service Desk (ITSM + ESM)</t>
        </is>
      </c>
      <c r="F519" t="inlineStr">
        <is>
          <t>Knowledge base</t>
        </is>
      </c>
      <c r="G519" t="inlineStr">
        <is>
          <t>New</t>
        </is>
      </c>
      <c r="I519">
        <f>IF(H519&lt;&gt;"",H519,G519)</f>
        <v/>
      </c>
      <c r="J519" t="inlineStr">
        <is>
          <t>Step 3b-1</t>
        </is>
      </c>
      <c r="K519" t="n">
        <v>2</v>
      </c>
      <c r="L519" t="n">
        <v>3</v>
      </c>
      <c r="M519" s="5" t="inlineStr">
        <is>
          <t>As an author, I want templates and shared text blocks, so that articles are fast to write and easy to keep right.</t>
        </is>
      </c>
      <c r="N519" s="5" t="inlineStr">
        <is>
          <t>• Given templates (how-to, troubleshooting, FAQ), then a new article starts from one.
• Given a content block such as office address, when it changes, then every article using it shows the new text.
• Given a category, then articles can be pinned or featured and carry video and files.</t>
        </is>
      </c>
      <c r="O519" s="5" t="inlineStr"/>
      <c r="P519" t="inlineStr">
        <is>
          <t>M14 gap check</t>
        </is>
      </c>
      <c r="Q519" t="inlineStr"/>
      <c r="R519" s="5" t="inlineStr"/>
    </row>
    <row r="520">
      <c r="A520" s="9" t="inlineStr">
        <is>
          <t>FT-B-022</t>
        </is>
      </c>
      <c r="B520" s="9" t="n">
        <v>524</v>
      </c>
      <c r="C520" s="9" t="inlineStr">
        <is>
          <t>Feature</t>
        </is>
      </c>
      <c r="D520" s="10" t="inlineStr">
        <is>
          <t xml:space="preserve">    Customer satisfaction</t>
        </is>
      </c>
      <c r="E520" s="9" t="inlineStr">
        <is>
          <t>Step 3b · YukthiX Service Desk (ITSM + ESM)</t>
        </is>
      </c>
      <c r="F520" s="9" t="inlineStr">
        <is>
          <t>Customer satisfaction</t>
        </is>
      </c>
      <c r="G520" s="9" t="inlineStr">
        <is>
          <t>New</t>
        </is>
      </c>
      <c r="H520" s="9" t="n"/>
      <c r="I520" s="9">
        <f>IF(H520&lt;&gt;"",H520,G520)</f>
        <v/>
      </c>
      <c r="J520" s="9" t="inlineStr">
        <is>
          <t>Step 3b-1</t>
        </is>
      </c>
      <c r="K520" s="9" t="n"/>
      <c r="L520" s="9" t="n"/>
      <c r="M520" s="10" t="inlineStr"/>
      <c r="N520" s="10" t="inlineStr"/>
      <c r="O520" s="10" t="inlineStr">
        <is>
          <t>YX-HD-05, YX-CONSOLE-05</t>
        </is>
      </c>
      <c r="P520" s="9" t="inlineStr">
        <is>
          <t>M14 §18, M08 YX-HD-05</t>
        </is>
      </c>
      <c r="Q520" s="9" t="inlineStr"/>
      <c r="R520" s="10" t="inlineStr"/>
      <c r="S520" s="9" t="n"/>
    </row>
    <row r="521">
      <c r="A521" t="inlineStr">
        <is>
          <t>US-B-108</t>
        </is>
      </c>
      <c r="B521" t="n">
        <v>524</v>
      </c>
      <c r="C521" t="inlineStr">
        <is>
          <t>Story</t>
        </is>
      </c>
      <c r="D521" s="5" t="inlineStr">
        <is>
          <t xml:space="preserve">        Requester rates a closed ticket</t>
        </is>
      </c>
      <c r="E521" t="inlineStr">
        <is>
          <t>Step 3b · YukthiX Service Desk (ITSM + ESM)</t>
        </is>
      </c>
      <c r="F521" t="inlineStr">
        <is>
          <t>Customer satisfaction</t>
        </is>
      </c>
      <c r="G521" t="inlineStr">
        <is>
          <t>New</t>
        </is>
      </c>
      <c r="I521">
        <f>IF(H521&lt;&gt;"",H521,G521)</f>
        <v/>
      </c>
      <c r="J521" t="inlineStr">
        <is>
          <t>Step 3b-1</t>
        </is>
      </c>
      <c r="K521" t="n">
        <v>3</v>
      </c>
      <c r="L521" t="n">
        <v>1</v>
      </c>
      <c r="M521" s="5" t="inlineStr">
        <is>
          <t>As a requester, I want to rate the help I got, so that the team can improve.</t>
        </is>
      </c>
      <c r="N521" s="5" t="inlineStr">
        <is>
          <t>• Given a ticket closes, then a satisfaction rating is asked for (YX-HD-05).
• Given a bad rating, then the team lead gets a follow-up task.
• Given ratings, then CSAT per agent and queue shows in reports.</t>
        </is>
      </c>
      <c r="O521" s="5" t="inlineStr">
        <is>
          <t>YX-HD-05</t>
        </is>
      </c>
      <c r="P521" t="inlineStr">
        <is>
          <t>M14 §18, M08 YX-HD-05</t>
        </is>
      </c>
      <c r="Q521" t="inlineStr">
        <is>
          <t>US-B-088</t>
        </is>
      </c>
      <c r="R521" s="5" t="inlineStr"/>
    </row>
    <row r="522">
      <c r="A522" t="inlineStr">
        <is>
          <t>US-B-109</t>
        </is>
      </c>
      <c r="B522" t="n">
        <v>525</v>
      </c>
      <c r="C522" t="inlineStr">
        <is>
          <t>Story</t>
        </is>
      </c>
      <c r="D522" s="5" t="inlineStr">
        <is>
          <t xml:space="preserve">        Desk admin runs NPS surveys</t>
        </is>
      </c>
      <c r="E522" t="inlineStr">
        <is>
          <t>Step 3b · YukthiX Service Desk (ITSM + ESM)</t>
        </is>
      </c>
      <c r="F522" t="inlineStr">
        <is>
          <t>Customer satisfaction</t>
        </is>
      </c>
      <c r="G522" t="inlineStr">
        <is>
          <t>New</t>
        </is>
      </c>
      <c r="I522">
        <f>IF(H522&lt;&gt;"",H522,G522)</f>
        <v/>
      </c>
      <c r="J522" t="inlineStr">
        <is>
          <t>Step 3b-1</t>
        </is>
      </c>
      <c r="K522" t="n">
        <v>3</v>
      </c>
      <c r="L522" t="n">
        <v>2</v>
      </c>
      <c r="M522" s="5" t="inlineStr">
        <is>
          <t>As a desk admin, I want NPS surveys on a schedule, so that we know how customers feel overall.</t>
        </is>
      </c>
      <c r="N522" s="5" t="inlineStr">
        <is>
          <t>• Given a survey schedule, then requesters get at most one NPS survey in the set period.
• Given YukthiX's own support, then NPS results feed the customer health score (YX-CONSOLE-05).
• Given a detractor score, then a follow-up task goes to the account owner.</t>
        </is>
      </c>
      <c r="O522" s="5" t="inlineStr">
        <is>
          <t>YX-CONSOLE-05</t>
        </is>
      </c>
      <c r="P522" t="inlineStr">
        <is>
          <t>M14 §18, M08 YX-HD-05</t>
        </is>
      </c>
      <c r="Q522" t="inlineStr">
        <is>
          <t>US-B-108</t>
        </is>
      </c>
      <c r="R522" s="5" t="inlineStr"/>
    </row>
    <row r="523">
      <c r="A523" s="9" t="inlineStr">
        <is>
          <t>FT-B-023</t>
        </is>
      </c>
      <c r="B523" s="9" t="n">
        <v>526</v>
      </c>
      <c r="C523" s="9" t="inlineStr">
        <is>
          <t>Feature</t>
        </is>
      </c>
      <c r="D523" s="10" t="inlineStr">
        <is>
          <t xml:space="preserve">    Core reports</t>
        </is>
      </c>
      <c r="E523" s="9" t="inlineStr">
        <is>
          <t>Step 3b · YukthiX Service Desk (ITSM + ESM)</t>
        </is>
      </c>
      <c r="F523" s="9" t="inlineStr">
        <is>
          <t>Core reports</t>
        </is>
      </c>
      <c r="G523" s="9" t="inlineStr">
        <is>
          <t>New</t>
        </is>
      </c>
      <c r="H523" s="9" t="n"/>
      <c r="I523" s="9">
        <f>IF(H523&lt;&gt;"",H523,G523)</f>
        <v/>
      </c>
      <c r="J523" s="9" t="inlineStr">
        <is>
          <t>Step 3b-1</t>
        </is>
      </c>
      <c r="K523" s="9" t="n"/>
      <c r="L523" s="9" t="n"/>
      <c r="M523" s="10" t="inlineStr"/>
      <c r="N523" s="10" t="inlineStr"/>
      <c r="O523" s="10" t="inlineStr">
        <is>
          <t>YX-HD-03, YX-HD-04</t>
        </is>
      </c>
      <c r="P523" s="9" t="inlineStr">
        <is>
          <t>M14 §19, P09</t>
        </is>
      </c>
      <c r="Q523" s="9" t="inlineStr"/>
      <c r="R523" s="10" t="inlineStr"/>
      <c r="S523" s="9" t="n"/>
    </row>
    <row r="524">
      <c r="A524" t="inlineStr">
        <is>
          <t>US-B-110</t>
        </is>
      </c>
      <c r="B524" t="n">
        <v>526</v>
      </c>
      <c r="C524" t="inlineStr">
        <is>
          <t>Story</t>
        </is>
      </c>
      <c r="D524" s="5" t="inlineStr">
        <is>
          <t xml:space="preserve">        Team lead sees ready dashboards</t>
        </is>
      </c>
      <c r="E524" t="inlineStr">
        <is>
          <t>Step 3b · YukthiX Service Desk (ITSM + ESM)</t>
        </is>
      </c>
      <c r="F524" t="inlineStr">
        <is>
          <t>Core reports</t>
        </is>
      </c>
      <c r="G524" t="inlineStr">
        <is>
          <t>New</t>
        </is>
      </c>
      <c r="I524">
        <f>IF(H524&lt;&gt;"",H524,G524)</f>
        <v/>
      </c>
      <c r="J524" t="inlineStr">
        <is>
          <t>Step 3b-1</t>
        </is>
      </c>
      <c r="K524" t="n">
        <v>5</v>
      </c>
      <c r="L524" t="n">
        <v>1</v>
      </c>
      <c r="M524" s="5" t="inlineStr">
        <is>
          <t>As a team lead, I want ready dashboards, so that I see the team's work at a glance.</t>
        </is>
      </c>
      <c r="N524" s="5" t="inlineStr">
        <is>
          <t>• Given the dashboards, then they show backlog, ageing, SLA, first-contact resolution, agent performance, deflection and MTTA / MTTR.
• Given a lead, then they see only their own queues unless they have wider rights.
• Given sensitive queues, then numbers show but ticket details stay hidden from others (YX-HD-03).</t>
        </is>
      </c>
      <c r="O524" s="5" t="inlineStr">
        <is>
          <t>YX-HD-03, YX-HD-04</t>
        </is>
      </c>
      <c r="P524" t="inlineStr">
        <is>
          <t>M14 §19, P09</t>
        </is>
      </c>
      <c r="Q524" t="inlineStr">
        <is>
          <t>US-B-096, US-B-105</t>
        </is>
      </c>
      <c r="R524" s="5" t="inlineStr"/>
    </row>
    <row r="525">
      <c r="A525" t="inlineStr">
        <is>
          <t>US-B-111</t>
        </is>
      </c>
      <c r="B525" t="n">
        <v>527</v>
      </c>
      <c r="C525" t="inlineStr">
        <is>
          <t>Story</t>
        </is>
      </c>
      <c r="D525" s="5" t="inlineStr">
        <is>
          <t xml:space="preserve">        Lead builds custom and scheduled reports</t>
        </is>
      </c>
      <c r="E525" t="inlineStr">
        <is>
          <t>Step 3b · YukthiX Service Desk (ITSM + ESM)</t>
        </is>
      </c>
      <c r="F525" t="inlineStr">
        <is>
          <t>Core reports</t>
        </is>
      </c>
      <c r="G525" t="inlineStr">
        <is>
          <t>New</t>
        </is>
      </c>
      <c r="I525">
        <f>IF(H525&lt;&gt;"",H525,G525)</f>
        <v/>
      </c>
      <c r="J525" t="inlineStr">
        <is>
          <t>Step 3b-1</t>
        </is>
      </c>
      <c r="K525" t="n">
        <v>3</v>
      </c>
      <c r="L525" t="n">
        <v>2</v>
      </c>
      <c r="M525" s="5" t="inlineStr">
        <is>
          <t>As a team lead, I want custom reports sent by email on a schedule, so that managers get updates without asking.</t>
        </is>
      </c>
      <c r="N525" s="5" t="inlineStr">
        <is>
          <t>• Given the P09 report builder, then the lead can make a ticket report with chosen fields and filters.
• Given a schedule, then the report is emailed and the recipient's rights are checked.
• Given any report, then it can be exported to CSV / XLSX.</t>
        </is>
      </c>
      <c r="O525" s="5" t="inlineStr"/>
      <c r="P525" t="inlineStr">
        <is>
          <t>M14 §19, P09</t>
        </is>
      </c>
      <c r="Q525" t="inlineStr">
        <is>
          <t>US-B-110</t>
        </is>
      </c>
      <c r="R525" s="5" t="inlineStr"/>
    </row>
    <row r="526">
      <c r="A526" t="inlineStr">
        <is>
          <t>US-G-026</t>
        </is>
      </c>
      <c r="B526" t="n">
        <v>527.125</v>
      </c>
      <c r="C526" t="inlineStr">
        <is>
          <t>Story</t>
        </is>
      </c>
      <c r="D526" s="5" t="inlineStr">
        <is>
          <t xml:space="preserve">        Desk keeps daily KPI snapshots with targets</t>
        </is>
      </c>
      <c r="E526" t="inlineStr">
        <is>
          <t>Step 3b · YukthiX Service Desk (ITSM + ESM)</t>
        </is>
      </c>
      <c r="F526" t="inlineStr">
        <is>
          <t>Core reports</t>
        </is>
      </c>
      <c r="G526" t="inlineStr">
        <is>
          <t>New</t>
        </is>
      </c>
      <c r="I526">
        <f>IF(H526&lt;&gt;"",H526,G526)</f>
        <v/>
      </c>
      <c r="J526" t="inlineStr">
        <is>
          <t>Step 3b-1</t>
        </is>
      </c>
      <c r="K526" t="n">
        <v>5</v>
      </c>
      <c r="L526" t="n">
        <v>1</v>
      </c>
      <c r="M526" s="5" t="inlineStr">
        <is>
          <t>As a team lead, I want KPIs stored every day with targets, so that I see trends that cannot be rebuilt later.</t>
        </is>
      </c>
      <c r="N526" s="5" t="inlineStr">
        <is>
          <t>• Given the desk is live, then key KPIs are saved every day from day one.
• Given a KPI, then it has a target and red / amber / green limits.
• Given history, then trend lines and a simple forecast are shown.
• Given a practice (incident, request, change), then a scorecard shows its KPIs.</t>
        </is>
      </c>
      <c r="O526" s="5" t="inlineStr"/>
      <c r="P526" t="inlineStr">
        <is>
          <t>M14 gap check</t>
        </is>
      </c>
      <c r="Q526" t="inlineStr"/>
      <c r="R526" s="5" t="inlineStr"/>
    </row>
    <row r="527">
      <c r="A527" t="inlineStr">
        <is>
          <t>US-G-027</t>
        </is>
      </c>
      <c r="B527" t="n">
        <v>527.25</v>
      </c>
      <c r="C527" t="inlineStr">
        <is>
          <t>Story</t>
        </is>
      </c>
      <c r="D527" s="5" t="inlineStr">
        <is>
          <t xml:space="preserve">        Lead uses a ready report library and time-in-status reports</t>
        </is>
      </c>
      <c r="E527" t="inlineStr">
        <is>
          <t>Step 3b · YukthiX Service Desk (ITSM + ESM)</t>
        </is>
      </c>
      <c r="F527" t="inlineStr">
        <is>
          <t>Core reports</t>
        </is>
      </c>
      <c r="G527" t="inlineStr">
        <is>
          <t>New</t>
        </is>
      </c>
      <c r="I527">
        <f>IF(H527&lt;&gt;"",H527,G527)</f>
        <v/>
      </c>
      <c r="J527" t="inlineStr">
        <is>
          <t>Step 3b-1</t>
        </is>
      </c>
      <c r="K527" t="n">
        <v>5</v>
      </c>
      <c r="L527" t="n">
        <v>2</v>
      </c>
      <c r="M527" s="5" t="inlineStr">
        <is>
          <t>As a team lead, I want many ready reports, so that I do not build common reports myself.</t>
        </is>
      </c>
      <c r="N527" s="5" t="inlineStr">
        <is>
          <t>• Given the library, then reports are grouped by practice (incident, request, change, asset, licence, SLA, agent).
• Given an agent, group or requester, then a 360 report shows their tickets, times and ratings.
• Given time-in-status, then I see time per status, team and approval step and where tickets get stuck or skip steps.</t>
        </is>
      </c>
      <c r="O527" s="5" t="inlineStr"/>
      <c r="P527" t="inlineStr">
        <is>
          <t>M14 gap check</t>
        </is>
      </c>
      <c r="Q527" t="inlineStr"/>
      <c r="R527" s="5" t="inlineStr"/>
    </row>
    <row r="528">
      <c r="A528" t="inlineStr">
        <is>
          <t>US-G-028</t>
        </is>
      </c>
      <c r="B528" t="n">
        <v>527.375</v>
      </c>
      <c r="C528" t="inlineStr">
        <is>
          <t>Story</t>
        </is>
      </c>
      <c r="D528" s="5" t="inlineStr">
        <is>
          <t xml:space="preserve">        Team shows live boards on a wall screen</t>
        </is>
      </c>
      <c r="E528" t="inlineStr">
        <is>
          <t>Step 3b · YukthiX Service Desk (ITSM + ESM)</t>
        </is>
      </c>
      <c r="F528" t="inlineStr">
        <is>
          <t>Core reports</t>
        </is>
      </c>
      <c r="G528" t="inlineStr">
        <is>
          <t>New</t>
        </is>
      </c>
      <c r="I528">
        <f>IF(H528&lt;&gt;"",H528,G528)</f>
        <v/>
      </c>
      <c r="J528" t="inlineStr">
        <is>
          <t>Step 3b-1</t>
        </is>
      </c>
      <c r="K528" t="n">
        <v>3</v>
      </c>
      <c r="L528" t="n">
        <v>2</v>
      </c>
      <c r="M528" s="5" t="inlineStr">
        <is>
          <t>As a team lead, I want a live board for the team screen, so that everyone sees the queue.</t>
        </is>
      </c>
      <c r="N528" s="5" t="inlineStr">
        <is>
          <t>• Given TV mode, then queue and SLA boards refresh by themselves full screen.
• Given a threshold such as a backlog spike, then the lead gets an alert.
• Given a wall screen, then it signs in with a view-only link that shows no ticket text.</t>
        </is>
      </c>
      <c r="O528" s="5" t="inlineStr"/>
      <c r="P528" t="inlineStr">
        <is>
          <t>M14 gap check</t>
        </is>
      </c>
      <c r="Q528" t="inlineStr"/>
      <c r="R528" s="5" t="inlineStr"/>
    </row>
    <row r="529">
      <c r="A529" s="9" t="inlineStr">
        <is>
          <t>FT-B-024</t>
        </is>
      </c>
      <c r="B529" s="9" t="n">
        <v>528</v>
      </c>
      <c r="C529" s="9" t="inlineStr">
        <is>
          <t>Feature</t>
        </is>
      </c>
      <c r="D529" s="10" t="inlineStr">
        <is>
          <t xml:space="preserve">    Desk roles, security and audit</t>
        </is>
      </c>
      <c r="E529" s="9" t="inlineStr">
        <is>
          <t>Step 3b · YukthiX Service Desk (ITSM + ESM)</t>
        </is>
      </c>
      <c r="F529" s="9" t="inlineStr">
        <is>
          <t>Desk roles, security and audit</t>
        </is>
      </c>
      <c r="G529" s="9" t="inlineStr">
        <is>
          <t>New</t>
        </is>
      </c>
      <c r="H529" s="9" t="n"/>
      <c r="I529" s="9">
        <f>IF(H529&lt;&gt;"",H529,G529)</f>
        <v/>
      </c>
      <c r="J529" s="9" t="inlineStr">
        <is>
          <t>Step 3b-1</t>
        </is>
      </c>
      <c r="K529" s="9" t="n"/>
      <c r="L529" s="9" t="n"/>
      <c r="M529" s="10" t="inlineStr"/>
      <c r="N529" s="10" t="inlineStr"/>
      <c r="O529" s="10" t="inlineStr"/>
      <c r="P529" s="9" t="inlineStr">
        <is>
          <t>M14 §20, P02, P12</t>
        </is>
      </c>
      <c r="Q529" s="9" t="inlineStr"/>
      <c r="R529" s="10" t="inlineStr"/>
      <c r="S529" s="9" t="n"/>
    </row>
    <row r="530">
      <c r="A530" t="inlineStr">
        <is>
          <t>US-B-112</t>
        </is>
      </c>
      <c r="B530" t="n">
        <v>528</v>
      </c>
      <c r="C530" t="inlineStr">
        <is>
          <t>Story</t>
        </is>
      </c>
      <c r="D530" s="5" t="inlineStr">
        <is>
          <t xml:space="preserve">        Desk admin assigns desk roles</t>
        </is>
      </c>
      <c r="E530" t="inlineStr">
        <is>
          <t>Step 3b · YukthiX Service Desk (ITSM + ESM)</t>
        </is>
      </c>
      <c r="F530" t="inlineStr">
        <is>
          <t>Desk roles, security and audit</t>
        </is>
      </c>
      <c r="G530" t="inlineStr">
        <is>
          <t>New</t>
        </is>
      </c>
      <c r="I530">
        <f>IF(H530&lt;&gt;"",H530,G530)</f>
        <v/>
      </c>
      <c r="J530" t="inlineStr">
        <is>
          <t>Step 3b-1</t>
        </is>
      </c>
      <c r="K530" t="n">
        <v>5</v>
      </c>
      <c r="L530" t="n">
        <v>1</v>
      </c>
      <c r="M530" s="5" t="inlineStr">
        <is>
          <t>As a desk admin, I want roles for requester, agent, team lead, change manager, CAB member, asset manager and admin, so that people see only what they need.</t>
        </is>
      </c>
      <c r="N530" s="5" t="inlineStr">
        <is>
          <t>• Given each role, then its rights are fixed and shown before it is given.
• Given field and record permissions, then hidden fields never reach the browser.
• Given any role change, then it is audited.</t>
        </is>
      </c>
      <c r="O530" s="5" t="inlineStr"/>
      <c r="P530" t="inlineStr">
        <is>
          <t>M14 §20, P02, P12</t>
        </is>
      </c>
      <c r="Q530" t="inlineStr">
        <is>
          <t>US-B-085</t>
        </is>
      </c>
      <c r="R530" s="5" t="inlineStr"/>
    </row>
    <row r="531">
      <c r="A531" t="inlineStr">
        <is>
          <t>US-B-113</t>
        </is>
      </c>
      <c r="B531" t="n">
        <v>529</v>
      </c>
      <c r="C531" t="inlineStr">
        <is>
          <t>Story</t>
        </is>
      </c>
      <c r="D531" s="5" t="inlineStr">
        <is>
          <t xml:space="preserve">        Every desk table is isolated per company and audited</t>
        </is>
      </c>
      <c r="E531" t="inlineStr">
        <is>
          <t>Step 3b · YukthiX Service Desk (ITSM + ESM)</t>
        </is>
      </c>
      <c r="F531" t="inlineStr">
        <is>
          <t>Desk roles, security and audit</t>
        </is>
      </c>
      <c r="G531" t="inlineStr">
        <is>
          <t>New</t>
        </is>
      </c>
      <c r="I531">
        <f>IF(H531&lt;&gt;"",H531,G531)</f>
        <v/>
      </c>
      <c r="J531" t="inlineStr">
        <is>
          <t>Step 3b-1</t>
        </is>
      </c>
      <c r="K531" t="n">
        <v>5</v>
      </c>
      <c r="L531" t="n">
        <v>1</v>
      </c>
      <c r="M531" s="5" t="inlineStr">
        <is>
          <t>As a company admin, I want our desk data walled off from other companies, so that no one else sees it.</t>
        </is>
      </c>
      <c r="N531" s="5" t="inlineStr">
        <is>
          <t>• Given any desk table, then it has forced row-level security per company.
• Given any change to a ticket, asset or setting, then an audit entry is written (P08).
• Given retention rules, then closed tickets are kept or deleted per the company setting.</t>
        </is>
      </c>
      <c r="O531" s="5" t="inlineStr"/>
      <c r="P531" t="inlineStr">
        <is>
          <t>M14 §20, P02, P12</t>
        </is>
      </c>
      <c r="Q531" t="inlineStr"/>
      <c r="R531" s="5" t="inlineStr"/>
    </row>
    <row r="532">
      <c r="A532" t="inlineStr">
        <is>
          <t>US-B-114</t>
        </is>
      </c>
      <c r="B532" t="n">
        <v>530</v>
      </c>
      <c r="C532" t="inlineStr">
        <is>
          <t>Story</t>
        </is>
      </c>
      <c r="D532" s="5" t="inlineStr">
        <is>
          <t xml:space="preserve">        Agents sign in with SSO and MFA</t>
        </is>
      </c>
      <c r="E532" t="inlineStr">
        <is>
          <t>Step 3b · YukthiX Service Desk (ITSM + ESM)</t>
        </is>
      </c>
      <c r="F532" t="inlineStr">
        <is>
          <t>Desk roles, security and audit</t>
        </is>
      </c>
      <c r="G532" t="inlineStr">
        <is>
          <t>New</t>
        </is>
      </c>
      <c r="I532">
        <f>IF(H532&lt;&gt;"",H532,G532)</f>
        <v/>
      </c>
      <c r="J532" t="inlineStr">
        <is>
          <t>Step 3b-1</t>
        </is>
      </c>
      <c r="K532" t="n">
        <v>2</v>
      </c>
      <c r="L532" t="n">
        <v>1</v>
      </c>
      <c r="M532" s="5" t="inlineStr">
        <is>
          <t>As a desk admin, I want agents to use our SSO and MFA, so that sign-in is safe.</t>
        </is>
      </c>
      <c r="N532" s="5" t="inlineStr">
        <is>
          <t>• Given company SSO, then agents sign in through it (P12).
• Given MFA required, then an agent without it cannot open the agent desk.
• Given an agent removed from the company SSO, then their desk access ends at the next sign-in check.</t>
        </is>
      </c>
      <c r="O532" s="5" t="inlineStr"/>
      <c r="P532" t="inlineStr">
        <is>
          <t>M14 §20, P02, P12</t>
        </is>
      </c>
      <c r="Q532" t="inlineStr">
        <is>
          <t>US-B-112</t>
        </is>
      </c>
      <c r="R532" s="5" t="inlineStr"/>
    </row>
    <row r="533">
      <c r="A533" t="inlineStr">
        <is>
          <t>US-B-115</t>
        </is>
      </c>
      <c r="B533" t="n">
        <v>531</v>
      </c>
      <c r="C533" t="inlineStr">
        <is>
          <t>Story</t>
        </is>
      </c>
      <c r="D533" s="5" t="inlineStr">
        <is>
          <t xml:space="preserve">        Requester asks for their data or deletion</t>
        </is>
      </c>
      <c r="E533" t="inlineStr">
        <is>
          <t>Step 3b · YukthiX Service Desk (ITSM + ESM)</t>
        </is>
      </c>
      <c r="F533" t="inlineStr">
        <is>
          <t>Desk roles, security and audit</t>
        </is>
      </c>
      <c r="G533" t="inlineStr">
        <is>
          <t>New</t>
        </is>
      </c>
      <c r="I533">
        <f>IF(H533&lt;&gt;"",H533,G533)</f>
        <v/>
      </c>
      <c r="J533" t="inlineStr">
        <is>
          <t>Step 3b-1</t>
        </is>
      </c>
      <c r="K533" t="n">
        <v>3</v>
      </c>
      <c r="L533" t="n">
        <v>2</v>
      </c>
      <c r="M533" s="5" t="inlineStr">
        <is>
          <t>As a requester, I want to ask for my ticket data or its deletion, so that my DPDP / GDPR rights are met.</t>
        </is>
      </c>
      <c r="N533" s="5" t="inlineStr">
        <is>
          <t>• Given an access request, then the export lists all tickets and messages of that person.
• Given an erasure request, then personal data is removed or anonymised unless a legal hold applies.
• Given any request, then it is logged with date, decision and who handled it.</t>
        </is>
      </c>
      <c r="O533" s="5" t="inlineStr"/>
      <c r="P533" t="inlineStr">
        <is>
          <t>M14 §20, P02, P12</t>
        </is>
      </c>
      <c r="Q533" t="inlineStr">
        <is>
          <t>US-B-113</t>
        </is>
      </c>
      <c r="R533" s="5" t="inlineStr"/>
    </row>
    <row r="534">
      <c r="A534" t="inlineStr">
        <is>
          <t>US-G-029</t>
        </is>
      </c>
      <c r="B534" t="n">
        <v>531.1</v>
      </c>
      <c r="C534" t="inlineStr">
        <is>
          <t>Story</t>
        </is>
      </c>
      <c r="D534" s="5" t="inlineStr">
        <is>
          <t xml:space="preserve">        Personal data in tickets is found and masked</t>
        </is>
      </c>
      <c r="E534" t="inlineStr">
        <is>
          <t>Step 3b · YukthiX Service Desk (ITSM + ESM)</t>
        </is>
      </c>
      <c r="F534" t="inlineStr">
        <is>
          <t>Desk roles, security and audit</t>
        </is>
      </c>
      <c r="G534" t="inlineStr">
        <is>
          <t>New</t>
        </is>
      </c>
      <c r="I534">
        <f>IF(H534&lt;&gt;"",H534,G534)</f>
        <v/>
      </c>
      <c r="J534" t="inlineStr">
        <is>
          <t>Step 3b-1</t>
        </is>
      </c>
      <c r="K534" t="n">
        <v>5</v>
      </c>
      <c r="L534" t="n">
        <v>1</v>
      </c>
      <c r="M534" s="5" t="inlineStr">
        <is>
          <t>As a requester, I want my ID numbers and passwords hidden in tickets, so that my data is safe.</t>
        </is>
      </c>
      <c r="N534" s="5" t="inlineStr">
        <is>
          <t>• Given ticket text or custom fields with Aadhaar, PAN, bank, card, health data or passwords, then they are found and masked in the UI and audit.
• Given AI calls, then masked values are never sent.
• Given reveal rights, when a user unmasks, then the reveal is audited.
• Given chosen custom fields, then they are encrypted at rest and shown only to allowed roles.</t>
        </is>
      </c>
      <c r="O534" s="5" t="inlineStr"/>
      <c r="P534" t="inlineStr">
        <is>
          <t>M14 gap check</t>
        </is>
      </c>
      <c r="Q534" t="inlineStr"/>
      <c r="R534" s="5" t="inlineStr"/>
    </row>
    <row r="535">
      <c r="A535" t="inlineStr">
        <is>
          <t>US-G-030</t>
        </is>
      </c>
      <c r="B535" t="n">
        <v>531.2</v>
      </c>
      <c r="C535" t="inlineStr">
        <is>
          <t>Story</t>
        </is>
      </c>
      <c r="D535" s="5" t="inlineStr">
        <is>
          <t xml:space="preserve">        Admin sees who read what, with fuller audit detail</t>
        </is>
      </c>
      <c r="E535" t="inlineStr">
        <is>
          <t>Step 3b · YukthiX Service Desk (ITSM + ESM)</t>
        </is>
      </c>
      <c r="F535" t="inlineStr">
        <is>
          <t>Desk roles, security and audit</t>
        </is>
      </c>
      <c r="G535" t="inlineStr">
        <is>
          <t>New</t>
        </is>
      </c>
      <c r="I535">
        <f>IF(H535&lt;&gt;"",H535,G535)</f>
        <v/>
      </c>
      <c r="J535" t="inlineStr">
        <is>
          <t>Step 3b-1</t>
        </is>
      </c>
      <c r="K535" t="n">
        <v>3</v>
      </c>
      <c r="L535" t="n">
        <v>1</v>
      </c>
      <c r="M535" s="5" t="inlineStr">
        <is>
          <t>As a company admin, I want to see who viewed or searched tickets, so that misuse can be found.</t>
        </is>
      </c>
      <c r="N535" s="5" t="inlineStr">
        <is>
          <t>• Given a ticket view, search or export, then who, what, when and from where is logged.
• Given the audit, then it shows unset vs empty values and email events with CC.
• Given the audit screen, then I filter by user, field and date.</t>
        </is>
      </c>
      <c r="O535" s="5" t="inlineStr"/>
      <c r="P535" t="inlineStr">
        <is>
          <t>M14 gap check</t>
        </is>
      </c>
      <c r="Q535" t="inlineStr"/>
      <c r="R535" s="5" t="inlineStr"/>
    </row>
    <row r="536">
      <c r="A536" t="inlineStr">
        <is>
          <t>US-G-031</t>
        </is>
      </c>
      <c r="B536" t="n">
        <v>531.3</v>
      </c>
      <c r="C536" t="inlineStr">
        <is>
          <t>Story</t>
        </is>
      </c>
      <c r="D536" s="5" t="inlineStr">
        <is>
          <t xml:space="preserve">        Desk admin limits attachment file types</t>
        </is>
      </c>
      <c r="E536" t="inlineStr">
        <is>
          <t>Step 3b · YukthiX Service Desk (ITSM + ESM)</t>
        </is>
      </c>
      <c r="F536" t="inlineStr">
        <is>
          <t>Desk roles, security and audit</t>
        </is>
      </c>
      <c r="G536" t="inlineStr">
        <is>
          <t>New</t>
        </is>
      </c>
      <c r="I536">
        <f>IF(H536&lt;&gt;"",H536,G536)</f>
        <v/>
      </c>
      <c r="J536" t="inlineStr">
        <is>
          <t>Step 3b-1</t>
        </is>
      </c>
      <c r="K536" t="n">
        <v>1</v>
      </c>
      <c r="L536" t="n">
        <v>2</v>
      </c>
      <c r="M536" s="5" t="inlineStr">
        <is>
          <t>As a desk admin, I want a list of allowed file types, so that risky files never enter.</t>
        </is>
      </c>
      <c r="N536" s="5" t="inlineStr">
        <is>
          <t>• Given an allow-list, then other file types are refused in portal, email and API (case-insensitive).
• Given a refused file, then the sender is told why.
• Given allowed files, then the virus scan still runs.</t>
        </is>
      </c>
      <c r="O536" s="5" t="inlineStr"/>
      <c r="P536" t="inlineStr">
        <is>
          <t>M14 gap check</t>
        </is>
      </c>
      <c r="Q536" t="inlineStr"/>
      <c r="R536" s="5" t="inlineStr"/>
    </row>
    <row r="537">
      <c r="A537" t="inlineStr">
        <is>
          <t>US-G-032</t>
        </is>
      </c>
      <c r="B537" t="n">
        <v>531.4</v>
      </c>
      <c r="C537" t="inlineStr">
        <is>
          <t>Story</t>
        </is>
      </c>
      <c r="D537" s="5" t="inlineStr">
        <is>
          <t xml:space="preserve">        Standalone desk syncs users and groups from the directory</t>
        </is>
      </c>
      <c r="E537" t="inlineStr">
        <is>
          <t>Step 3b · YukthiX Service Desk (ITSM + ESM)</t>
        </is>
      </c>
      <c r="F537" t="inlineStr">
        <is>
          <t>Desk roles, security and audit</t>
        </is>
      </c>
      <c r="G537" t="inlineStr">
        <is>
          <t>New</t>
        </is>
      </c>
      <c r="I537">
        <f>IF(H537&lt;&gt;"",H537,G537)</f>
        <v/>
      </c>
      <c r="J537" t="inlineStr">
        <is>
          <t>Step 3b-1</t>
        </is>
      </c>
      <c r="K537" t="n">
        <v>5</v>
      </c>
      <c r="L537" t="n">
        <v>1</v>
      </c>
      <c r="M537" s="5" t="inlineStr">
        <is>
          <t>As an IT admin at a company without YukthiX HR, I want users and groups from our directory, so that the people list stays current.</t>
        </is>
      </c>
      <c r="N537" s="5" t="inlineStr">
        <is>
          <t>• Given AD / LDAP, Entra ID or Google Workspace, then users and attributes (department, manager) sync on a schedule, on top of SCIM.
• Given a directory group, then it can map to a desk team or role.
• Given a disabled user, then their desk access ends.
• Given rules or approvals, then they can look up a user's group membership (read only).</t>
        </is>
      </c>
      <c r="O537" s="5" t="inlineStr"/>
      <c r="P537" t="inlineStr">
        <is>
          <t>M14 gap check</t>
        </is>
      </c>
      <c r="Q537" t="inlineStr">
        <is>
          <t>US-B-121</t>
        </is>
      </c>
      <c r="R537" s="5" t="inlineStr"/>
    </row>
    <row r="538">
      <c r="A538" s="9" t="inlineStr">
        <is>
          <t>FT-B-025</t>
        </is>
      </c>
      <c r="B538" s="9" t="n">
        <v>532</v>
      </c>
      <c r="C538" s="9" t="inlineStr">
        <is>
          <t>Feature</t>
        </is>
      </c>
      <c r="D538" s="10" t="inlineStr">
        <is>
          <t xml:space="preserve">    YukthiX customer support in the console</t>
        </is>
      </c>
      <c r="E538" s="9" t="inlineStr">
        <is>
          <t>Step 3b · YukthiX Service Desk (ITSM + ESM)</t>
        </is>
      </c>
      <c r="F538" s="9" t="inlineStr">
        <is>
          <t>YukthiX customer support in the console</t>
        </is>
      </c>
      <c r="G538" s="9" t="inlineStr">
        <is>
          <t>New</t>
        </is>
      </c>
      <c r="H538" s="9" t="n"/>
      <c r="I538" s="9">
        <f>IF(H538&lt;&gt;"",H538,G538)</f>
        <v/>
      </c>
      <c r="J538" s="9" t="inlineStr">
        <is>
          <t>Step 3b-1</t>
        </is>
      </c>
      <c r="K538" s="9" t="n"/>
      <c r="L538" s="9" t="n"/>
      <c r="M538" s="10" t="inlineStr"/>
      <c r="N538" s="10" t="inlineStr"/>
      <c r="O538" s="10" t="inlineStr">
        <is>
          <t>YX-CONSOLE-01, YX-CONSOLE-03, YX-CONSOLE-04, YX-SEC-20</t>
        </is>
      </c>
      <c r="P538" s="9" t="inlineStr">
        <is>
          <t>M14 §21, P14 Q8, P02 Q8</t>
        </is>
      </c>
      <c r="Q538" s="9" t="inlineStr"/>
      <c r="R538" s="10" t="inlineStr"/>
      <c r="S538" s="9" t="n"/>
    </row>
    <row r="539">
      <c r="A539" t="inlineStr">
        <is>
          <t>US-B-116</t>
        </is>
      </c>
      <c r="B539" t="n">
        <v>532</v>
      </c>
      <c r="C539" t="inlineStr">
        <is>
          <t>Story</t>
        </is>
      </c>
      <c r="D539" s="5" t="inlineStr">
        <is>
          <t xml:space="preserve">        Customer tickets land in the platform console</t>
        </is>
      </c>
      <c r="E539" t="inlineStr">
        <is>
          <t>Step 3b · YukthiX Service Desk (ITSM + ESM)</t>
        </is>
      </c>
      <c r="F539" t="inlineStr">
        <is>
          <t>YukthiX customer support in the console</t>
        </is>
      </c>
      <c r="G539" t="inlineStr">
        <is>
          <t>New</t>
        </is>
      </c>
      <c r="I539">
        <f>IF(H539&lt;&gt;"",H539,G539)</f>
        <v/>
      </c>
      <c r="J539" t="inlineStr">
        <is>
          <t>Step 3b-1</t>
        </is>
      </c>
      <c r="K539" t="n">
        <v>5</v>
      </c>
      <c r="L539" t="n">
        <v>1</v>
      </c>
      <c r="M539" s="5" t="inlineStr">
        <is>
          <t>As a YukthiX support agent, I want customer tickets in the console with company details, so that I help with full context.</t>
        </is>
      </c>
      <c r="N539" s="5" t="inlineStr">
        <is>
          <t>• Given a customer company raises a ticket, then it lands in the console queue.
• Given a ticket, then the agent sees company, products, support tier, health and billing status, and no HR data (YX-CONSOLE-01).
• Given product support, then it stays separate from the company's own HR helpdesk (YX-CONSOLE-03).</t>
        </is>
      </c>
      <c r="O539" s="5" t="inlineStr">
        <is>
          <t>YX-CONSOLE-01, YX-CONSOLE-03</t>
        </is>
      </c>
      <c r="P539" t="inlineStr">
        <is>
          <t>M14 §21, P14 Q8, P02 Q8</t>
        </is>
      </c>
      <c r="Q539" t="inlineStr">
        <is>
          <t>US-B-089, US-B-008</t>
        </is>
      </c>
      <c r="R539" s="5" t="inlineStr"/>
    </row>
    <row r="540">
      <c r="A540" t="inlineStr">
        <is>
          <t>US-B-117</t>
        </is>
      </c>
      <c r="B540" t="n">
        <v>533</v>
      </c>
      <c r="C540" t="inlineStr">
        <is>
          <t>Story</t>
        </is>
      </c>
      <c r="D540" s="5" t="inlineStr">
        <is>
          <t xml:space="preserve">        Support follows the included support hours and targets</t>
        </is>
      </c>
      <c r="E540" t="inlineStr">
        <is>
          <t>Step 3b · YukthiX Service Desk (ITSM + ESM)</t>
        </is>
      </c>
      <c r="F540" t="inlineStr">
        <is>
          <t>YukthiX customer support in the console</t>
        </is>
      </c>
      <c r="G540" t="inlineStr">
        <is>
          <t>New</t>
        </is>
      </c>
      <c r="I540">
        <f>IF(H540&lt;&gt;"",H540,G540)</f>
        <v/>
      </c>
      <c r="J540" t="inlineStr">
        <is>
          <t>Step 3b-1</t>
        </is>
      </c>
      <c r="K540" t="n">
        <v>3</v>
      </c>
      <c r="L540" t="n">
        <v>1</v>
      </c>
      <c r="M540" s="5" t="inlineStr">
        <is>
          <t>As a YukthiX customer, I want known support hours and response times, so that I know when to expect an answer.</t>
        </is>
      </c>
      <c r="N540" s="5" t="inlineStr">
        <is>
          <t>• Given standard support, then hours are Mon–Sat 9:00–19:00 IST with extended hours on payroll days (YX-CONSOLE-03).
• Given a Severity-1 incident, then it is handled 24×7 for every customer (YX-CONSOLE-04).
• Given targets, then Sev-1 is 1 hour, Sev-2 4 hours and Sev-3 1 business day to first response (YX-CONSOLE-03).</t>
        </is>
      </c>
      <c r="O540" s="5" t="inlineStr">
        <is>
          <t>YX-CONSOLE-03, YX-CONSOLE-04</t>
        </is>
      </c>
      <c r="P540" t="inlineStr">
        <is>
          <t>M14 §21, P14 Q8, P02 Q8</t>
        </is>
      </c>
      <c r="Q540" t="inlineStr">
        <is>
          <t>US-B-116, US-B-094</t>
        </is>
      </c>
      <c r="R540" s="5" t="inlineStr"/>
    </row>
    <row r="541">
      <c r="A541" t="inlineStr">
        <is>
          <t>US-B-118</t>
        </is>
      </c>
      <c r="B541" t="n">
        <v>534</v>
      </c>
      <c r="C541" t="inlineStr">
        <is>
          <t>Story</t>
        </is>
      </c>
      <c r="D541" s="5" t="inlineStr">
        <is>
          <t xml:space="preserve">        Priority Support tickets are served first</t>
        </is>
      </c>
      <c r="E541" t="inlineStr">
        <is>
          <t>Step 3b · YukthiX Service Desk (ITSM + ESM)</t>
        </is>
      </c>
      <c r="F541" t="inlineStr">
        <is>
          <t>YukthiX customer support in the console</t>
        </is>
      </c>
      <c r="G541" t="inlineStr">
        <is>
          <t>New</t>
        </is>
      </c>
      <c r="I541">
        <f>IF(H541&lt;&gt;"",H541,G541)</f>
        <v/>
      </c>
      <c r="J541" t="inlineStr">
        <is>
          <t>Step 3b-1</t>
        </is>
      </c>
      <c r="K541" t="n">
        <v>3</v>
      </c>
      <c r="L541" t="n">
        <v>1</v>
      </c>
      <c r="M541" s="5" t="inlineStr">
        <is>
          <t>As a Priority Support customer, I want our tickets picked first, so that we get the faster service we paid for.</t>
        </is>
      </c>
      <c r="N541" s="5" t="inlineStr">
        <is>
          <t>• Given two tickets of the same severity, then the Priority Support ticket is picked before the Standard one (YX-CONSOLE-04).
• Given every ticket, then it carries the company's support tier (YX-CONSOLE-04).
• Given a Priority Support customer, then they get a monthly report of response and resolution against their targets (YX-CONSOLE-04).</t>
        </is>
      </c>
      <c r="O541" s="5" t="inlineStr">
        <is>
          <t>YX-CONSOLE-04</t>
        </is>
      </c>
      <c r="P541" t="inlineStr">
        <is>
          <t>M14 §21, P14 Q8, P02 Q8</t>
        </is>
      </c>
      <c r="Q541" t="inlineStr">
        <is>
          <t>US-B-117</t>
        </is>
      </c>
      <c r="R541" s="5" t="inlineStr"/>
    </row>
    <row r="542">
      <c r="A542" t="inlineStr">
        <is>
          <t>US-B-119</t>
        </is>
      </c>
      <c r="B542" t="n">
        <v>535</v>
      </c>
      <c r="C542" t="inlineStr">
        <is>
          <t>Story</t>
        </is>
      </c>
      <c r="D542" s="5" t="inlineStr">
        <is>
          <t xml:space="preserve">        Agent asks for a support session from the ticket</t>
        </is>
      </c>
      <c r="E542" t="inlineStr">
        <is>
          <t>Step 3b · YukthiX Service Desk (ITSM + ESM)</t>
        </is>
      </c>
      <c r="F542" t="inlineStr">
        <is>
          <t>YukthiX customer support in the console</t>
        </is>
      </c>
      <c r="G542" t="inlineStr">
        <is>
          <t>New</t>
        </is>
      </c>
      <c r="I542">
        <f>IF(H542&lt;&gt;"",H542,G542)</f>
        <v/>
      </c>
      <c r="J542" t="inlineStr">
        <is>
          <t>Step 3b-1</t>
        </is>
      </c>
      <c r="K542" t="n">
        <v>2</v>
      </c>
      <c r="L542" t="n">
        <v>1</v>
      </c>
      <c r="M542" s="5" t="inlineStr">
        <is>
          <t>As a YukthiX support agent, I want to request a support session from the ticket, so that the company approves it with context.</t>
        </is>
      </c>
      <c r="N542" s="5" t="inlineStr">
        <is>
          <t>• Given a ticket, when the agent clicks "Request access", then a support session request is sent with the ticket as reason (YX-SEC-20).
• Given the session, then it follows the approval, scope and audit rules (YX-SEC-20).
• Given the session, then its status (asked, approved, declined, ended) shows on the ticket.</t>
        </is>
      </c>
      <c r="O542" s="5" t="inlineStr">
        <is>
          <t>YX-SEC-20</t>
        </is>
      </c>
      <c r="P542" t="inlineStr">
        <is>
          <t>M14 §21, P14 Q8, P02 Q8</t>
        </is>
      </c>
      <c r="Q542" t="inlineStr">
        <is>
          <t>US-B-116, US-B-014</t>
        </is>
      </c>
      <c r="R542" s="5" t="inlineStr"/>
    </row>
    <row r="543">
      <c r="A543" t="inlineStr">
        <is>
          <t>US-B-120</t>
        </is>
      </c>
      <c r="B543" t="n">
        <v>536</v>
      </c>
      <c r="C543" t="inlineStr">
        <is>
          <t>Story</t>
        </is>
      </c>
      <c r="D543" s="5" t="inlineStr">
        <is>
          <t xml:space="preserve">        The support@ mailbox moves into the desk</t>
        </is>
      </c>
      <c r="E543" t="inlineStr">
        <is>
          <t>Step 3b · YukthiX Service Desk (ITSM + ESM)</t>
        </is>
      </c>
      <c r="F543" t="inlineStr">
        <is>
          <t>YukthiX customer support in the console</t>
        </is>
      </c>
      <c r="G543" t="inlineStr">
        <is>
          <t>New</t>
        </is>
      </c>
      <c r="I543">
        <f>IF(H543&lt;&gt;"",H543,G543)</f>
        <v/>
      </c>
      <c r="J543" t="inlineStr">
        <is>
          <t>Step 3b-1</t>
        </is>
      </c>
      <c r="K543" t="n">
        <v>2</v>
      </c>
      <c r="L543" t="n">
        <v>1</v>
      </c>
      <c r="M543" s="5" t="inlineStr">
        <is>
          <t>As the YukthiX support lead, I want support@ emails to become tickets, so that we stop working from a mailbox.</t>
        </is>
      </c>
      <c r="N543" s="5" t="inlineStr">
        <is>
          <t>• Given support@yukthix.com, then new emails become console tickets with threading.
• Given open email threads at switch-over, then they are imported as tickets.
• Given a customer email from an unknown address, then the ticket is held for an agent to link it to the right company.</t>
        </is>
      </c>
      <c r="O543" s="5" t="inlineStr"/>
      <c r="P543" t="inlineStr">
        <is>
          <t>M14 §21, P14 Q8, P02 Q8</t>
        </is>
      </c>
      <c r="Q543" t="inlineStr">
        <is>
          <t>US-B-116, US-B-101</t>
        </is>
      </c>
      <c r="R543" s="5" t="inlineStr"/>
    </row>
    <row r="544">
      <c r="A544" s="9" t="inlineStr">
        <is>
          <t>FT-B-026</t>
        </is>
      </c>
      <c r="B544" s="9" t="n">
        <v>537</v>
      </c>
      <c r="C544" s="9" t="inlineStr">
        <is>
          <t>Feature</t>
        </is>
      </c>
      <c r="D544" s="10" t="inlineStr">
        <is>
          <t xml:space="preserve">    Service Desk product and agent pricing</t>
        </is>
      </c>
      <c r="E544" s="9" t="inlineStr">
        <is>
          <t>Step 3b · YukthiX Service Desk (ITSM + ESM)</t>
        </is>
      </c>
      <c r="F544" s="9" t="inlineStr">
        <is>
          <t>Service Desk product and agent pricing</t>
        </is>
      </c>
      <c r="G544" s="9" t="inlineStr">
        <is>
          <t>New</t>
        </is>
      </c>
      <c r="H544" s="9" t="n"/>
      <c r="I544" s="9">
        <f>IF(H544&lt;&gt;"",H544,G544)</f>
        <v/>
      </c>
      <c r="J544" s="9" t="inlineStr">
        <is>
          <t>Step 3b-1</t>
        </is>
      </c>
      <c r="K544" s="9" t="n"/>
      <c r="L544" s="9" t="n"/>
      <c r="M544" s="10" t="inlineStr"/>
      <c r="N544" s="10" t="inlineStr"/>
      <c r="O544" s="10" t="inlineStr">
        <is>
          <t>YX-TEN-08, YX-BILL-01, YX-BILL-14</t>
        </is>
      </c>
      <c r="P544" s="9" t="inlineStr">
        <is>
          <t>M14 Q1–Q2, PRICING-UNIT-ECONOMICS §2</t>
        </is>
      </c>
      <c r="Q544" s="9" t="inlineStr"/>
      <c r="R544" s="10" t="inlineStr"/>
      <c r="S544" s="9" t="n"/>
    </row>
    <row r="545">
      <c r="A545" t="inlineStr">
        <is>
          <t>US-B-121</t>
        </is>
      </c>
      <c r="B545" t="n">
        <v>537</v>
      </c>
      <c r="C545" t="inlineStr">
        <is>
          <t>Story</t>
        </is>
      </c>
      <c r="D545" s="5" t="inlineStr">
        <is>
          <t xml:space="preserve">        Company without YukthiX HR uses the Service Desk alone</t>
        </is>
      </c>
      <c r="E545" t="inlineStr">
        <is>
          <t>Step 3b · YukthiX Service Desk (ITSM + ESM)</t>
        </is>
      </c>
      <c r="F545" t="inlineStr">
        <is>
          <t>Service Desk product and agent pricing</t>
        </is>
      </c>
      <c r="G545" t="inlineStr">
        <is>
          <t>New</t>
        </is>
      </c>
      <c r="I545">
        <f>IF(H545&lt;&gt;"",H545,G545)</f>
        <v/>
      </c>
      <c r="J545" t="inlineStr">
        <is>
          <t>Step 3b-1</t>
        </is>
      </c>
      <c r="K545" t="n">
        <v>5</v>
      </c>
      <c r="L545" t="n">
        <v>1</v>
      </c>
      <c r="M545" s="5" t="inlineStr">
        <is>
          <t>As an IT manager at a company without YukthiX HR, I want to use the Service Desk on its own, so that we get ITSM without buying HR.</t>
        </is>
      </c>
      <c r="N545" s="5" t="inlineStr">
        <is>
          <t>• Given sign-up for Service Desk only, then the company gets a light people list (name, email, team, location) with import from CSV.
• Given the standalone product, then it has the same 30-day trial with no card and no free tier (YX-TEN-08).
• Given the company later adds YukthiX HR, then the people list links to the HR employee records.</t>
        </is>
      </c>
      <c r="O545" s="5" t="inlineStr">
        <is>
          <t>YX-TEN-08</t>
        </is>
      </c>
      <c r="P545" t="inlineStr">
        <is>
          <t>M14 Q1–Q2, PRICING-UNIT-ECONOMICS §2</t>
        </is>
      </c>
      <c r="Q545" t="inlineStr">
        <is>
          <t>US-B-033, US-B-099</t>
        </is>
      </c>
      <c r="R545" s="5" t="inlineStr"/>
    </row>
    <row r="546">
      <c r="A546" t="inlineStr">
        <is>
          <t>US-B-122</t>
        </is>
      </c>
      <c r="B546" t="n">
        <v>538</v>
      </c>
      <c r="C546" t="inlineStr">
        <is>
          <t>Story</t>
        </is>
      </c>
      <c r="D546" s="5" t="inlineStr">
        <is>
          <t xml:space="preserve">        Service Desk is billed per agent</t>
        </is>
      </c>
      <c r="E546" t="inlineStr">
        <is>
          <t>Step 3b · YukthiX Service Desk (ITSM + ESM)</t>
        </is>
      </c>
      <c r="F546" t="inlineStr">
        <is>
          <t>Service Desk product and agent pricing</t>
        </is>
      </c>
      <c r="G546" t="inlineStr">
        <is>
          <t>New</t>
        </is>
      </c>
      <c r="I546">
        <f>IF(H546&lt;&gt;"",H546,G546)</f>
        <v/>
      </c>
      <c r="J546" t="inlineStr">
        <is>
          <t>Step 3b-1</t>
        </is>
      </c>
      <c r="K546" t="n">
        <v>3</v>
      </c>
      <c r="L546" t="n">
        <v>1</v>
      </c>
      <c r="M546" s="5" t="inlineStr">
        <is>
          <t>As a company admin, I want to pay per agent only, so that requesters and approvers are free.</t>
        </is>
      </c>
      <c r="N546" s="5" t="inlineStr">
        <is>
          <t>• Given India, then the price is ₹999 per agent per month, $10 elsewhere, one plan with every feature (YX-BILL-01).
• Given requesters, approvers and assets, then they are free and unlimited.
• Given billing, then the minimum is ₹999 a month, annual is 10 months for 12, and the founding offer is ₹799 locked 36 months for the first 100 companies (YX-BILL-14).</t>
        </is>
      </c>
      <c r="O546" s="5" t="inlineStr">
        <is>
          <t>YX-BILL-01, YX-BILL-14</t>
        </is>
      </c>
      <c r="P546" t="inlineStr">
        <is>
          <t>M14 Q1–Q2, PRICING-UNIT-ECONOMICS §2</t>
        </is>
      </c>
      <c r="Q546" t="inlineStr">
        <is>
          <t>US-B-112, US-B-040</t>
        </is>
      </c>
      <c r="R546" s="5" t="inlineStr"/>
    </row>
    <row r="547">
      <c r="A547" t="inlineStr">
        <is>
          <t>US-B-123</t>
        </is>
      </c>
      <c r="B547" t="n">
        <v>539</v>
      </c>
      <c r="C547" t="inlineStr">
        <is>
          <t>Story</t>
        </is>
      </c>
      <c r="D547" s="5" t="inlineStr">
        <is>
          <t xml:space="preserve">        HR helpdesk agents are included in the HRMS price</t>
        </is>
      </c>
      <c r="E547" t="inlineStr">
        <is>
          <t>Step 3b · YukthiX Service Desk (ITSM + ESM)</t>
        </is>
      </c>
      <c r="F547" t="inlineStr">
        <is>
          <t>Service Desk product and agent pricing</t>
        </is>
      </c>
      <c r="G547" t="inlineStr">
        <is>
          <t>New</t>
        </is>
      </c>
      <c r="I547">
        <f>IF(H547&lt;&gt;"",H547,G547)</f>
        <v/>
      </c>
      <c r="J547" t="inlineStr">
        <is>
          <t>Step 3b-1</t>
        </is>
      </c>
      <c r="K547" t="n">
        <v>3</v>
      </c>
      <c r="L547" t="n">
        <v>1</v>
      </c>
      <c r="M547" s="5" t="inlineStr">
        <is>
          <t>As a company HR Admin, I want our HR helpdesk included in HRMS, so that we pay extra only for IT and other desks.</t>
        </is>
      </c>
      <c r="N547" s="5" t="inlineStr">
        <is>
          <t>• Given HR helpdesk agents (employee tickets, KB, SLA), then they are included in the ₹99 HRMS price.
• Given IT, Admin, Facilities or other desk agents, then each is billed ₹999 per month.
• Given an agent on both HR and IT desks, then they are billed once as a Service Desk agent.</t>
        </is>
      </c>
      <c r="O547" s="5" t="inlineStr"/>
      <c r="P547" t="inlineStr">
        <is>
          <t>M14 Q1–Q2, PRICING-UNIT-ECONOMICS §2</t>
        </is>
      </c>
      <c r="Q547" t="inlineStr">
        <is>
          <t>US-B-122</t>
        </is>
      </c>
      <c r="R547" s="5" t="inlineStr"/>
    </row>
    <row r="548">
      <c r="A548" t="inlineStr">
        <is>
          <t>US-G-033</t>
        </is>
      </c>
      <c r="B548" t="n">
        <v>539.15</v>
      </c>
      <c r="C548" t="inlineStr">
        <is>
          <t>Story</t>
        </is>
      </c>
      <c r="D548" s="5" t="inlineStr">
        <is>
          <t xml:space="preserve">        Collaborators join tickets without a full agent seat</t>
        </is>
      </c>
      <c r="E548" t="inlineStr">
        <is>
          <t>Step 3b · YukthiX Service Desk (ITSM + ESM)</t>
        </is>
      </c>
      <c r="F548" t="inlineStr">
        <is>
          <t>Service Desk product and agent pricing</t>
        </is>
      </c>
      <c r="G548" t="inlineStr">
        <is>
          <t>New</t>
        </is>
      </c>
      <c r="I548">
        <f>IF(H548&lt;&gt;"",H548,G548)</f>
        <v/>
      </c>
      <c r="J548" t="inlineStr">
        <is>
          <t>Step 3b-1</t>
        </is>
      </c>
      <c r="K548" t="n">
        <v>3</v>
      </c>
      <c r="L548" t="n">
        <v>1</v>
      </c>
      <c r="M548" s="5" t="inlineStr">
        <is>
          <t>As a desk admin, I want collaborators who help on tickets, so that experts can help without a full seat.</t>
        </is>
      </c>
      <c r="N548" s="5" t="inlineStr">
        <is>
          <t>• Given the collaborator role, then the person can view tickets shared with them, add internal notes and work assigned tasks.
• Given a collaborator, then they cannot own a ticket or reply to the requester.
• Given billing, then collaborators are listed apart from agents and priced per the founder decision on collaborators.</t>
        </is>
      </c>
      <c r="O548" s="5" t="inlineStr"/>
      <c r="P548" t="inlineStr">
        <is>
          <t>M14 gap check</t>
        </is>
      </c>
      <c r="Q548" t="inlineStr">
        <is>
          <t>US-B-122</t>
        </is>
      </c>
      <c r="R548" s="5" t="inlineStr"/>
    </row>
    <row r="549">
      <c r="A549" t="inlineStr">
        <is>
          <t>US-G-034</t>
        </is>
      </c>
      <c r="B549" t="n">
        <v>539.3</v>
      </c>
      <c r="C549" t="inlineStr">
        <is>
          <t>Story</t>
        </is>
      </c>
      <c r="D549" s="5" t="inlineStr">
        <is>
          <t xml:space="preserve">        New desk admin follows a guided set-up</t>
        </is>
      </c>
      <c r="E549" t="inlineStr">
        <is>
          <t>Step 3b · YukthiX Service Desk (ITSM + ESM)</t>
        </is>
      </c>
      <c r="F549" t="inlineStr">
        <is>
          <t>Service Desk product and agent pricing</t>
        </is>
      </c>
      <c r="G549" t="inlineStr">
        <is>
          <t>New</t>
        </is>
      </c>
      <c r="I549">
        <f>IF(H549&lt;&gt;"",H549,G549)</f>
        <v/>
      </c>
      <c r="J549" t="inlineStr">
        <is>
          <t>Step 3b-1</t>
        </is>
      </c>
      <c r="K549" t="n">
        <v>3</v>
      </c>
      <c r="L549" t="n">
        <v>1</v>
      </c>
      <c r="M549" s="5" t="inlineStr">
        <is>
          <t>As a new desk admin, I want a set-up checklist and wizard, so that the desk is ready in an hour.</t>
        </is>
      </c>
      <c r="N549" s="5" t="inlineStr">
        <is>
          <t>• Given a new desk, then a wizard sets up queues, SLAs and the support email.
• Given the checklist, then each step shows done or to do.
• Given product updates, then a feed in the app shows what is new with help links.</t>
        </is>
      </c>
      <c r="O549" s="5" t="inlineStr"/>
      <c r="P549" t="inlineStr">
        <is>
          <t>M14 gap check</t>
        </is>
      </c>
      <c r="Q549" t="inlineStr"/>
      <c r="R549" s="5" t="inlineStr"/>
    </row>
    <row r="550">
      <c r="A550" s="9" t="inlineStr">
        <is>
          <t>FT-G-001</t>
        </is>
      </c>
      <c r="B550" s="9" t="n">
        <v>539.725</v>
      </c>
      <c r="C550" s="9" t="inlineStr">
        <is>
          <t>Feature</t>
        </is>
      </c>
      <c r="D550" s="10" t="inlineStr">
        <is>
          <t xml:space="preserve">    Customer accounts, entitlements and company groups</t>
        </is>
      </c>
      <c r="E550" s="9" t="inlineStr">
        <is>
          <t>Step 3b · YukthiX Service Desk (ITSM + ESM)</t>
        </is>
      </c>
      <c r="F550" s="9" t="inlineStr">
        <is>
          <t>Customer accounts, entitlements and company groups</t>
        </is>
      </c>
      <c r="G550" s="9" t="inlineStr">
        <is>
          <t>New</t>
        </is>
      </c>
      <c r="H550" s="9" t="n"/>
      <c r="I550" s="9">
        <f>IF(H550&lt;&gt;"",H550,G550)</f>
        <v/>
      </c>
      <c r="J550" s="9" t="inlineStr">
        <is>
          <t>Step 3b-1</t>
        </is>
      </c>
      <c r="K550" s="9" t="n"/>
      <c r="L550" s="9" t="n"/>
      <c r="M550" s="10" t="inlineStr"/>
      <c r="N550" s="10" t="inlineStr"/>
      <c r="O550" s="10" t="inlineStr"/>
      <c r="P550" s="9" t="inlineStr">
        <is>
          <t>M14 gap check</t>
        </is>
      </c>
      <c r="Q550" s="9" t="inlineStr"/>
      <c r="R550" s="10" t="inlineStr"/>
      <c r="S550" s="9" t="n"/>
    </row>
    <row r="551">
      <c r="A551" t="inlineStr">
        <is>
          <t>US-G-035</t>
        </is>
      </c>
      <c r="B551" t="n">
        <v>539.726</v>
      </c>
      <c r="C551" t="inlineStr">
        <is>
          <t>Story</t>
        </is>
      </c>
      <c r="D551" s="5" t="inlineStr">
        <is>
          <t xml:space="preserve">        Agent manages customer organisations and contacts</t>
        </is>
      </c>
      <c r="E551" t="inlineStr">
        <is>
          <t>Step 3b · YukthiX Service Desk (ITSM + ESM)</t>
        </is>
      </c>
      <c r="F551" t="inlineStr">
        <is>
          <t>Customer accounts, entitlements and company groups</t>
        </is>
      </c>
      <c r="G551" t="inlineStr">
        <is>
          <t>New</t>
        </is>
      </c>
      <c r="I551">
        <f>IF(H551&lt;&gt;"",H551,G551)</f>
        <v/>
      </c>
      <c r="J551" t="inlineStr">
        <is>
          <t>Step 3b-1</t>
        </is>
      </c>
      <c r="K551" t="n">
        <v>5</v>
      </c>
      <c r="L551" t="n">
        <v>1</v>
      </c>
      <c r="M551" s="5" t="inlineStr">
        <is>
          <t>As an agent, I want customers grouped into organisations, so that I see the whole account.</t>
        </is>
      </c>
      <c r="N551" s="5" t="inlineStr">
        <is>
          <t>• Given an organisation, then it has contacts, an account owner, sites and shared fields.
• Given a contact, then they can belong to several organisations.
• Given a customer admin contact, then they can see and follow all their organisation's tickets in the portal.
• Given reports, then they can be cut by organisation.</t>
        </is>
      </c>
      <c r="O551" s="5" t="inlineStr"/>
      <c r="P551" t="inlineStr">
        <is>
          <t>M14 gap check</t>
        </is>
      </c>
      <c r="Q551" t="inlineStr">
        <is>
          <t>US-B-103</t>
        </is>
      </c>
      <c r="R551" s="5" t="inlineStr"/>
    </row>
    <row r="552">
      <c r="A552" t="inlineStr">
        <is>
          <t>US-G-036</t>
        </is>
      </c>
      <c r="B552" t="n">
        <v>539.727</v>
      </c>
      <c r="C552" t="inlineStr">
        <is>
          <t>Story</t>
        </is>
      </c>
      <c r="D552" s="5" t="inlineStr">
        <is>
          <t xml:space="preserve">        Customer's support plan drives SLA and routing</t>
        </is>
      </c>
      <c r="E552" t="inlineStr">
        <is>
          <t>Step 3b · YukthiX Service Desk (ITSM + ESM)</t>
        </is>
      </c>
      <c r="F552" t="inlineStr">
        <is>
          <t>Customer accounts, entitlements and company groups</t>
        </is>
      </c>
      <c r="G552" t="inlineStr">
        <is>
          <t>New</t>
        </is>
      </c>
      <c r="I552">
        <f>IF(H552&lt;&gt;"",H552,G552)</f>
        <v/>
      </c>
      <c r="J552" t="inlineStr">
        <is>
          <t>Step 3b-1</t>
        </is>
      </c>
      <c r="K552" t="n">
        <v>5</v>
      </c>
      <c r="L552" t="n">
        <v>2</v>
      </c>
      <c r="M552" s="5" t="inlineStr">
        <is>
          <t>As a team lead, I want support plans per customer, so that we give each customer what they bought.</t>
        </is>
      </c>
      <c r="N552" s="5" t="inlineStr">
        <is>
          <t>• Given a plan, then it has tier, hours or tickets allowed, channels, SLA and expiry.
• Given a ticket, then the plan shows on it and sets SLA and routing.
• Given a plan near its end or used up, then the account owner is alerted and new tickets are flagged or held per the setting.</t>
        </is>
      </c>
      <c r="O552" s="5" t="inlineStr"/>
      <c r="P552" t="inlineStr">
        <is>
          <t>M14 gap check</t>
        </is>
      </c>
      <c r="Q552" t="inlineStr"/>
      <c r="R552" s="5" t="inlineStr"/>
    </row>
    <row r="553">
      <c r="A553" t="inlineStr">
        <is>
          <t>US-G-037</t>
        </is>
      </c>
      <c r="B553" t="n">
        <v>539.728</v>
      </c>
      <c r="C553" t="inlineStr">
        <is>
          <t>Story</t>
        </is>
      </c>
      <c r="D553" s="5" t="inlineStr">
        <is>
          <t xml:space="preserve">        Company groups share settings with sub-companies</t>
        </is>
      </c>
      <c r="E553" t="inlineStr">
        <is>
          <t>Step 3b · YukthiX Service Desk (ITSM + ESM)</t>
        </is>
      </c>
      <c r="F553" t="inlineStr">
        <is>
          <t>Customer accounts, entitlements and company groups</t>
        </is>
      </c>
      <c r="G553" t="inlineStr">
        <is>
          <t>New</t>
        </is>
      </c>
      <c r="I553">
        <f>IF(H553&lt;&gt;"",H553,G553)</f>
        <v/>
      </c>
      <c r="J553" t="inlineStr">
        <is>
          <t>Step 3b-1</t>
        </is>
      </c>
      <c r="K553" t="n">
        <v>5</v>
      </c>
      <c r="L553" t="n">
        <v>1</v>
      </c>
      <c r="M553" s="5" t="inlineStr">
        <is>
          <t>As a group IT head, I want sub-companies inside our company, so that one desk serves the whole group.</t>
        </is>
      </c>
      <c r="N553" s="5" t="inlineStr">
        <is>
          <t>• Given a parent and sub-companies, then settings, rules and SLAs are inherited unless changed lower down.
• Given an agent, then they can be limited to some sub-companies.
• Given a requester, then they see only their own sub-company's catalogue and articles unless shared.</t>
        </is>
      </c>
      <c r="O553" s="5" t="inlineStr"/>
      <c r="P553" t="inlineStr">
        <is>
          <t>M14 gap check</t>
        </is>
      </c>
      <c r="Q553" t="inlineStr"/>
      <c r="R553" s="5" t="inlineStr"/>
    </row>
    <row r="554">
      <c r="A554" t="inlineStr">
        <is>
          <t>US-G-038</t>
        </is>
      </c>
      <c r="B554" t="n">
        <v>539.729</v>
      </c>
      <c r="C554" t="inlineStr">
        <is>
          <t>Story</t>
        </is>
      </c>
      <c r="D554" s="5" t="inlineStr">
        <is>
          <t xml:space="preserve">        Tickets are tagged to products with their own KB and SLAs</t>
        </is>
      </c>
      <c r="E554" t="inlineStr">
        <is>
          <t>Step 3b · YukthiX Service Desk (ITSM + ESM)</t>
        </is>
      </c>
      <c r="F554" t="inlineStr">
        <is>
          <t>Customer accounts, entitlements and company groups</t>
        </is>
      </c>
      <c r="G554" t="inlineStr">
        <is>
          <t>New</t>
        </is>
      </c>
      <c r="I554">
        <f>IF(H554&lt;&gt;"",H554,G554)</f>
        <v/>
      </c>
      <c r="J554" t="inlineStr">
        <is>
          <t>Step 3b-1</t>
        </is>
      </c>
      <c r="K554" t="n">
        <v>2</v>
      </c>
      <c r="L554" t="n">
        <v>3</v>
      </c>
      <c r="M554" s="5" t="inlineStr">
        <is>
          <t>As a support lead, I want tickets per product, so that each product team sees its work.</t>
        </is>
      </c>
      <c r="N554" s="5" t="inlineStr">
        <is>
          <t>• Given products or modules, then tickets carry one.
• Given a product, then it can have its own articles and SLA.
• Given reports, then they can be cut by product.</t>
        </is>
      </c>
      <c r="O554" s="5" t="inlineStr"/>
      <c r="P554" t="inlineStr">
        <is>
          <t>M14 gap check</t>
        </is>
      </c>
      <c r="Q554" t="inlineStr"/>
      <c r="R554" s="5" t="inlineStr"/>
    </row>
    <row r="555">
      <c r="A555" s="9" t="inlineStr">
        <is>
          <t>FT-B-027</t>
        </is>
      </c>
      <c r="B555" s="9" t="n">
        <v>540</v>
      </c>
      <c r="C555" s="9" t="inlineStr">
        <is>
          <t>Feature</t>
        </is>
      </c>
      <c r="D555" s="10" t="inlineStr">
        <is>
          <t xml:space="preserve">    Service catalogue and requests</t>
        </is>
      </c>
      <c r="E555" s="9" t="inlineStr">
        <is>
          <t>Step 3b · YukthiX Service Desk (ITSM + ESM)</t>
        </is>
      </c>
      <c r="F555" s="9" t="inlineStr">
        <is>
          <t>Service catalogue and requests</t>
        </is>
      </c>
      <c r="G555" s="9" t="inlineStr">
        <is>
          <t>New</t>
        </is>
      </c>
      <c r="H555" s="9" t="n"/>
      <c r="I555" s="9">
        <f>IF(H555&lt;&gt;"",H555,G555)</f>
        <v/>
      </c>
      <c r="J555" s="9" t="inlineStr">
        <is>
          <t>Step 3b-2</t>
        </is>
      </c>
      <c r="K555" s="9" t="n"/>
      <c r="L555" s="9" t="n"/>
      <c r="M555" s="10" t="inlineStr"/>
      <c r="N555" s="10" t="inlineStr"/>
      <c r="O555" s="10" t="inlineStr"/>
      <c r="P555" s="9" t="inlineStr">
        <is>
          <t>M14 §2, P03, P18</t>
        </is>
      </c>
      <c r="Q555" s="9" t="inlineStr"/>
      <c r="R555" s="10" t="inlineStr"/>
      <c r="S555" s="9" t="n"/>
    </row>
    <row r="556">
      <c r="A556" t="inlineStr">
        <is>
          <t>US-B-124</t>
        </is>
      </c>
      <c r="B556" t="n">
        <v>540</v>
      </c>
      <c r="C556" t="inlineStr">
        <is>
          <t>Story</t>
        </is>
      </c>
      <c r="D556" s="5" t="inlineStr">
        <is>
          <t xml:space="preserve">        Team publishes catalogue items with forms</t>
        </is>
      </c>
      <c r="E556" t="inlineStr">
        <is>
          <t>Step 3b · YukthiX Service Desk (ITSM + ESM)</t>
        </is>
      </c>
      <c r="F556" t="inlineStr">
        <is>
          <t>Service catalogue and requests</t>
        </is>
      </c>
      <c r="G556" t="inlineStr">
        <is>
          <t>New</t>
        </is>
      </c>
      <c r="I556">
        <f>IF(H556&lt;&gt;"",H556,G556)</f>
        <v/>
      </c>
      <c r="J556" t="inlineStr">
        <is>
          <t>Step 3b-2</t>
        </is>
      </c>
      <c r="K556" t="n">
        <v>5</v>
      </c>
      <c r="L556" t="n">
        <v>1</v>
      </c>
      <c r="M556" s="5" t="inlineStr">
        <is>
          <t>As a desk admin, I want catalogue items with their own forms, so that requests have the right details from the start.</t>
        </is>
      </c>
      <c r="N556" s="5" t="inlineStr">
        <is>
          <t>• Given a team (IT, HR, Admin, Facilities, Finance), then it can publish catalogue items with a P18 form, a cost and an audience.
• Given an audience rule, then only matching people see the item.
• Given a request, then it is created from the item with the form answers.</t>
        </is>
      </c>
      <c r="O556" s="5" t="inlineStr"/>
      <c r="P556" t="inlineStr">
        <is>
          <t>M14 §2, P03, P18</t>
        </is>
      </c>
      <c r="Q556" t="inlineStr">
        <is>
          <t>US-B-099</t>
        </is>
      </c>
      <c r="R556" s="5" t="inlineStr"/>
    </row>
    <row r="557">
      <c r="A557" t="inlineStr">
        <is>
          <t>US-B-125</t>
        </is>
      </c>
      <c r="B557" t="n">
        <v>541</v>
      </c>
      <c r="C557" t="inlineStr">
        <is>
          <t>Story</t>
        </is>
      </c>
      <c r="D557" s="5" t="inlineStr">
        <is>
          <t xml:space="preserve">        Requests go through multi-step approvals</t>
        </is>
      </c>
      <c r="E557" t="inlineStr">
        <is>
          <t>Step 3b · YukthiX Service Desk (ITSM + ESM)</t>
        </is>
      </c>
      <c r="F557" t="inlineStr">
        <is>
          <t>Service catalogue and requests</t>
        </is>
      </c>
      <c r="G557" t="inlineStr">
        <is>
          <t>New</t>
        </is>
      </c>
      <c r="I557">
        <f>IF(H557&lt;&gt;"",H557,G557)</f>
        <v/>
      </c>
      <c r="J557" t="inlineStr">
        <is>
          <t>Step 3b-2</t>
        </is>
      </c>
      <c r="K557" t="n">
        <v>5</v>
      </c>
      <c r="L557" t="n">
        <v>1</v>
      </c>
      <c r="M557" s="5" t="inlineStr">
        <is>
          <t>As a requester, I want my request approved by the right people, so that it is done without chasing.</t>
        </is>
      </c>
      <c r="N557" s="5" t="inlineStr">
        <is>
          <t>• Given an item with approvals (manager, cost centre owner, asset owner), then they run in order through P03.
• Given a rejection, then the request stops and the requester sees the reason.
• Given approvers, then they can approve from email or mobile and are never billed.</t>
        </is>
      </c>
      <c r="O557" s="5" t="inlineStr"/>
      <c r="P557" t="inlineStr">
        <is>
          <t>M14 §2, P03, P18</t>
        </is>
      </c>
      <c r="Q557" t="inlineStr">
        <is>
          <t>US-B-124</t>
        </is>
      </c>
      <c r="R557" s="5" t="inlineStr"/>
    </row>
    <row r="558">
      <c r="A558" t="inlineStr">
        <is>
          <t>US-B-126</t>
        </is>
      </c>
      <c r="B558" t="n">
        <v>542</v>
      </c>
      <c r="C558" t="inlineStr">
        <is>
          <t>Story</t>
        </is>
      </c>
      <c r="D558" s="5" t="inlineStr">
        <is>
          <t xml:space="preserve">        One request creates tasks for several teams</t>
        </is>
      </c>
      <c r="E558" t="inlineStr">
        <is>
          <t>Step 3b · YukthiX Service Desk (ITSM + ESM)</t>
        </is>
      </c>
      <c r="F558" t="inlineStr">
        <is>
          <t>Service catalogue and requests</t>
        </is>
      </c>
      <c r="G558" t="inlineStr">
        <is>
          <t>New</t>
        </is>
      </c>
      <c r="I558">
        <f>IF(H558&lt;&gt;"",H558,G558)</f>
        <v/>
      </c>
      <c r="J558" t="inlineStr">
        <is>
          <t>Step 3b-2</t>
        </is>
      </c>
      <c r="K558" t="n">
        <v>5</v>
      </c>
      <c r="L558" t="n">
        <v>1</v>
      </c>
      <c r="M558" s="5" t="inlineStr">
        <is>
          <t>As a requester, I want one request to start all needed tasks, so that I ask only once.</t>
        </is>
      </c>
      <c r="N558" s="5" t="inlineStr">
        <is>
          <t>• Given a bundle item, then one request creates fulfilment tasks for several teams.
• Given each task, then it has its own SLA.
• Given all tasks done, then the request resolves automatically.</t>
        </is>
      </c>
      <c r="O558" s="5" t="inlineStr"/>
      <c r="P558" t="inlineStr">
        <is>
          <t>M14 §2, P03, P18</t>
        </is>
      </c>
      <c r="Q558" t="inlineStr">
        <is>
          <t>US-B-124</t>
        </is>
      </c>
      <c r="R558" s="5" t="inlineStr"/>
    </row>
    <row r="559">
      <c r="A559" t="inlineStr">
        <is>
          <t>US-B-127</t>
        </is>
      </c>
      <c r="B559" t="n">
        <v>543</v>
      </c>
      <c r="C559" t="inlineStr">
        <is>
          <t>Story</t>
        </is>
      </c>
      <c r="D559" s="5" t="inlineStr">
        <is>
          <t xml:space="preserve">        Onboarding and exit requests come from M01</t>
        </is>
      </c>
      <c r="E559" t="inlineStr">
        <is>
          <t>Step 3b · YukthiX Service Desk (ITSM + ESM)</t>
        </is>
      </c>
      <c r="F559" t="inlineStr">
        <is>
          <t>Service catalogue and requests</t>
        </is>
      </c>
      <c r="G559" t="inlineStr">
        <is>
          <t>New</t>
        </is>
      </c>
      <c r="I559">
        <f>IF(H559&lt;&gt;"",H559,G559)</f>
        <v/>
      </c>
      <c r="J559" t="inlineStr">
        <is>
          <t>Step 3b-2</t>
        </is>
      </c>
      <c r="K559" t="n">
        <v>3</v>
      </c>
      <c r="L559" t="n">
        <v>1</v>
      </c>
      <c r="M559" s="5" t="inlineStr">
        <is>
          <t>As an HR Admin, I want joiner and leaver requests to start IT and admin tasks, so that day one is ready.</t>
        </is>
      </c>
      <c r="N559" s="5" t="inlineStr">
        <is>
          <t>• Given an M01 onboarding, then an onboarding request is created with tasks for laptop, accounts and access card.
• Given an exit, then an offboarding request lists assets to return and accounts to close.
• Given a joining date change in M01, then the task due dates move with it.</t>
        </is>
      </c>
      <c r="O559" s="5" t="inlineStr"/>
      <c r="P559" t="inlineStr">
        <is>
          <t>M14 §2, P03, P18</t>
        </is>
      </c>
      <c r="Q559" t="inlineStr">
        <is>
          <t>US-B-126</t>
        </is>
      </c>
      <c r="R559" s="5" t="inlineStr"/>
    </row>
    <row r="560">
      <c r="A560" t="inlineStr">
        <is>
          <t>US-G-039</t>
        </is>
      </c>
      <c r="B560" t="n">
        <v>543.062</v>
      </c>
      <c r="C560" t="inlineStr">
        <is>
          <t>Story</t>
        </is>
      </c>
      <c r="D560" s="5" t="inlineStr">
        <is>
          <t xml:space="preserve">        Forms show, hide and require fields by earlier answers</t>
        </is>
      </c>
      <c r="E560" t="inlineStr">
        <is>
          <t>Step 3b · YukthiX Service Desk (ITSM + ESM)</t>
        </is>
      </c>
      <c r="F560" t="inlineStr">
        <is>
          <t>Service catalogue and requests</t>
        </is>
      </c>
      <c r="G560" t="inlineStr">
        <is>
          <t>New</t>
        </is>
      </c>
      <c r="I560">
        <f>IF(H560&lt;&gt;"",H560,G560)</f>
        <v/>
      </c>
      <c r="J560" t="inlineStr">
        <is>
          <t>Step 3b-2</t>
        </is>
      </c>
      <c r="K560" t="n">
        <v>5</v>
      </c>
      <c r="L560" t="n">
        <v>1</v>
      </c>
      <c r="M560" s="5" t="inlineStr">
        <is>
          <t>As a desk admin, I want smart forms, so that requesters see only the questions that apply.</t>
        </is>
      </c>
      <c r="N560" s="5" t="inlineStr">
        <is>
          <t>• Given form rules, then fields are shown, hidden, required, locked, defaulted or filtered by other answers, the requester profile or the item.
• Given a questionnaire, then it can be reused in several items.
• Given the company library, then shared fields, forms and rules are defined once and used by every desk, which can add its own.</t>
        </is>
      </c>
      <c r="O560" s="5" t="inlineStr"/>
      <c r="P560" t="inlineStr">
        <is>
          <t>M14 gap check</t>
        </is>
      </c>
      <c r="Q560" t="inlineStr">
        <is>
          <t>US-B-124</t>
        </is>
      </c>
      <c r="R560" s="5" t="inlineStr"/>
    </row>
    <row r="561">
      <c r="A561" t="inlineStr">
        <is>
          <t>US-G-040</t>
        </is>
      </c>
      <c r="B561" t="n">
        <v>543.125</v>
      </c>
      <c r="C561" t="inlineStr">
        <is>
          <t>Story</t>
        </is>
      </c>
      <c r="D561" s="5" t="inlineStr">
        <is>
          <t xml:space="preserve">        Forms offer pickers for my assets, people and places</t>
        </is>
      </c>
      <c r="E561" t="inlineStr">
        <is>
          <t>Step 3b · YukthiX Service Desk (ITSM + ESM)</t>
        </is>
      </c>
      <c r="F561" t="inlineStr">
        <is>
          <t>Service catalogue and requests</t>
        </is>
      </c>
      <c r="G561" t="inlineStr">
        <is>
          <t>New</t>
        </is>
      </c>
      <c r="I561">
        <f>IF(H561&lt;&gt;"",H561,G561)</f>
        <v/>
      </c>
      <c r="J561" t="inlineStr">
        <is>
          <t>Step 3b-2</t>
        </is>
      </c>
      <c r="K561" t="n">
        <v>3</v>
      </c>
      <c r="L561" t="n">
        <v>2</v>
      </c>
      <c r="M561" s="5" t="inlineStr">
        <is>
          <t>As a requester, I want to pick my device or cost centre from a list, so that I do not type wrong values.</t>
        </is>
      </c>
      <c r="N561" s="5" t="inlineStr">
        <is>
          <t>• Given an asset picker, then I see only my own assets.
• Given people, location, cost centre or CMDB pickers, then choices come from live data.
• Given cascading fields, then the second list depends on the first.</t>
        </is>
      </c>
      <c r="O561" s="5" t="inlineStr"/>
      <c r="P561" t="inlineStr">
        <is>
          <t>M14 gap check</t>
        </is>
      </c>
      <c r="Q561" t="inlineStr"/>
      <c r="R561" s="5" t="inlineStr"/>
    </row>
    <row r="562">
      <c r="A562" t="inlineStr">
        <is>
          <t>US-G-041</t>
        </is>
      </c>
      <c r="B562" t="n">
        <v>543.188</v>
      </c>
      <c r="C562" t="inlineStr">
        <is>
          <t>Story</t>
        </is>
      </c>
      <c r="D562" s="5" t="inlineStr">
        <is>
          <t xml:space="preserve">        Requester orders several items in one cart or through an order guide</t>
        </is>
      </c>
      <c r="E562" t="inlineStr">
        <is>
          <t>Step 3b · YukthiX Service Desk (ITSM + ESM)</t>
        </is>
      </c>
      <c r="F562" t="inlineStr">
        <is>
          <t>Service catalogue and requests</t>
        </is>
      </c>
      <c r="G562" t="inlineStr">
        <is>
          <t>New</t>
        </is>
      </c>
      <c r="I562">
        <f>IF(H562&lt;&gt;"",H562,G562)</f>
        <v/>
      </c>
      <c r="J562" t="inlineStr">
        <is>
          <t>Step 3b-2</t>
        </is>
      </c>
      <c r="K562" t="n">
        <v>5</v>
      </c>
      <c r="L562" t="n">
        <v>2</v>
      </c>
      <c r="M562" s="5" t="inlineStr">
        <is>
          <t>As a requester, I want a cart and guided ordering, so that I ask once for all I need.</t>
        </is>
      </c>
      <c r="N562" s="5" t="inlineStr">
        <is>
          <t>• Given the cart, then I add several items with quantities and options and check out once.
• Given checkout, then each item gets its own approvals and tasks.
• Given an order guide, when I answer a few questions (role, location), then the right items are added.
• Given a request for someone else, then the cart is raised for them.</t>
        </is>
      </c>
      <c r="O562" s="5" t="inlineStr"/>
      <c r="P562" t="inlineStr">
        <is>
          <t>M14 gap check</t>
        </is>
      </c>
      <c r="Q562" t="inlineStr"/>
      <c r="R562" s="5" t="inlineStr"/>
    </row>
    <row r="563">
      <c r="A563" t="inlineStr">
        <is>
          <t>US-G-042</t>
        </is>
      </c>
      <c r="B563" t="n">
        <v>543.25</v>
      </c>
      <c r="C563" t="inlineStr">
        <is>
          <t>Story</t>
        </is>
      </c>
      <c r="D563" s="5" t="inlineStr">
        <is>
          <t xml:space="preserve">        Catalogue pages are rich and requesters track stages</t>
        </is>
      </c>
      <c r="E563" t="inlineStr">
        <is>
          <t>Step 3b · YukthiX Service Desk (ITSM + ESM)</t>
        </is>
      </c>
      <c r="F563" t="inlineStr">
        <is>
          <t>Service catalogue and requests</t>
        </is>
      </c>
      <c r="G563" t="inlineStr">
        <is>
          <t>New</t>
        </is>
      </c>
      <c r="I563">
        <f>IF(H563&lt;&gt;"",H563,G563)</f>
        <v/>
      </c>
      <c r="J563" t="inlineStr">
        <is>
          <t>Step 3b-2</t>
        </is>
      </c>
      <c r="K563" t="n">
        <v>3</v>
      </c>
      <c r="L563" t="n">
        <v>2</v>
      </c>
      <c r="M563" s="5" t="inlineStr">
        <is>
          <t>As a requester, I want clear item pages and a stage tracker, so that I know what I get and when.</t>
        </is>
      </c>
      <c r="N563" s="5" t="inlineStr">
        <is>
          <t>• Given an item page, then it shows images, video, documents, delivery time and ratings.
• Given my request, then I see stages: submitted, approval, fulfilment, delivered.
• Given fulfilment has not started, then I can cancel.</t>
        </is>
      </c>
      <c r="O563" s="5" t="inlineStr"/>
      <c r="P563" t="inlineStr">
        <is>
          <t>M14 gap check</t>
        </is>
      </c>
      <c r="Q563" t="inlineStr"/>
      <c r="R563" s="5" t="inlineStr"/>
    </row>
    <row r="564">
      <c r="A564" t="inlineStr">
        <is>
          <t>US-G-043</t>
        </is>
      </c>
      <c r="B564" t="n">
        <v>543.312</v>
      </c>
      <c r="C564" t="inlineStr">
        <is>
          <t>Story</t>
        </is>
      </c>
      <c r="D564" s="5" t="inlineStr">
        <is>
          <t xml:space="preserve">        Approvers act from chat cards and get reminders</t>
        </is>
      </c>
      <c r="E564" t="inlineStr">
        <is>
          <t>Step 3b · YukthiX Service Desk (ITSM + ESM)</t>
        </is>
      </c>
      <c r="F564" t="inlineStr">
        <is>
          <t>Service catalogue and requests</t>
        </is>
      </c>
      <c r="G564" t="inlineStr">
        <is>
          <t>New</t>
        </is>
      </c>
      <c r="I564">
        <f>IF(H564&lt;&gt;"",H564,G564)</f>
        <v/>
      </c>
      <c r="J564" t="inlineStr">
        <is>
          <t>Step 3b-2</t>
        </is>
      </c>
      <c r="K564" t="n">
        <v>5</v>
      </c>
      <c r="L564" t="n">
        <v>1</v>
      </c>
      <c r="M564" s="5" t="inlineStr">
        <is>
          <t>As an approver, I want to approve from Teams, Slack or a push, so that requests are not stuck.</t>
        </is>
      </c>
      <c r="N564" s="5" t="inlineStr">
        <is>
          <t>• Given an approval, then a Teams or Slack card and a mobile push let me approve or reject with a comment.
• Given no answer, then reminders go at set intervals.
• Given a timeout, then the request is auto-approved, auto-rejected or escalated per the item setting.
• Given approved leave in YukthiX HR, then approvals go to my delegate (as in US-C-005).</t>
        </is>
      </c>
      <c r="O564" s="5" t="inlineStr"/>
      <c r="P564" t="inlineStr">
        <is>
          <t>M14 gap check</t>
        </is>
      </c>
      <c r="Q564" t="inlineStr">
        <is>
          <t>US-B-125</t>
        </is>
      </c>
      <c r="R564" s="5" t="inlineStr"/>
    </row>
    <row r="565">
      <c r="A565" t="inlineStr">
        <is>
          <t>US-G-044</t>
        </is>
      </c>
      <c r="B565" t="n">
        <v>543.375</v>
      </c>
      <c r="C565" t="inlineStr">
        <is>
          <t>Story</t>
        </is>
      </c>
      <c r="D565" s="5" t="inlineStr">
        <is>
          <t xml:space="preserve">        Group approvals use a quorum</t>
        </is>
      </c>
      <c r="E565" t="inlineStr">
        <is>
          <t>Step 3b · YukthiX Service Desk (ITSM + ESM)</t>
        </is>
      </c>
      <c r="F565" t="inlineStr">
        <is>
          <t>Service catalogue and requests</t>
        </is>
      </c>
      <c r="G565" t="inlineStr">
        <is>
          <t>New</t>
        </is>
      </c>
      <c r="I565">
        <f>IF(H565&lt;&gt;"",H565,G565)</f>
        <v/>
      </c>
      <c r="J565" t="inlineStr">
        <is>
          <t>Step 3b-2</t>
        </is>
      </c>
      <c r="K565" t="n">
        <v>2</v>
      </c>
      <c r="L565" t="n">
        <v>2</v>
      </c>
      <c r="M565" s="5" t="inlineStr">
        <is>
          <t>As a desk admin, I want group approvals with a quorum, so that committees decide properly.</t>
        </is>
      </c>
      <c r="N565" s="5" t="inlineStr">
        <is>
          <t>• Given a group, then the rule is any one, all, N of M or a percentage.
• Given the quorum reached, then the step closes and others are told.
• Given a rejection rule, then one reject can stop the request if set.</t>
        </is>
      </c>
      <c r="O565" s="5" t="inlineStr"/>
      <c r="P565" t="inlineStr">
        <is>
          <t>M14 gap check</t>
        </is>
      </c>
      <c r="Q565" t="inlineStr"/>
      <c r="R565" s="5" t="inlineStr"/>
    </row>
    <row r="566">
      <c r="A566" t="inlineStr">
        <is>
          <t>US-G-045</t>
        </is>
      </c>
      <c r="B566" t="n">
        <v>543.438</v>
      </c>
      <c r="C566" t="inlineStr">
        <is>
          <t>Story</t>
        </is>
      </c>
      <c r="D566" s="5" t="inlineStr">
        <is>
          <t xml:space="preserve">        Request creates documents and collects e-signatures</t>
        </is>
      </c>
      <c r="E566" t="inlineStr">
        <is>
          <t>Step 3b · YukthiX Service Desk (ITSM + ESM)</t>
        </is>
      </c>
      <c r="F566" t="inlineStr">
        <is>
          <t>Service catalogue and requests</t>
        </is>
      </c>
      <c r="G566" t="inlineStr">
        <is>
          <t>New</t>
        </is>
      </c>
      <c r="I566">
        <f>IF(H566&lt;&gt;"",H566,G566)</f>
        <v/>
      </c>
      <c r="J566" t="inlineStr">
        <is>
          <t>Step 3b-2</t>
        </is>
      </c>
      <c r="K566" t="n">
        <v>3</v>
      </c>
      <c r="L566" t="n">
        <v>2</v>
      </c>
      <c r="M566" s="5" t="inlineStr">
        <is>
          <t>As an HR agent, I want documents made from templates inside a request, so that paperwork is done in the same flow.</t>
        </is>
      </c>
      <c r="N566" s="5" t="inlineStr">
        <is>
          <t>• Given a template (hand-over form, NOC), then a document is made with request data (P05).
• Given e-sign, then the person signs and the signed copy is stored on the request.
• Given a signature still pending, then the request waits.</t>
        </is>
      </c>
      <c r="O566" s="5" t="inlineStr"/>
      <c r="P566" t="inlineStr">
        <is>
          <t>M14 gap check</t>
        </is>
      </c>
      <c r="Q566" t="inlineStr"/>
      <c r="R566" s="5" t="inlineStr"/>
    </row>
    <row r="567">
      <c r="A567" s="9" t="inlineStr">
        <is>
          <t>FT-B-028</t>
        </is>
      </c>
      <c r="B567" s="9" t="n">
        <v>544</v>
      </c>
      <c r="C567" s="9" t="inlineStr">
        <is>
          <t>Feature</t>
        </is>
      </c>
      <c r="D567" s="10" t="inlineStr">
        <is>
          <t xml:space="preserve">    Enterprise service desks</t>
        </is>
      </c>
      <c r="E567" s="9" t="inlineStr">
        <is>
          <t>Step 3b · YukthiX Service Desk (ITSM + ESM)</t>
        </is>
      </c>
      <c r="F567" s="9" t="inlineStr">
        <is>
          <t>Enterprise service desks</t>
        </is>
      </c>
      <c r="G567" s="9" t="inlineStr">
        <is>
          <t>New</t>
        </is>
      </c>
      <c r="H567" s="9" t="n"/>
      <c r="I567" s="9">
        <f>IF(H567&lt;&gt;"",H567,G567)</f>
        <v/>
      </c>
      <c r="J567" s="9" t="inlineStr">
        <is>
          <t>Step 3b-2</t>
        </is>
      </c>
      <c r="K567" s="9" t="n"/>
      <c r="L567" s="9" t="n"/>
      <c r="M567" s="10" t="inlineStr"/>
      <c r="N567" s="10" t="inlineStr"/>
      <c r="O567" s="10" t="inlineStr">
        <is>
          <t>YX-HD-03</t>
        </is>
      </c>
      <c r="P567" s="9" t="inlineStr">
        <is>
          <t>M14 §17, M08 confidentiality</t>
        </is>
      </c>
      <c r="Q567" s="9" t="inlineStr"/>
      <c r="R567" s="10" t="inlineStr"/>
      <c r="S567" s="9" t="n"/>
    </row>
    <row r="568">
      <c r="A568" t="inlineStr">
        <is>
          <t>US-B-128</t>
        </is>
      </c>
      <c r="B568" t="n">
        <v>544</v>
      </c>
      <c r="C568" t="inlineStr">
        <is>
          <t>Story</t>
        </is>
      </c>
      <c r="D568" s="5" t="inlineStr">
        <is>
          <t xml:space="preserve">        Company runs separate HR, Admin, Facilities, Finance and Legal desks</t>
        </is>
      </c>
      <c r="E568" t="inlineStr">
        <is>
          <t>Step 3b · YukthiX Service Desk (ITSM + ESM)</t>
        </is>
      </c>
      <c r="F568" t="inlineStr">
        <is>
          <t>Enterprise service desks</t>
        </is>
      </c>
      <c r="G568" t="inlineStr">
        <is>
          <t>New</t>
        </is>
      </c>
      <c r="I568">
        <f>IF(H568&lt;&gt;"",H568,G568)</f>
        <v/>
      </c>
      <c r="J568" t="inlineStr">
        <is>
          <t>Step 3b-2</t>
        </is>
      </c>
      <c r="K568" t="n">
        <v>5</v>
      </c>
      <c r="L568" t="n">
        <v>1</v>
      </c>
      <c r="M568" s="5" t="inlineStr">
        <is>
          <t>As a company admin, I want separate desks per department, so that each team runs its own work.</t>
        </is>
      </c>
      <c r="N568" s="5" t="inlineStr">
        <is>
          <t>• Given a workspace, then it has its own catalogue, SLAs, agents and privacy settings.
• Given an agent of one workspace, then they do not see tickets of another unless added.
• Given an employee, then they see all desks in one portal.</t>
        </is>
      </c>
      <c r="O568" s="5" t="inlineStr">
        <is>
          <t>YX-HD-03</t>
        </is>
      </c>
      <c r="P568" t="inlineStr">
        <is>
          <t>M14 §17, M08 confidentiality</t>
        </is>
      </c>
      <c r="Q568" t="inlineStr">
        <is>
          <t>US-B-124</t>
        </is>
      </c>
      <c r="R568" s="5" t="inlineStr"/>
    </row>
    <row r="569">
      <c r="A569" t="inlineStr">
        <is>
          <t>US-B-129</t>
        </is>
      </c>
      <c r="B569" t="n">
        <v>545</v>
      </c>
      <c r="C569" t="inlineStr">
        <is>
          <t>Story</t>
        </is>
      </c>
      <c r="D569" s="5" t="inlineStr">
        <is>
          <t xml:space="preserve">        Sensitive desk categories follow M08 confidentiality</t>
        </is>
      </c>
      <c r="E569" t="inlineStr">
        <is>
          <t>Step 3b · YukthiX Service Desk (ITSM + ESM)</t>
        </is>
      </c>
      <c r="F569" t="inlineStr">
        <is>
          <t>Enterprise service desks</t>
        </is>
      </c>
      <c r="G569" t="inlineStr">
        <is>
          <t>New</t>
        </is>
      </c>
      <c r="I569">
        <f>IF(H569&lt;&gt;"",H569,G569)</f>
        <v/>
      </c>
      <c r="J569" t="inlineStr">
        <is>
          <t>Step 3b-2</t>
        </is>
      </c>
      <c r="K569" t="n">
        <v>3</v>
      </c>
      <c r="L569" t="n">
        <v>1</v>
      </c>
      <c r="M569" s="5" t="inlineStr">
        <is>
          <t>As an employee, I want HR and legal matters kept private, so that I can ask freely.</t>
        </is>
      </c>
      <c r="N569" s="5" t="inlineStr">
        <is>
          <t>• Given a sensitive category in any workspace, then only that queue's agents see it (YX-HD-03).
• Given grievance, POSH or whistleblower matters, then the desk points to the M08 case flow and does not store them as tickets.
• Given a sensitive ticket, then every read is audited (YX-HD-03).</t>
        </is>
      </c>
      <c r="O569" s="5" t="inlineStr">
        <is>
          <t>YX-HD-03</t>
        </is>
      </c>
      <c r="P569" t="inlineStr">
        <is>
          <t>M14 §17, M08 confidentiality</t>
        </is>
      </c>
      <c r="Q569" t="inlineStr">
        <is>
          <t>US-B-128</t>
        </is>
      </c>
      <c r="R569" s="5" t="inlineStr"/>
    </row>
    <row r="570">
      <c r="A570" t="inlineStr">
        <is>
          <t>US-G-046</t>
        </is>
      </c>
      <c r="B570" t="n">
        <v>545.083</v>
      </c>
      <c r="C570" t="inlineStr">
        <is>
          <t>Story</t>
        </is>
      </c>
      <c r="D570" s="5" t="inlineStr">
        <is>
          <t xml:space="preserve">        Agent moves or shares a ticket with another desk</t>
        </is>
      </c>
      <c r="E570" t="inlineStr">
        <is>
          <t>Step 3b · YukthiX Service Desk (ITSM + ESM)</t>
        </is>
      </c>
      <c r="F570" t="inlineStr">
        <is>
          <t>Enterprise service desks</t>
        </is>
      </c>
      <c r="G570" t="inlineStr">
        <is>
          <t>New</t>
        </is>
      </c>
      <c r="I570">
        <f>IF(H570&lt;&gt;"",H570,G570)</f>
        <v/>
      </c>
      <c r="J570" t="inlineStr">
        <is>
          <t>Step 3b-2</t>
        </is>
      </c>
      <c r="K570" t="n">
        <v>5</v>
      </c>
      <c r="L570" t="n">
        <v>1</v>
      </c>
      <c r="M570" s="5" t="inlineStr">
        <is>
          <t>As an agent, I want to hand over or share a ticket with another desk, so that it reaches the right team without losing context.</t>
        </is>
      </c>
      <c r="N570" s="5" t="inlineStr">
        <is>
          <t>• Given a move to another desk, then fields are mapped and the new desk's privacy, SLA and category apply, with audit.
• Given forwarding rules, then only allowed desk pairs can forward.
• Given sharing, then the other team gets view, comment or full access while my team keeps ownership.
• Given a sensitive ticket, then it can be moved only to a desk allowed to hold that category (YX-HD-03).</t>
        </is>
      </c>
      <c r="O570" s="5" t="inlineStr">
        <is>
          <t>YX-HD-03</t>
        </is>
      </c>
      <c r="P570" t="inlineStr">
        <is>
          <t>M14 gap check</t>
        </is>
      </c>
      <c r="Q570" t="inlineStr"/>
      <c r="R570" s="5" t="inlineStr"/>
    </row>
    <row r="571">
      <c r="A571" t="inlineStr">
        <is>
          <t>US-G-047</t>
        </is>
      </c>
      <c r="B571" t="n">
        <v>545.167</v>
      </c>
      <c r="C571" t="inlineStr">
        <is>
          <t>Story</t>
        </is>
      </c>
      <c r="D571" s="5" t="inlineStr">
        <is>
          <t xml:space="preserve">        Desk admin clones a desk and delegates its admin</t>
        </is>
      </c>
      <c r="E571" t="inlineStr">
        <is>
          <t>Step 3b · YukthiX Service Desk (ITSM + ESM)</t>
        </is>
      </c>
      <c r="F571" t="inlineStr">
        <is>
          <t>Enterprise service desks</t>
        </is>
      </c>
      <c r="G571" t="inlineStr">
        <is>
          <t>New</t>
        </is>
      </c>
      <c r="I571">
        <f>IF(H571&lt;&gt;"",H571,G571)</f>
        <v/>
      </c>
      <c r="J571" t="inlineStr">
        <is>
          <t>Step 3b-2</t>
        </is>
      </c>
      <c r="K571" t="n">
        <v>3</v>
      </c>
      <c r="L571" t="n">
        <v>2</v>
      </c>
      <c r="M571" s="5" t="inlineStr">
        <is>
          <t>As a company admin, I want to copy a desk set-up and give its admin to the desk lead, so that new desks start fast and safely.</t>
        </is>
      </c>
      <c r="N571" s="5" t="inlineStr">
        <is>
          <t>• Given a desk, then its set-up can be cloned into a new desk.
• Given tickets or settings, then they can be moved between desks with audit.
• Given a desk admin, then they can change only their own desk.</t>
        </is>
      </c>
      <c r="O571" s="5" t="inlineStr"/>
      <c r="P571" t="inlineStr">
        <is>
          <t>M14 gap check</t>
        </is>
      </c>
      <c r="Q571" t="inlineStr"/>
      <c r="R571" s="5" t="inlineStr"/>
    </row>
    <row r="572">
      <c r="A572" t="inlineStr">
        <is>
          <t>US-G-048</t>
        </is>
      </c>
      <c r="B572" t="n">
        <v>545.25</v>
      </c>
      <c r="C572" t="inlineStr">
        <is>
          <t>Story</t>
        </is>
      </c>
      <c r="D572" s="5" t="inlineStr">
        <is>
          <t xml:space="preserve">        HR agent sees the employee summary beside a case</t>
        </is>
      </c>
      <c r="E572" t="inlineStr">
        <is>
          <t>Step 3b · YukthiX Service Desk (ITSM + ESM)</t>
        </is>
      </c>
      <c r="F572" t="inlineStr">
        <is>
          <t>Enterprise service desks</t>
        </is>
      </c>
      <c r="G572" t="inlineStr">
        <is>
          <t>New</t>
        </is>
      </c>
      <c r="I572">
        <f>IF(H572&lt;&gt;"",H572,G572)</f>
        <v/>
      </c>
      <c r="J572" t="inlineStr">
        <is>
          <t>Step 3b-2</t>
        </is>
      </c>
      <c r="K572" t="n">
        <v>2</v>
      </c>
      <c r="L572" t="n">
        <v>2</v>
      </c>
      <c r="M572" s="5" t="inlineStr">
        <is>
          <t>As an HR agent, I want the employee's basic HR facts beside the case, so that I help without switching screens.</t>
        </is>
      </c>
      <c r="N572" s="5" t="inlineStr">
        <is>
          <t>• Given an HR case, then grade, manager, location and tenure show beside it.
• Given hidden fields for my role, then they are not shown.
• Given the standalone desk without HR, then the panel shows the light people list only.</t>
        </is>
      </c>
      <c r="O572" s="5" t="inlineStr"/>
      <c r="P572" t="inlineStr">
        <is>
          <t>M14 gap check</t>
        </is>
      </c>
      <c r="Q572" t="inlineStr"/>
      <c r="R572" s="5" t="inlineStr"/>
    </row>
    <row r="573">
      <c r="A573" t="inlineStr">
        <is>
          <t>US-G-049</t>
        </is>
      </c>
      <c r="B573" t="n">
        <v>545.333</v>
      </c>
      <c r="C573" t="inlineStr">
        <is>
          <t>Story</t>
        </is>
      </c>
      <c r="D573" s="5" t="inlineStr">
        <is>
          <t xml:space="preserve">        Employee journeys coordinate transfers, promotions and leave</t>
        </is>
      </c>
      <c r="E573" t="inlineStr">
        <is>
          <t>Step 3b · YukthiX Service Desk (ITSM + ESM)</t>
        </is>
      </c>
      <c r="F573" t="inlineStr">
        <is>
          <t>Enterprise service desks</t>
        </is>
      </c>
      <c r="G573" t="inlineStr">
        <is>
          <t>New</t>
        </is>
      </c>
      <c r="I573">
        <f>IF(H573&lt;&gt;"",H573,G573)</f>
        <v/>
      </c>
      <c r="J573" t="inlineStr">
        <is>
          <t>Step 3b-2</t>
        </is>
      </c>
      <c r="K573" t="n">
        <v>5</v>
      </c>
      <c r="L573" t="n">
        <v>2</v>
      </c>
      <c r="M573" s="5" t="inlineStr">
        <is>
          <t>As an HR admin, I want journeys for life events, so that every team does its part on time.</t>
        </is>
      </c>
      <c r="N573" s="5" t="inlineStr">
        <is>
          <t>• Given transfer, promotion, move, leave or return in M01, then a journey starts with tasks for HR, IT, Facilities, Payroll and Security.
• Given variants by region, role or unit, then the right task set is used.
• Given the journey tracker, then employee, manager and HR see where it stands.</t>
        </is>
      </c>
      <c r="O573" s="5" t="inlineStr"/>
      <c r="P573" t="inlineStr">
        <is>
          <t>M14 gap check</t>
        </is>
      </c>
      <c r="Q573" t="inlineStr">
        <is>
          <t>US-B-127</t>
        </is>
      </c>
      <c r="R573" s="5" t="inlineStr"/>
    </row>
    <row r="574">
      <c r="A574" t="inlineStr">
        <is>
          <t>US-G-050</t>
        </is>
      </c>
      <c r="B574" t="n">
        <v>545.417</v>
      </c>
      <c r="C574" t="inlineStr">
        <is>
          <t>Story</t>
        </is>
      </c>
      <c r="D574" s="5" t="inlineStr">
        <is>
          <t xml:space="preserve">        Branches get their own hours, groups and admins</t>
        </is>
      </c>
      <c r="E574" t="inlineStr">
        <is>
          <t>Step 3b · YukthiX Service Desk (ITSM + ESM)</t>
        </is>
      </c>
      <c r="F574" t="inlineStr">
        <is>
          <t>Enterprise service desks</t>
        </is>
      </c>
      <c r="G574" t="inlineStr">
        <is>
          <t>New</t>
        </is>
      </c>
      <c r="I574">
        <f>IF(H574&lt;&gt;"",H574,G574)</f>
        <v/>
      </c>
      <c r="J574" t="inlineStr">
        <is>
          <t>Step 3b-2</t>
        </is>
      </c>
      <c r="K574" t="n">
        <v>3</v>
      </c>
      <c r="L574" t="n">
        <v>3</v>
      </c>
      <c r="M574" s="5" t="inlineStr">
        <is>
          <t>As a company admin, I want branch-level set-up, so that each site runs its own way.</t>
        </is>
      </c>
      <c r="N574" s="5" t="inlineStr">
        <is>
          <t>• Given a site, then it has its own hours, holidays, groups, workflows and admins.
• Given a requester's site, then tickets use that site's set-up.
• Given a site admin, then they change only their site.</t>
        </is>
      </c>
      <c r="O574" s="5" t="inlineStr"/>
      <c r="P574" t="inlineStr">
        <is>
          <t>M14 gap check</t>
        </is>
      </c>
      <c r="Q574" t="inlineStr"/>
      <c r="R574" s="5" t="inlineStr"/>
    </row>
    <row r="575">
      <c r="A575" s="9" t="inlineStr">
        <is>
          <t>FT-B-029</t>
        </is>
      </c>
      <c r="B575" s="9" t="n">
        <v>546</v>
      </c>
      <c r="C575" s="9" t="inlineStr">
        <is>
          <t>Feature</t>
        </is>
      </c>
      <c r="D575" s="10" t="inlineStr">
        <is>
          <t xml:space="preserve">    Automation rules</t>
        </is>
      </c>
      <c r="E575" s="9" t="inlineStr">
        <is>
          <t>Step 3b · YukthiX Service Desk (ITSM + ESM)</t>
        </is>
      </c>
      <c r="F575" s="9" t="inlineStr">
        <is>
          <t>Automation rules</t>
        </is>
      </c>
      <c r="G575" s="9" t="inlineStr">
        <is>
          <t>New</t>
        </is>
      </c>
      <c r="H575" s="9" t="n"/>
      <c r="I575" s="9">
        <f>IF(H575&lt;&gt;"",H575,G575)</f>
        <v/>
      </c>
      <c r="J575" s="9" t="inlineStr">
        <is>
          <t>Step 3b-2</t>
        </is>
      </c>
      <c r="K575" s="9" t="n"/>
      <c r="L575" s="9" t="n"/>
      <c r="M575" s="10" t="inlineStr"/>
      <c r="N575" s="10" t="inlineStr"/>
      <c r="O575" s="10" t="inlineStr"/>
      <c r="P575" s="9" t="inlineStr">
        <is>
          <t>M14 §11, P22</t>
        </is>
      </c>
      <c r="Q575" s="9" t="inlineStr"/>
      <c r="R575" s="10" t="inlineStr"/>
      <c r="S575" s="9" t="n"/>
    </row>
    <row r="576">
      <c r="A576" t="inlineStr">
        <is>
          <t>US-B-130</t>
        </is>
      </c>
      <c r="B576" t="n">
        <v>546</v>
      </c>
      <c r="C576" t="inlineStr">
        <is>
          <t>Story</t>
        </is>
      </c>
      <c r="D576" s="5" t="inlineStr">
        <is>
          <t xml:space="preserve">        Desk admin builds no-code rules</t>
        </is>
      </c>
      <c r="E576" t="inlineStr">
        <is>
          <t>Step 3b · YukthiX Service Desk (ITSM + ESM)</t>
        </is>
      </c>
      <c r="F576" t="inlineStr">
        <is>
          <t>Automation rules</t>
        </is>
      </c>
      <c r="G576" t="inlineStr">
        <is>
          <t>New</t>
        </is>
      </c>
      <c r="I576">
        <f>IF(H576&lt;&gt;"",H576,G576)</f>
        <v/>
      </c>
      <c r="J576" t="inlineStr">
        <is>
          <t>Step 3b-2</t>
        </is>
      </c>
      <c r="K576" t="n">
        <v>5</v>
      </c>
      <c r="L576" t="n">
        <v>1</v>
      </c>
      <c r="M576" s="5" t="inlineStr">
        <is>
          <t>As a desk admin, I want rules that run on create, update or time, so that routine work happens by itself.</t>
        </is>
      </c>
      <c r="N576" s="5" t="inlineStr">
        <is>
          <t>• Given a rule, then it has a trigger (created, updated, time-based), conditions and actions, built without code in P22.
• Given a rule test, then a dry run shows which tickets it would change.
• Given every rule run, then it is logged on the ticket.</t>
        </is>
      </c>
      <c r="O576" s="5" t="inlineStr"/>
      <c r="P576" t="inlineStr">
        <is>
          <t>M14 §11, P22</t>
        </is>
      </c>
      <c r="Q576" t="inlineStr">
        <is>
          <t>US-B-087</t>
        </is>
      </c>
      <c r="R576" s="5" t="inlineStr"/>
    </row>
    <row r="577">
      <c r="A577" t="inlineStr">
        <is>
          <t>US-B-131</t>
        </is>
      </c>
      <c r="B577" t="n">
        <v>547</v>
      </c>
      <c r="C577" t="inlineStr">
        <is>
          <t>Story</t>
        </is>
      </c>
      <c r="D577" s="5" t="inlineStr">
        <is>
          <t xml:space="preserve">        Rules assign, notify, escalate, create tasks and call webhooks</t>
        </is>
      </c>
      <c r="E577" t="inlineStr">
        <is>
          <t>Step 3b · YukthiX Service Desk (ITSM + ESM)</t>
        </is>
      </c>
      <c r="F577" t="inlineStr">
        <is>
          <t>Automation rules</t>
        </is>
      </c>
      <c r="G577" t="inlineStr">
        <is>
          <t>New</t>
        </is>
      </c>
      <c r="I577">
        <f>IF(H577&lt;&gt;"",H577,G577)</f>
        <v/>
      </c>
      <c r="J577" t="inlineStr">
        <is>
          <t>Step 3b-2</t>
        </is>
      </c>
      <c r="K577" t="n">
        <v>5</v>
      </c>
      <c r="L577" t="n">
        <v>1</v>
      </c>
      <c r="M577" s="5" t="inlineStr">
        <is>
          <t>As a desk admin, I want rich rule actions, so that I can automate most steps.</t>
        </is>
      </c>
      <c r="N577" s="5" t="inlineStr">
        <is>
          <t>• Given actions, then a rule can assign, set fields, notify, escalate, create tasks and call a webhook.
• Given a webhook that fails, then it retries and shows on the Jobs &amp; errors page.
• Given rules that would loop, then the loop is stopped and the admin is warned.</t>
        </is>
      </c>
      <c r="O577" s="5" t="inlineStr"/>
      <c r="P577" t="inlineStr">
        <is>
          <t>M14 §11, P22</t>
        </is>
      </c>
      <c r="Q577" t="inlineStr">
        <is>
          <t>US-B-130</t>
        </is>
      </c>
      <c r="R577" s="5" t="inlineStr"/>
    </row>
    <row r="578">
      <c r="A578" t="inlineStr">
        <is>
          <t>US-G-051</t>
        </is>
      </c>
      <c r="B578" t="n">
        <v>547.083</v>
      </c>
      <c r="C578" t="inlineStr">
        <is>
          <t>Story</t>
        </is>
      </c>
      <c r="D578" s="5" t="inlineStr">
        <is>
          <t xml:space="preserve">        Admin installs automation recipes and traces rule runs</t>
        </is>
      </c>
      <c r="E578" t="inlineStr">
        <is>
          <t>Step 3b · YukthiX Service Desk (ITSM + ESM)</t>
        </is>
      </c>
      <c r="F578" t="inlineStr">
        <is>
          <t>Automation rules</t>
        </is>
      </c>
      <c r="G578" t="inlineStr">
        <is>
          <t>New</t>
        </is>
      </c>
      <c r="I578">
        <f>IF(H578&lt;&gt;"",H578,G578)</f>
        <v/>
      </c>
      <c r="J578" t="inlineStr">
        <is>
          <t>Step 3b-2</t>
        </is>
      </c>
      <c r="K578" t="n">
        <v>3</v>
      </c>
      <c r="L578" t="n">
        <v>2</v>
      </c>
      <c r="M578" s="5" t="inlineStr">
        <is>
          <t>As a desk admin, I want ready recipes and a clear rule trace, so that automation is quick to set and easy to fix.</t>
        </is>
      </c>
      <c r="N578" s="5" t="inlineStr">
        <is>
          <t>• Given the recipe library, then a recipe installs in one click as a draft rule.
• Given a rule run, then the trace shows each condition, pass or fail and what changed.
• Given run-count limits, then a rule over its limit stops and the admin is told.</t>
        </is>
      </c>
      <c r="O578" s="5" t="inlineStr"/>
      <c r="P578" t="inlineStr">
        <is>
          <t>M14 gap check</t>
        </is>
      </c>
      <c r="Q578" t="inlineStr">
        <is>
          <t>US-B-130</t>
        </is>
      </c>
      <c r="R578" s="5" t="inlineStr"/>
    </row>
    <row r="579">
      <c r="A579" t="inlineStr">
        <is>
          <t>US-G-052</t>
        </is>
      </c>
      <c r="B579" t="n">
        <v>547.167</v>
      </c>
      <c r="C579" t="inlineStr">
        <is>
          <t>Story</t>
        </is>
      </c>
      <c r="D579" s="5" t="inlineStr">
        <is>
          <t xml:space="preserve">        Recurring tickets are created on a schedule</t>
        </is>
      </c>
      <c r="E579" t="inlineStr">
        <is>
          <t>Step 3b · YukthiX Service Desk (ITSM + ESM)</t>
        </is>
      </c>
      <c r="F579" t="inlineStr">
        <is>
          <t>Automation rules</t>
        </is>
      </c>
      <c r="G579" t="inlineStr">
        <is>
          <t>New</t>
        </is>
      </c>
      <c r="I579">
        <f>IF(H579&lt;&gt;"",H579,G579)</f>
        <v/>
      </c>
      <c r="J579" t="inlineStr">
        <is>
          <t>Step 3b-2</t>
        </is>
      </c>
      <c r="K579" t="n">
        <v>3</v>
      </c>
      <c r="L579" t="n">
        <v>2</v>
      </c>
      <c r="M579" s="5" t="inlineStr">
        <is>
          <t>As a team lead, I want tickets made on a schedule, so that routine checks are never forgotten.</t>
        </is>
      </c>
      <c r="N579" s="5" t="inlineStr">
        <is>
          <t>• Given a template and a pattern (daily, weekly, monthly, yearly), then tickets are created with assignee and SLA.
• Given a run that was not created or not done, then it shows as missed.
• Given a schedule, then it can be paused or ended.</t>
        </is>
      </c>
      <c r="O579" s="5" t="inlineStr"/>
      <c r="P579" t="inlineStr">
        <is>
          <t>M14 gap check</t>
        </is>
      </c>
      <c r="Q579" t="inlineStr"/>
      <c r="R579" s="5" t="inlineStr"/>
    </row>
    <row r="580">
      <c r="A580" t="inlineStr">
        <is>
          <t>US-G-053</t>
        </is>
      </c>
      <c r="B580" t="n">
        <v>547.25</v>
      </c>
      <c r="C580" t="inlineStr">
        <is>
          <t>Story</t>
        </is>
      </c>
      <c r="D580" s="5" t="inlineStr">
        <is>
          <t xml:space="preserve">        Desk sends timed message sequences</t>
        </is>
      </c>
      <c r="E580" t="inlineStr">
        <is>
          <t>Step 3b · YukthiX Service Desk (ITSM + ESM)</t>
        </is>
      </c>
      <c r="F580" t="inlineStr">
        <is>
          <t>Automation rules</t>
        </is>
      </c>
      <c r="G580" t="inlineStr">
        <is>
          <t>New</t>
        </is>
      </c>
      <c r="I580">
        <f>IF(H580&lt;&gt;"",H580,G580)</f>
        <v/>
      </c>
      <c r="J580" t="inlineStr">
        <is>
          <t>Step 3b-2</t>
        </is>
      </c>
      <c r="K580" t="n">
        <v>2</v>
      </c>
      <c r="L580" t="n">
        <v>3</v>
      </c>
      <c r="M580" s="5" t="inlineStr">
        <is>
          <t>As a desk admin, I want timed follow-up messages, so that requesters are reminded without manual work.</t>
        </is>
      </c>
      <c r="N580" s="5" t="inlineStr">
        <is>
          <t>• Given a sequence, then it has steps with delays and messages.
• Given the requester replies or the ticket closes, then the sequence stops.
• Given notification preferences, then they are respected.</t>
        </is>
      </c>
      <c r="O580" s="5" t="inlineStr"/>
      <c r="P580" t="inlineStr">
        <is>
          <t>M14 gap check</t>
        </is>
      </c>
      <c r="Q580" t="inlineStr"/>
      <c r="R580" s="5" t="inlineStr"/>
    </row>
    <row r="581">
      <c r="A581" t="inlineStr">
        <is>
          <t>US-G-054</t>
        </is>
      </c>
      <c r="B581" t="n">
        <v>547.333</v>
      </c>
      <c r="C581" t="inlineStr">
        <is>
          <t>Story</t>
        </is>
      </c>
      <c r="D581" s="5" t="inlineStr">
        <is>
          <t xml:space="preserve">        Agent asks for approval on any ticket; only the assignee completes tasks</t>
        </is>
      </c>
      <c r="E581" t="inlineStr">
        <is>
          <t>Step 3b · YukthiX Service Desk (ITSM + ESM)</t>
        </is>
      </c>
      <c r="F581" t="inlineStr">
        <is>
          <t>Automation rules</t>
        </is>
      </c>
      <c r="G581" t="inlineStr">
        <is>
          <t>New</t>
        </is>
      </c>
      <c r="I581">
        <f>IF(H581&lt;&gt;"",H581,G581)</f>
        <v/>
      </c>
      <c r="J581" t="inlineStr">
        <is>
          <t>Step 3b-2</t>
        </is>
      </c>
      <c r="K581" t="n">
        <v>3</v>
      </c>
      <c r="L581" t="n">
        <v>2</v>
      </c>
      <c r="M581" s="5" t="inlineStr">
        <is>
          <t>As an agent, I want ad-hoc approvals and safe task completion, so that actions are approved and owned.</t>
        </is>
      </c>
      <c r="N581" s="5" t="inlineStr">
        <is>
          <t>• Given any ticket, problem or task, then I can ask a named person to approve.
• Given the answer, then it is recorded on the ticket.
• Given a task or approval, then only its assignee or group can complete it, even if others can see it.</t>
        </is>
      </c>
      <c r="O581" s="5" t="inlineStr"/>
      <c r="P581" t="inlineStr">
        <is>
          <t>M14 gap check</t>
        </is>
      </c>
      <c r="Q581" t="inlineStr"/>
      <c r="R581" s="5" t="inlineStr"/>
    </row>
    <row r="582">
      <c r="A582" t="inlineStr">
        <is>
          <t>US-G-055</t>
        </is>
      </c>
      <c r="B582" t="n">
        <v>547.417</v>
      </c>
      <c r="C582" t="inlineStr">
        <is>
          <t>Story</t>
        </is>
      </c>
      <c r="D582" s="5" t="inlineStr">
        <is>
          <t xml:space="preserve">        Agent follows a step-by-step runbook on the ticket</t>
        </is>
      </c>
      <c r="E582" t="inlineStr">
        <is>
          <t>Step 3b · YukthiX Service Desk (ITSM + ESM)</t>
        </is>
      </c>
      <c r="F582" t="inlineStr">
        <is>
          <t>Automation rules</t>
        </is>
      </c>
      <c r="G582" t="inlineStr">
        <is>
          <t>New</t>
        </is>
      </c>
      <c r="I582">
        <f>IF(H582&lt;&gt;"",H582,G582)</f>
        <v/>
      </c>
      <c r="J582" t="inlineStr">
        <is>
          <t>Step 3b-2</t>
        </is>
      </c>
      <c r="K582" t="n">
        <v>5</v>
      </c>
      <c r="L582" t="n">
        <v>1</v>
      </c>
      <c r="M582" s="5" t="inlineStr">
        <is>
          <t>As an agent, I want runbooks on tickets, so that I follow the right steps every time.</t>
        </is>
      </c>
      <c r="N582" s="5" t="inlineStr">
        <is>
          <t>• Given a rule or my choice, then a runbook is attached to the ticket.
• Given a step, then it can ask for values in form fields with show / hide / require logic.
• Given a step that calls an integration, then it uses only approved integration steps; nothing runs on devices (Q4).
• Given progress, then done steps and values are saved on the ticket.</t>
        </is>
      </c>
      <c r="O582" s="5" t="inlineStr"/>
      <c r="P582" t="inlineStr">
        <is>
          <t>M14 gap check</t>
        </is>
      </c>
      <c r="Q582" t="inlineStr"/>
      <c r="R582" s="5" t="inlineStr"/>
    </row>
    <row r="583">
      <c r="A583" s="9" t="inlineStr">
        <is>
          <t>FT-B-030</t>
        </is>
      </c>
      <c r="B583" s="9" t="n">
        <v>548</v>
      </c>
      <c r="C583" s="9" t="inlineStr">
        <is>
          <t>Feature</t>
        </is>
      </c>
      <c r="D583" s="10" t="inlineStr">
        <is>
          <t xml:space="preserve">    Chat and messaging channels</t>
        </is>
      </c>
      <c r="E583" s="9" t="inlineStr">
        <is>
          <t>Step 3b · YukthiX Service Desk (ITSM + ESM)</t>
        </is>
      </c>
      <c r="F583" s="9" t="inlineStr">
        <is>
          <t>Chat and messaging channels</t>
        </is>
      </c>
      <c r="G583" s="9" t="inlineStr">
        <is>
          <t>New</t>
        </is>
      </c>
      <c r="H583" s="9" t="n"/>
      <c r="I583" s="9">
        <f>IF(H583&lt;&gt;"",H583,G583)</f>
        <v/>
      </c>
      <c r="J583" s="9" t="inlineStr">
        <is>
          <t>Step 3b-2</t>
        </is>
      </c>
      <c r="K583" s="9" t="n"/>
      <c r="L583" s="9" t="n"/>
      <c r="M583" s="10" t="inlineStr"/>
      <c r="N583" s="10" t="inlineStr"/>
      <c r="O583" s="10" t="inlineStr">
        <is>
          <t>YX-NTF-14, YX-HD-04</t>
        </is>
      </c>
      <c r="P583" s="9" t="inlineStr">
        <is>
          <t>M14 §10, P04</t>
        </is>
      </c>
      <c r="Q583" s="9" t="inlineStr"/>
      <c r="R583" s="10" t="inlineStr"/>
      <c r="S583" s="9" t="n"/>
    </row>
    <row r="584">
      <c r="A584" t="inlineStr">
        <is>
          <t>US-B-132</t>
        </is>
      </c>
      <c r="B584" t="n">
        <v>548</v>
      </c>
      <c r="C584" t="inlineStr">
        <is>
          <t>Story</t>
        </is>
      </c>
      <c r="D584" s="5" t="inlineStr">
        <is>
          <t xml:space="preserve">        Requester chats live and the chat becomes a ticket</t>
        </is>
      </c>
      <c r="E584" t="inlineStr">
        <is>
          <t>Step 3b · YukthiX Service Desk (ITSM + ESM)</t>
        </is>
      </c>
      <c r="F584" t="inlineStr">
        <is>
          <t>Chat and messaging channels</t>
        </is>
      </c>
      <c r="G584" t="inlineStr">
        <is>
          <t>New</t>
        </is>
      </c>
      <c r="I584">
        <f>IF(H584&lt;&gt;"",H584,G584)</f>
        <v/>
      </c>
      <c r="J584" t="inlineStr">
        <is>
          <t>Step 3b-2</t>
        </is>
      </c>
      <c r="K584" t="n">
        <v>8</v>
      </c>
      <c r="L584" t="n">
        <v>1</v>
      </c>
      <c r="M584" s="5" t="inlineStr">
        <is>
          <t>As a requester, I want live chat with an agent, so that small questions get answered fast.</t>
        </is>
      </c>
      <c r="N584" s="5" t="inlineStr">
        <is>
          <t>• Given an online agent, then the requester can chat from the portal or the in-app drawer.
• Given a chat, when it ends unresolved or no agent is free, then it becomes a ticket with the transcript.
• Given agents, then each sees their open chats and can take several at once up to a set limit.</t>
        </is>
      </c>
      <c r="O584" s="5" t="inlineStr"/>
      <c r="P584" t="inlineStr">
        <is>
          <t>M14 §10, P04</t>
        </is>
      </c>
      <c r="Q584" t="inlineStr">
        <is>
          <t>US-B-099</t>
        </is>
      </c>
      <c r="R584" s="5" t="inlineStr"/>
    </row>
    <row r="585">
      <c r="A585" t="inlineStr">
        <is>
          <t>US-B-133</t>
        </is>
      </c>
      <c r="B585" t="n">
        <v>549</v>
      </c>
      <c r="C585" t="inlineStr">
        <is>
          <t>Story</t>
        </is>
      </c>
      <c r="D585" s="5" t="inlineStr">
        <is>
          <t xml:space="preserve">        Requester raises and follows a ticket on WhatsApp</t>
        </is>
      </c>
      <c r="E585" t="inlineStr">
        <is>
          <t>Step 3b · YukthiX Service Desk (ITSM + ESM)</t>
        </is>
      </c>
      <c r="F585" t="inlineStr">
        <is>
          <t>Chat and messaging channels</t>
        </is>
      </c>
      <c r="G585" t="inlineStr">
        <is>
          <t>New</t>
        </is>
      </c>
      <c r="I585">
        <f>IF(H585&lt;&gt;"",H585,G585)</f>
        <v/>
      </c>
      <c r="J585" t="inlineStr">
        <is>
          <t>Step 3b-2</t>
        </is>
      </c>
      <c r="K585" t="n">
        <v>5</v>
      </c>
      <c r="L585" t="n">
        <v>1</v>
      </c>
      <c r="M585" s="5" t="inlineStr">
        <is>
          <t>As an employee, I want to use WhatsApp for help, so that I reach support from my phone.</t>
        </is>
      </c>
      <c r="N585" s="5" t="inlineStr">
        <is>
          <t>• Given the company's own WhatsApp Business number connected (P04), then a message creates or updates a ticket.
• Given replies, then the agent's answer goes back on WhatsApp only with an active opt-in (YX-NTF-14).
• Given no WhatsApp number connected, then the channel is off and replies go by email and in-app.</t>
        </is>
      </c>
      <c r="O585" s="5" t="inlineStr">
        <is>
          <t>YX-NTF-14</t>
        </is>
      </c>
      <c r="P585" t="inlineStr">
        <is>
          <t>M14 §10, P04</t>
        </is>
      </c>
      <c r="Q585" t="inlineStr">
        <is>
          <t>US-B-086</t>
        </is>
      </c>
      <c r="R585" s="5" t="inlineStr"/>
    </row>
    <row r="586">
      <c r="A586" t="inlineStr">
        <is>
          <t>US-B-134</t>
        </is>
      </c>
      <c r="B586" t="n">
        <v>550</v>
      </c>
      <c r="C586" t="inlineStr">
        <is>
          <t>Story</t>
        </is>
      </c>
      <c r="D586" s="5" t="inlineStr">
        <is>
          <t xml:space="preserve">        Requester raises tickets from Microsoft Teams or Slack</t>
        </is>
      </c>
      <c r="E586" t="inlineStr">
        <is>
          <t>Step 3b · YukthiX Service Desk (ITSM + ESM)</t>
        </is>
      </c>
      <c r="F586" t="inlineStr">
        <is>
          <t>Chat and messaging channels</t>
        </is>
      </c>
      <c r="G586" t="inlineStr">
        <is>
          <t>New</t>
        </is>
      </c>
      <c r="I586">
        <f>IF(H586&lt;&gt;"",H586,G586)</f>
        <v/>
      </c>
      <c r="J586" t="inlineStr">
        <is>
          <t>Step 3b-2</t>
        </is>
      </c>
      <c r="K586" t="n">
        <v>5</v>
      </c>
      <c r="L586" t="n">
        <v>1</v>
      </c>
      <c r="M586" s="5" t="inlineStr">
        <is>
          <t>As an employee, I want to ask for help inside Teams or Slack, so that I do not change tools.</t>
        </is>
      </c>
      <c r="N586" s="5" t="inlineStr">
        <is>
          <t>• Given the Teams or Slack bot, then a requester can raise a ticket and get updates in the chat.
• Given the bot, then it suggests articles before raising a ticket (YX-HD-04).
• Given an update on the ticket, then the requester gets it in the same Teams or Slack chat.</t>
        </is>
      </c>
      <c r="O586" s="5" t="inlineStr">
        <is>
          <t>YX-HD-04</t>
        </is>
      </c>
      <c r="P586" t="inlineStr">
        <is>
          <t>M14 §10, P04</t>
        </is>
      </c>
      <c r="Q586" t="inlineStr">
        <is>
          <t>US-B-086</t>
        </is>
      </c>
      <c r="R586" s="5" t="inlineStr"/>
    </row>
    <row r="587">
      <c r="A587" t="inlineStr">
        <is>
          <t>US-B-135</t>
        </is>
      </c>
      <c r="B587" t="n">
        <v>551</v>
      </c>
      <c r="C587" t="inlineStr">
        <is>
          <t>Story</t>
        </is>
      </c>
      <c r="D587" s="5" t="inlineStr">
        <is>
          <t xml:space="preserve">        Agent logs a phone call as a ticket</t>
        </is>
      </c>
      <c r="E587" t="inlineStr">
        <is>
          <t>Step 3b · YukthiX Service Desk (ITSM + ESM)</t>
        </is>
      </c>
      <c r="F587" t="inlineStr">
        <is>
          <t>Chat and messaging channels</t>
        </is>
      </c>
      <c r="G587" t="inlineStr">
        <is>
          <t>New</t>
        </is>
      </c>
      <c r="I587">
        <f>IF(H587&lt;&gt;"",H587,G587)</f>
        <v/>
      </c>
      <c r="J587" t="inlineStr">
        <is>
          <t>Step 3b-2</t>
        </is>
      </c>
      <c r="K587" t="n">
        <v>2</v>
      </c>
      <c r="L587" t="n">
        <v>2</v>
      </c>
      <c r="M587" s="5" t="inlineStr">
        <is>
          <t>As an agent, I want to log a call as a ticket, so that phone requests are tracked too.</t>
        </is>
      </c>
      <c r="N587" s="5" t="inlineStr">
        <is>
          <t>• Given a call, when the agent logs it, then a ticket is created with channel "phone" and the call notes.
• Given later click-to-call, then the design leaves a place for the call reference.
• Given a phone ticket, then the SLA and status rules are the same as other tickets (YX-HD-01).</t>
        </is>
      </c>
      <c r="O587" s="5" t="inlineStr"/>
      <c r="P587" t="inlineStr">
        <is>
          <t>M14 §10, P04</t>
        </is>
      </c>
      <c r="Q587" t="inlineStr">
        <is>
          <t>US-B-089</t>
        </is>
      </c>
      <c r="R587" s="5" t="inlineStr"/>
    </row>
    <row r="588">
      <c r="A588" t="inlineStr">
        <is>
          <t>US-G-056</t>
        </is>
      </c>
      <c r="B588" t="n">
        <v>551.1</v>
      </c>
      <c r="C588" t="inlineStr">
        <is>
          <t>Story</t>
        </is>
      </c>
      <c r="D588" s="5" t="inlineStr">
        <is>
          <t xml:space="preserve">        Agent logs interactions that may not need a ticket</t>
        </is>
      </c>
      <c r="E588" t="inlineStr">
        <is>
          <t>Step 3b · YukthiX Service Desk (ITSM + ESM)</t>
        </is>
      </c>
      <c r="F588" t="inlineStr">
        <is>
          <t>Chat and messaging channels</t>
        </is>
      </c>
      <c r="G588" t="inlineStr">
        <is>
          <t>New</t>
        </is>
      </c>
      <c r="I588">
        <f>IF(H588&lt;&gt;"",H588,G588)</f>
        <v/>
      </c>
      <c r="J588" t="inlineStr">
        <is>
          <t>Step 3b-2</t>
        </is>
      </c>
      <c r="K588" t="n">
        <v>3</v>
      </c>
      <c r="L588" t="n">
        <v>2</v>
      </c>
      <c r="M588" s="5" t="inlineStr">
        <is>
          <t>As an agent, I want a light record for each contact, so that first-contact resolution is measured honestly.</t>
        </is>
      </c>
      <c r="N588" s="5" t="inlineStr">
        <is>
          <t>• Given a chat, call or walk-up, then an interaction record is made.
• Given a quick answer, then it closes without a ticket.
• Given more work is needed, then it becomes an incident or request with the history.</t>
        </is>
      </c>
      <c r="O588" s="5" t="inlineStr"/>
      <c r="P588" t="inlineStr">
        <is>
          <t>M14 gap check</t>
        </is>
      </c>
      <c r="Q588" t="inlineStr"/>
      <c r="R588" s="5" t="inlineStr"/>
    </row>
    <row r="589">
      <c r="A589" t="inlineStr">
        <is>
          <t>US-G-057</t>
        </is>
      </c>
      <c r="B589" t="n">
        <v>551.2</v>
      </c>
      <c r="C589" t="inlineStr">
        <is>
          <t>Story</t>
        </is>
      </c>
      <c r="D589" s="5" t="inlineStr">
        <is>
          <t xml:space="preserve">        Agents work tickets inside Teams or Slack</t>
        </is>
      </c>
      <c r="E589" t="inlineStr">
        <is>
          <t>Step 3b · YukthiX Service Desk (ITSM + ESM)</t>
        </is>
      </c>
      <c r="F589" t="inlineStr">
        <is>
          <t>Chat and messaging channels</t>
        </is>
      </c>
      <c r="G589" t="inlineStr">
        <is>
          <t>New</t>
        </is>
      </c>
      <c r="I589">
        <f>IF(H589&lt;&gt;"",H589,G589)</f>
        <v/>
      </c>
      <c r="J589" t="inlineStr">
        <is>
          <t>Step 3b-2</t>
        </is>
      </c>
      <c r="K589" t="n">
        <v>5</v>
      </c>
      <c r="L589" t="n">
        <v>2</v>
      </c>
      <c r="M589" s="5" t="inlineStr">
        <is>
          <t>As an agent, I want to work tickets from Teams or Slack, so that I do not switch tools.</t>
        </is>
      </c>
      <c r="N589" s="5" t="inlineStr">
        <is>
          <t>• Given the bot, then I can view, claim, reply, add notes and approve.
• Given workflow alerts, approvals or nudges, then the bot messages the right agent or user.
• Given my rights, then the bot shows only what I may see.</t>
        </is>
      </c>
      <c r="O589" s="5" t="inlineStr"/>
      <c r="P589" t="inlineStr">
        <is>
          <t>M14 gap check</t>
        </is>
      </c>
      <c r="Q589" t="inlineStr">
        <is>
          <t>US-B-134</t>
        </is>
      </c>
      <c r="R589" s="5" t="inlineStr"/>
    </row>
    <row r="590">
      <c r="A590" t="inlineStr">
        <is>
          <t>US-G-058</t>
        </is>
      </c>
      <c r="B590" t="n">
        <v>551.3</v>
      </c>
      <c r="C590" t="inlineStr">
        <is>
          <t>Story</t>
        </is>
      </c>
      <c r="D590" s="5" t="inlineStr">
        <is>
          <t xml:space="preserve">        Requester uses two-way SMS</t>
        </is>
      </c>
      <c r="E590" t="inlineStr">
        <is>
          <t>Step 3b · YukthiX Service Desk (ITSM + ESM)</t>
        </is>
      </c>
      <c r="F590" t="inlineStr">
        <is>
          <t>Chat and messaging channels</t>
        </is>
      </c>
      <c r="G590" t="inlineStr">
        <is>
          <t>New</t>
        </is>
      </c>
      <c r="I590">
        <f>IF(H590&lt;&gt;"",H590,G590)</f>
        <v/>
      </c>
      <c r="J590" t="inlineStr">
        <is>
          <t>Step 3b-2</t>
        </is>
      </c>
      <c r="K590" t="n">
        <v>3</v>
      </c>
      <c r="L590" t="n">
        <v>2</v>
      </c>
      <c r="M590" s="5" t="inlineStr">
        <is>
          <t>As a requester, I want to raise and reply to tickets by SMS, so that I get help without data or apps.</t>
        </is>
      </c>
      <c r="N590" s="5" t="inlineStr">
        <is>
          <t>• Given the company's SMS number (P04), then an SMS creates or updates a ticket.
• Given an agent reply, then it goes back by SMS.
• Given opt-out words, then SMS stops for that number.</t>
        </is>
      </c>
      <c r="O590" s="5" t="inlineStr"/>
      <c r="P590" t="inlineStr">
        <is>
          <t>M14 gap check</t>
        </is>
      </c>
      <c r="Q590" t="inlineStr"/>
      <c r="R590" s="5" t="inlineStr"/>
    </row>
    <row r="591">
      <c r="A591" t="inlineStr">
        <is>
          <t>US-G-059</t>
        </is>
      </c>
      <c r="B591" t="n">
        <v>551.4</v>
      </c>
      <c r="C591" t="inlineStr">
        <is>
          <t>Story</t>
        </is>
      </c>
      <c r="D591" s="5" t="inlineStr">
        <is>
          <t xml:space="preserve">        Chat gets pre-chat forms, rich messages and proactive prompts</t>
        </is>
      </c>
      <c r="E591" t="inlineStr">
        <is>
          <t>Step 3b · YukthiX Service Desk (ITSM + ESM)</t>
        </is>
      </c>
      <c r="F591" t="inlineStr">
        <is>
          <t>Chat and messaging channels</t>
        </is>
      </c>
      <c r="G591" t="inlineStr">
        <is>
          <t>New</t>
        </is>
      </c>
      <c r="I591">
        <f>IF(H591&lt;&gt;"",H591,G591)</f>
        <v/>
      </c>
      <c r="J591" t="inlineStr">
        <is>
          <t>Step 3b-2</t>
        </is>
      </c>
      <c r="K591" t="n">
        <v>5</v>
      </c>
      <c r="L591" t="n">
        <v>3</v>
      </c>
      <c r="M591" s="5" t="inlineStr">
        <is>
          <t>As a requester, I want a richer chat, so that I get help faster.</t>
        </is>
      </c>
      <c r="N591" s="5" t="inlineStr">
        <is>
          <t>• Given a pre-chat form, then my details reach the agent first.
• Given chat, then buttons, cards and files can be sent and the chat can move to another team.
• Given a page or user trigger, then a proactive message can offer help or show an outage notice.
• Given the end of a chat, then I can rate it.</t>
        </is>
      </c>
      <c r="O591" s="5" t="inlineStr"/>
      <c r="P591" t="inlineStr">
        <is>
          <t>M14 gap check</t>
        </is>
      </c>
      <c r="Q591" t="inlineStr">
        <is>
          <t>US-B-132</t>
        </is>
      </c>
      <c r="R591" s="5" t="inlineStr"/>
    </row>
    <row r="592">
      <c r="A592" s="9" t="inlineStr">
        <is>
          <t>FT-B-031</t>
        </is>
      </c>
      <c r="B592" s="9" t="n">
        <v>552</v>
      </c>
      <c r="C592" s="9" t="inlineStr">
        <is>
          <t>Feature</t>
        </is>
      </c>
      <c r="D592" s="10" t="inlineStr">
        <is>
          <t xml:space="preserve">    Desk API and custom fields</t>
        </is>
      </c>
      <c r="E592" s="9" t="inlineStr">
        <is>
          <t>Step 3b · YukthiX Service Desk (ITSM + ESM)</t>
        </is>
      </c>
      <c r="F592" s="9" t="inlineStr">
        <is>
          <t>Desk API and custom fields</t>
        </is>
      </c>
      <c r="G592" s="9" t="inlineStr">
        <is>
          <t>New</t>
        </is>
      </c>
      <c r="H592" s="9" t="n"/>
      <c r="I592" s="9">
        <f>IF(H592&lt;&gt;"",H592,G592)</f>
        <v/>
      </c>
      <c r="J592" s="9" t="inlineStr">
        <is>
          <t>Step 3b-2</t>
        </is>
      </c>
      <c r="K592" s="9" t="n"/>
      <c r="L592" s="9" t="n"/>
      <c r="M592" s="10" t="inlineStr"/>
      <c r="N592" s="10" t="inlineStr"/>
      <c r="O592" s="10" t="inlineStr"/>
      <c r="P592" s="9" t="inlineStr">
        <is>
          <t>M14 §20, P11, P18</t>
        </is>
      </c>
      <c r="Q592" s="9" t="inlineStr"/>
      <c r="R592" s="10" t="inlineStr"/>
      <c r="S592" s="9" t="n"/>
    </row>
    <row r="593">
      <c r="A593" t="inlineStr">
        <is>
          <t>US-B-136</t>
        </is>
      </c>
      <c r="B593" t="n">
        <v>552</v>
      </c>
      <c r="C593" t="inlineStr">
        <is>
          <t>Story</t>
        </is>
      </c>
      <c r="D593" s="5" t="inlineStr">
        <is>
          <t xml:space="preserve">        Developer uses the desk REST API and webhooks</t>
        </is>
      </c>
      <c r="E593" t="inlineStr">
        <is>
          <t>Step 3b · YukthiX Service Desk (ITSM + ESM)</t>
        </is>
      </c>
      <c r="F593" t="inlineStr">
        <is>
          <t>Desk API and custom fields</t>
        </is>
      </c>
      <c r="G593" t="inlineStr">
        <is>
          <t>New</t>
        </is>
      </c>
      <c r="I593">
        <f>IF(H593&lt;&gt;"",H593,G593)</f>
        <v/>
      </c>
      <c r="J593" t="inlineStr">
        <is>
          <t>Step 3b-2</t>
        </is>
      </c>
      <c r="K593" t="n">
        <v>5</v>
      </c>
      <c r="L593" t="n">
        <v>1</v>
      </c>
      <c r="M593" s="5" t="inlineStr">
        <is>
          <t>As a company developer, I want an API and webhooks, so that other systems can create and follow tickets.</t>
        </is>
      </c>
      <c r="N593" s="5" t="inlineStr">
        <is>
          <t>• Given an API key with scopes, then tickets, requests and assets can be read and written per the scope (P11).
• Given webhooks, then events (created, updated, resolved) are sent signed and retried.
• Given API limits, then the P11 limits apply.</t>
        </is>
      </c>
      <c r="O593" s="5" t="inlineStr"/>
      <c r="P593" t="inlineStr">
        <is>
          <t>M14 §20, P11, P18</t>
        </is>
      </c>
      <c r="Q593" t="inlineStr">
        <is>
          <t>US-B-113</t>
        </is>
      </c>
      <c r="R593" s="5" t="inlineStr"/>
    </row>
    <row r="594">
      <c r="A594" t="inlineStr">
        <is>
          <t>US-B-137</t>
        </is>
      </c>
      <c r="B594" t="n">
        <v>553</v>
      </c>
      <c r="C594" t="inlineStr">
        <is>
          <t>Story</t>
        </is>
      </c>
      <c r="D594" s="5" t="inlineStr">
        <is>
          <t xml:space="preserve">        Desk admin adds custom fields and forms</t>
        </is>
      </c>
      <c r="E594" t="inlineStr">
        <is>
          <t>Step 3b · YukthiX Service Desk (ITSM + ESM)</t>
        </is>
      </c>
      <c r="F594" t="inlineStr">
        <is>
          <t>Desk API and custom fields</t>
        </is>
      </c>
      <c r="G594" t="inlineStr">
        <is>
          <t>New</t>
        </is>
      </c>
      <c r="I594">
        <f>IF(H594&lt;&gt;"",H594,G594)</f>
        <v/>
      </c>
      <c r="J594" t="inlineStr">
        <is>
          <t>Step 3b-2</t>
        </is>
      </c>
      <c r="K594" t="n">
        <v>3</v>
      </c>
      <c r="L594" t="n">
        <v>1</v>
      </c>
      <c r="M594" s="5" t="inlineStr">
        <is>
          <t>As a desk admin, I want custom fields on tickets and assets, so that we capture what we need.</t>
        </is>
      </c>
      <c r="N594" s="5" t="inlineStr">
        <is>
          <t>• Given P18 custom fields, then they can be added to tickets, requests and assets.
• Given a field marked sensitive, then only allowed roles see it.
• Given a custom field, then it can be used in rules, filters and reports.</t>
        </is>
      </c>
      <c r="O594" s="5" t="inlineStr"/>
      <c r="P594" t="inlineStr">
        <is>
          <t>M14 §20, P11, P18</t>
        </is>
      </c>
      <c r="Q594" t="inlineStr">
        <is>
          <t>US-B-124</t>
        </is>
      </c>
      <c r="R594" s="5" t="inlineStr"/>
    </row>
    <row r="595">
      <c r="A595" t="inlineStr">
        <is>
          <t>US-G-060</t>
        </is>
      </c>
      <c r="B595" t="n">
        <v>553.05</v>
      </c>
      <c r="C595" t="inlineStr">
        <is>
          <t>Story</t>
        </is>
      </c>
      <c r="D595" s="5" t="inlineStr">
        <is>
          <t xml:space="preserve">        Admin builds no-code integration steps</t>
        </is>
      </c>
      <c r="E595" t="inlineStr">
        <is>
          <t>Step 3b · YukthiX Service Desk (ITSM + ESM)</t>
        </is>
      </c>
      <c r="F595" t="inlineStr">
        <is>
          <t>Desk API and custom fields</t>
        </is>
      </c>
      <c r="G595" t="inlineStr">
        <is>
          <t>New</t>
        </is>
      </c>
      <c r="I595">
        <f>IF(H595&lt;&gt;"",H595,G595)</f>
        <v/>
      </c>
      <c r="J595" t="inlineStr">
        <is>
          <t>Step 3b-2</t>
        </is>
      </c>
      <c r="K595" t="n">
        <v>8</v>
      </c>
      <c r="L595" t="n">
        <v>1</v>
      </c>
      <c r="M595" s="5" t="inlineStr">
        <is>
          <t>As a desk admin, I want to call other systems without code, so that fulfilment and rules do real work.</t>
        </is>
      </c>
      <c r="N595" s="5" t="inlineStr">
        <is>
          <t>• Given an integration step, then it has a sequence of HTTP calls with stored, masked credentials, variables, conditions and retries.
• Given a response, then values map back into ticket fields.
• Given rules, catalogue fulfilment and AI agents, then they can use the steps.
• Given an integration, then it has an on / off switch and failures show on Jobs &amp; errors.
• Given steps that change identity systems, then they stay off until the founder decision on identity actions.</t>
        </is>
      </c>
      <c r="O595" s="5" t="inlineStr"/>
      <c r="P595" t="inlineStr">
        <is>
          <t>M14 gap check</t>
        </is>
      </c>
      <c r="Q595" t="inlineStr">
        <is>
          <t>US-B-131</t>
        </is>
      </c>
      <c r="R595" s="5" t="inlineStr"/>
    </row>
    <row r="596">
      <c r="A596" t="inlineStr">
        <is>
          <t>US-G-061</t>
        </is>
      </c>
      <c r="B596" t="n">
        <v>553.1</v>
      </c>
      <c r="C596" t="inlineStr">
        <is>
          <t>Story</t>
        </is>
      </c>
      <c r="D596" s="5" t="inlineStr">
        <is>
          <t xml:space="preserve">        Agent escalates a ticket to Jira, GitHub or Azure DevOps</t>
        </is>
      </c>
      <c r="E596" t="inlineStr">
        <is>
          <t>Step 3b · YukthiX Service Desk (ITSM + ESM)</t>
        </is>
      </c>
      <c r="F596" t="inlineStr">
        <is>
          <t>Desk API and custom fields</t>
        </is>
      </c>
      <c r="G596" t="inlineStr">
        <is>
          <t>New</t>
        </is>
      </c>
      <c r="I596">
        <f>IF(H596&lt;&gt;"",H596,G596)</f>
        <v/>
      </c>
      <c r="J596" t="inlineStr">
        <is>
          <t>Step 3b-2</t>
        </is>
      </c>
      <c r="K596" t="n">
        <v>5</v>
      </c>
      <c r="L596" t="n">
        <v>1</v>
      </c>
      <c r="M596" s="5" t="inlineStr">
        <is>
          <t>As an agent, I want to send a bug to engineering from the ticket, so that the ticket updates when the fix is done.</t>
        </is>
      </c>
      <c r="N596" s="5" t="inlineStr">
        <is>
          <t>• Given a ticket, then I create a linked issue in Jira, GitHub or Azure DevOps.
• Given the link, then status and comments sync both ways.
• Given the issue is fixed, then the ticket is updated and the requester can be told.
• Given several Jira connections, then each desk picks its own.</t>
        </is>
      </c>
      <c r="O596" s="5" t="inlineStr"/>
      <c r="P596" t="inlineStr">
        <is>
          <t>M14 gap check</t>
        </is>
      </c>
      <c r="Q596" t="inlineStr"/>
      <c r="R596" s="5" t="inlineStr"/>
    </row>
    <row r="597">
      <c r="A597" t="inlineStr">
        <is>
          <t>US-G-062</t>
        </is>
      </c>
      <c r="B597" t="n">
        <v>553.15</v>
      </c>
      <c r="C597" t="inlineStr">
        <is>
          <t>Story</t>
        </is>
      </c>
      <c r="D597" s="5" t="inlineStr">
        <is>
          <t xml:space="preserve">        Desk admin designs ticket lifecycles visually</t>
        </is>
      </c>
      <c r="E597" t="inlineStr">
        <is>
          <t>Step 3b · YukthiX Service Desk (ITSM + ESM)</t>
        </is>
      </c>
      <c r="F597" t="inlineStr">
        <is>
          <t>Desk API and custom fields</t>
        </is>
      </c>
      <c r="G597" t="inlineStr">
        <is>
          <t>New</t>
        </is>
      </c>
      <c r="I597">
        <f>IF(H597&lt;&gt;"",H597,G597)</f>
        <v/>
      </c>
      <c r="J597" t="inlineStr">
        <is>
          <t>Step 3b-2</t>
        </is>
      </c>
      <c r="K597" t="n">
        <v>5</v>
      </c>
      <c r="L597" t="n">
        <v>1</v>
      </c>
      <c r="M597" s="5" t="inlineStr">
        <is>
          <t>As a desk admin, I want a visual lifecycle editor, so that each desk has the flow it needs.</t>
        </is>
      </c>
      <c r="N597" s="5" t="inlineStr">
        <is>
          <t>• Given the designer, then I drag statuses and allowed moves.
• Given a move, then I set required fields and who may make it.
• Given desks or ticket types, then each can have its own lifecycle; old tickets keep their version.</t>
        </is>
      </c>
      <c r="O597" s="5" t="inlineStr"/>
      <c r="P597" t="inlineStr">
        <is>
          <t>M14 gap check</t>
        </is>
      </c>
      <c r="Q597" t="inlineStr"/>
      <c r="R597" s="5" t="inlineStr"/>
    </row>
    <row r="598">
      <c r="A598" t="inlineStr">
        <is>
          <t>US-G-063</t>
        </is>
      </c>
      <c r="B598" t="n">
        <v>553.2</v>
      </c>
      <c r="C598" t="inlineStr">
        <is>
          <t>Story</t>
        </is>
      </c>
      <c r="D598" s="5" t="inlineStr">
        <is>
          <t xml:space="preserve">        Desk admin uses more field types and form layout</t>
        </is>
      </c>
      <c r="E598" t="inlineStr">
        <is>
          <t>Step 3b · YukthiX Service Desk (ITSM + ESM)</t>
        </is>
      </c>
      <c r="F598" t="inlineStr">
        <is>
          <t>Desk API and custom fields</t>
        </is>
      </c>
      <c r="G598" t="inlineStr">
        <is>
          <t>New</t>
        </is>
      </c>
      <c r="I598">
        <f>IF(H598&lt;&gt;"",H598,G598)</f>
        <v/>
      </c>
      <c r="J598" t="inlineStr">
        <is>
          <t>Step 3b-2</t>
        </is>
      </c>
      <c r="K598" t="n">
        <v>3</v>
      </c>
      <c r="L598" t="n">
        <v>2</v>
      </c>
      <c r="M598" s="5" t="inlineStr">
        <is>
          <t>As a desk admin, I want more field types and layout, so that forms capture clean data.</t>
        </is>
      </c>
      <c r="N598" s="5" t="inlineStr">
        <is>
          <t>• Given field types email, number range, phone, URL, dependent list and reference to user, asset or CI, then each validates input.
• Given form layout, then sections, separators and columns can be added.
• Given these fields, then they work in filters, sort and search.</t>
        </is>
      </c>
      <c r="O598" s="5" t="inlineStr"/>
      <c r="P598" t="inlineStr">
        <is>
          <t>M14 gap check</t>
        </is>
      </c>
      <c r="Q598" t="inlineStr">
        <is>
          <t>US-B-137</t>
        </is>
      </c>
      <c r="R598" s="5" t="inlineStr"/>
    </row>
    <row r="599">
      <c r="A599" t="inlineStr">
        <is>
          <t>US-G-064</t>
        </is>
      </c>
      <c r="B599" t="n">
        <v>553.25</v>
      </c>
      <c r="C599" t="inlineStr">
        <is>
          <t>Story</t>
        </is>
      </c>
      <c r="D599" s="5" t="inlineStr">
        <is>
          <t xml:space="preserve">        Desk admin creates custom record types</t>
        </is>
      </c>
      <c r="E599" t="inlineStr">
        <is>
          <t>Step 3b · YukthiX Service Desk (ITSM + ESM)</t>
        </is>
      </c>
      <c r="F599" t="inlineStr">
        <is>
          <t>Desk API and custom fields</t>
        </is>
      </c>
      <c r="G599" t="inlineStr">
        <is>
          <t>New</t>
        </is>
      </c>
      <c r="I599">
        <f>IF(H599&lt;&gt;"",H599,G599)</f>
        <v/>
      </c>
      <c r="J599" t="inlineStr">
        <is>
          <t>Step 3b-2</t>
        </is>
      </c>
      <c r="K599" t="n">
        <v>8</v>
      </c>
      <c r="L599" t="n">
        <v>2</v>
      </c>
      <c r="M599" s="5" t="inlineStr">
        <is>
          <t>As a desk admin, I want our own record types, so that we track things the desk does not know by default.</t>
        </is>
      </c>
      <c r="N599" s="5" t="inlineStr">
        <is>
          <t>• Given a new type (for example key register), then it has fields, forms, lists and permissions.
• Given lookups, then it links to tickets, users and assets.
• Given rules and reports, then they can use the new type.
• Given RLS, then the new records are walled off per company like all desk tables.</t>
        </is>
      </c>
      <c r="O599" s="5" t="inlineStr"/>
      <c r="P599" t="inlineStr">
        <is>
          <t>M14 gap check</t>
        </is>
      </c>
      <c r="Q599" t="inlineStr"/>
      <c r="R599" s="5" t="inlineStr"/>
    </row>
    <row r="600">
      <c r="A600" t="inlineStr">
        <is>
          <t>US-G-065</t>
        </is>
      </c>
      <c r="B600" t="n">
        <v>553.3</v>
      </c>
      <c r="C600" t="inlineStr">
        <is>
          <t>Story</t>
        </is>
      </c>
      <c r="D600" s="5" t="inlineStr">
        <is>
          <t xml:space="preserve">        Audit log streams to the company SIEM</t>
        </is>
      </c>
      <c r="E600" t="inlineStr">
        <is>
          <t>Step 3b · YukthiX Service Desk (ITSM + ESM)</t>
        </is>
      </c>
      <c r="F600" t="inlineStr">
        <is>
          <t>Desk API and custom fields</t>
        </is>
      </c>
      <c r="G600" t="inlineStr">
        <is>
          <t>New</t>
        </is>
      </c>
      <c r="I600">
        <f>IF(H600&lt;&gt;"",H600,G600)</f>
        <v/>
      </c>
      <c r="J600" t="inlineStr">
        <is>
          <t>Step 3b-2</t>
        </is>
      </c>
      <c r="K600" t="n">
        <v>3</v>
      </c>
      <c r="L600" t="n">
        <v>2</v>
      </c>
      <c r="M600" s="5" t="inlineStr">
        <is>
          <t>As a security admin, I want desk audit events in our SIEM, so that we watch the desk with our other systems.</t>
        </is>
      </c>
      <c r="N600" s="5" t="inlineStr">
        <is>
          <t>• Given syslog, webhook, Sentinel or Splunk, then audit events stream there signed.
• Given a failure, then events are kept and retried and shown on Jobs &amp; errors.
• Given the stream, then masked values stay masked.</t>
        </is>
      </c>
      <c r="O600" s="5" t="inlineStr"/>
      <c r="P600" t="inlineStr">
        <is>
          <t>M14 gap check</t>
        </is>
      </c>
      <c r="Q600" t="inlineStr"/>
      <c r="R600" s="5" t="inlineStr"/>
    </row>
    <row r="601">
      <c r="A601" t="inlineStr">
        <is>
          <t>US-G-066</t>
        </is>
      </c>
      <c r="B601" t="n">
        <v>553.35</v>
      </c>
      <c r="C601" t="inlineStr">
        <is>
          <t>Story</t>
        </is>
      </c>
      <c r="D601" s="5" t="inlineStr">
        <is>
          <t xml:space="preserve">        Ticket screen changes by type, desk or brand</t>
        </is>
      </c>
      <c r="E601" t="inlineStr">
        <is>
          <t>Step 3b · YukthiX Service Desk (ITSM + ESM)</t>
        </is>
      </c>
      <c r="F601" t="inlineStr">
        <is>
          <t>Desk API and custom fields</t>
        </is>
      </c>
      <c r="G601" t="inlineStr">
        <is>
          <t>New</t>
        </is>
      </c>
      <c r="I601">
        <f>IF(H601&lt;&gt;"",H601,G601)</f>
        <v/>
      </c>
      <c r="J601" t="inlineStr">
        <is>
          <t>Step 3b-2</t>
        </is>
      </c>
      <c r="K601" t="n">
        <v>2</v>
      </c>
      <c r="L601" t="n">
        <v>3</v>
      </c>
      <c r="M601" s="5" t="inlineStr">
        <is>
          <t>As a desk admin, I want screen layouts per type, desk or brand, so that agents see what matters.</t>
        </is>
      </c>
      <c r="N601" s="5" t="inlineStr">
        <is>
          <t>• Given a layout, then fields, panels and reply templates are chosen per ticket type, desk or brand.
• Given no layout, then the default is used.
• Given layout changes, then they are audited.</t>
        </is>
      </c>
      <c r="O601" s="5" t="inlineStr"/>
      <c r="P601" t="inlineStr">
        <is>
          <t>M14 gap check</t>
        </is>
      </c>
      <c r="Q601" t="inlineStr"/>
      <c r="R601" s="5" t="inlineStr"/>
    </row>
    <row r="602">
      <c r="A602" t="inlineStr">
        <is>
          <t>US-G-067</t>
        </is>
      </c>
      <c r="B602" t="n">
        <v>553.4</v>
      </c>
      <c r="C602" t="inlineStr">
        <is>
          <t>Story</t>
        </is>
      </c>
      <c r="D602" s="5" t="inlineStr">
        <is>
          <t xml:space="preserve">        Analyst reads desk data in BI tools</t>
        </is>
      </c>
      <c r="E602" t="inlineStr">
        <is>
          <t>Step 3b · YukthiX Service Desk (ITSM + ESM)</t>
        </is>
      </c>
      <c r="F602" t="inlineStr">
        <is>
          <t>Desk API and custom fields</t>
        </is>
      </c>
      <c r="G602" t="inlineStr">
        <is>
          <t>New</t>
        </is>
      </c>
      <c r="I602">
        <f>IF(H602&lt;&gt;"",H602,G602)</f>
        <v/>
      </c>
      <c r="J602" t="inlineStr">
        <is>
          <t>Step 3b-2</t>
        </is>
      </c>
      <c r="K602" t="n">
        <v>5</v>
      </c>
      <c r="L602" t="n">
        <v>2</v>
      </c>
      <c r="M602" s="5" t="inlineStr">
        <is>
          <t>As a data analyst, I want desk data in Power BI or similar, so that we join it with other data.</t>
        </is>
      </c>
      <c r="N602" s="5" t="inlineStr">
        <is>
          <t>• Given a BI connection, then a read-only dataset with custom fields is available.
• Given a schedule, then exports can also be sent to the company storage.
• Given rights, then sensitive tickets and masked fields stay out unless allowed.</t>
        </is>
      </c>
      <c r="O602" s="5" t="inlineStr"/>
      <c r="P602" t="inlineStr">
        <is>
          <t>M14 gap check</t>
        </is>
      </c>
      <c r="Q602" t="inlineStr"/>
      <c r="R602" s="5" t="inlineStr"/>
    </row>
    <row r="603">
      <c r="A603" s="9" t="inlineStr">
        <is>
          <t>FT-G-002</t>
        </is>
      </c>
      <c r="B603" s="9" t="n">
        <v>553.575</v>
      </c>
      <c r="C603" s="9" t="inlineStr">
        <is>
          <t>Feature</t>
        </is>
      </c>
      <c r="D603" s="10" t="inlineStr">
        <is>
          <t xml:space="preserve">    Agent mobile app, help widget and employee centre</t>
        </is>
      </c>
      <c r="E603" s="9" t="inlineStr">
        <is>
          <t>Step 3b · YukthiX Service Desk (ITSM + ESM)</t>
        </is>
      </c>
      <c r="F603" s="9" t="inlineStr">
        <is>
          <t>Agent mobile app, help widget and employee centre</t>
        </is>
      </c>
      <c r="G603" s="9" t="inlineStr">
        <is>
          <t>New</t>
        </is>
      </c>
      <c r="H603" s="9" t="n"/>
      <c r="I603" s="9">
        <f>IF(H603&lt;&gt;"",H603,G603)</f>
        <v/>
      </c>
      <c r="J603" s="9" t="inlineStr">
        <is>
          <t>Step 3b-2</t>
        </is>
      </c>
      <c r="K603" s="9" t="n"/>
      <c r="L603" s="9" t="n"/>
      <c r="M603" s="10" t="inlineStr"/>
      <c r="N603" s="10" t="inlineStr"/>
      <c r="O603" s="10" t="inlineStr"/>
      <c r="P603" s="9" t="inlineStr">
        <is>
          <t>M14 gap check</t>
        </is>
      </c>
      <c r="Q603" s="9" t="inlineStr"/>
      <c r="R603" s="10" t="inlineStr"/>
      <c r="S603" s="9" t="n"/>
    </row>
    <row r="604">
      <c r="A604" t="inlineStr">
        <is>
          <t>US-G-068</t>
        </is>
      </c>
      <c r="B604" t="n">
        <v>553.576</v>
      </c>
      <c r="C604" t="inlineStr">
        <is>
          <t>Story</t>
        </is>
      </c>
      <c r="D604" s="5" t="inlineStr">
        <is>
          <t xml:space="preserve">        Agent works the queue from the mobile app</t>
        </is>
      </c>
      <c r="E604" t="inlineStr">
        <is>
          <t>Step 3b · YukthiX Service Desk (ITSM + ESM)</t>
        </is>
      </c>
      <c r="F604" t="inlineStr">
        <is>
          <t>Agent mobile app, help widget and employee centre</t>
        </is>
      </c>
      <c r="G604" t="inlineStr">
        <is>
          <t>New</t>
        </is>
      </c>
      <c r="I604">
        <f>IF(H604&lt;&gt;"",H604,G604)</f>
        <v/>
      </c>
      <c r="J604" t="inlineStr">
        <is>
          <t>Step 3b-2</t>
        </is>
      </c>
      <c r="K604" t="n">
        <v>8</v>
      </c>
      <c r="L604" t="n">
        <v>1</v>
      </c>
      <c r="M604" s="5" t="inlineStr">
        <is>
          <t>As an agent, I want the desk on my phone, so that I can act away from my desk.</t>
        </is>
      </c>
      <c r="N604" s="5" t="inlineStr">
        <is>
          <t>• Given the app, then I see my queues, reply, add notes, change status and approve.
• Given an SLA warning, then I get a push.
• Given poor network, then I can draft offline and send later.
• Given a manager, then live KPIs and SLA alerts show in the app.</t>
        </is>
      </c>
      <c r="O604" s="5" t="inlineStr"/>
      <c r="P604" t="inlineStr">
        <is>
          <t>M14 gap check</t>
        </is>
      </c>
      <c r="Q604" t="inlineStr"/>
      <c r="R604" s="5" t="inlineStr"/>
    </row>
    <row r="605">
      <c r="A605" t="inlineStr">
        <is>
          <t>US-G-069</t>
        </is>
      </c>
      <c r="B605" t="n">
        <v>553.577</v>
      </c>
      <c r="C605" t="inlineStr">
        <is>
          <t>Story</t>
        </is>
      </c>
      <c r="D605" s="5" t="inlineStr">
        <is>
          <t xml:space="preserve">        Customer embeds the help widget in its site or app</t>
        </is>
      </c>
      <c r="E605" t="inlineStr">
        <is>
          <t>Step 3b · YukthiX Service Desk (ITSM + ESM)</t>
        </is>
      </c>
      <c r="F605" t="inlineStr">
        <is>
          <t>Agent mobile app, help widget and employee centre</t>
        </is>
      </c>
      <c r="G605" t="inlineStr">
        <is>
          <t>New</t>
        </is>
      </c>
      <c r="I605">
        <f>IF(H605&lt;&gt;"",H605,G605)</f>
        <v/>
      </c>
      <c r="J605" t="inlineStr">
        <is>
          <t>Step 3b-2</t>
        </is>
      </c>
      <c r="K605" t="n">
        <v>5</v>
      </c>
      <c r="L605" t="n">
        <v>1</v>
      </c>
      <c r="M605" s="5" t="inlineStr">
        <is>
          <t>As a standalone desk customer, I want our help widget on our website and app, so that customers get help where they are.</t>
        </is>
      </c>
      <c r="N605" s="5" t="inlineStr">
        <is>
          <t>• Given the widget, then it offers KB search, ticket raise and track, chat and bot.
• Given a signed-in user, then their identity is passed in a signed token.
• Given iOS and Android SDKs, then the same works inside apps.</t>
        </is>
      </c>
      <c r="O605" s="5" t="inlineStr"/>
      <c r="P605" t="inlineStr">
        <is>
          <t>M14 gap check</t>
        </is>
      </c>
      <c r="Q605" t="inlineStr"/>
      <c r="R605" s="5" t="inlineStr"/>
    </row>
    <row r="606">
      <c r="A606" t="inlineStr">
        <is>
          <t>US-G-070</t>
        </is>
      </c>
      <c r="B606" t="n">
        <v>553.578</v>
      </c>
      <c r="C606" t="inlineStr">
        <is>
          <t>Story</t>
        </is>
      </c>
      <c r="D606" s="5" t="inlineStr">
        <is>
          <t xml:space="preserve">        Employee uses one personalised service centre</t>
        </is>
      </c>
      <c r="E606" t="inlineStr">
        <is>
          <t>Step 3b · YukthiX Service Desk (ITSM + ESM)</t>
        </is>
      </c>
      <c r="F606" t="inlineStr">
        <is>
          <t>Agent mobile app, help widget and employee centre</t>
        </is>
      </c>
      <c r="G606" t="inlineStr">
        <is>
          <t>New</t>
        </is>
      </c>
      <c r="I606">
        <f>IF(H606&lt;&gt;"",H606,G606)</f>
        <v/>
      </c>
      <c r="J606" t="inlineStr">
        <is>
          <t>Step 3b-2</t>
        </is>
      </c>
      <c r="K606" t="n">
        <v>5</v>
      </c>
      <c r="L606" t="n">
        <v>1</v>
      </c>
      <c r="M606" s="5" t="inlineStr">
        <is>
          <t>As an employee, I want one place for all desks with my to-dos, so that I find help quickly.</t>
        </is>
      </c>
      <c r="N606" s="5" t="inlineStr">
        <is>
          <t>• Given the centre, then items and articles are shown by my audience.
• Given my to-dos, then pending approvals, tasks and surveys are listed.
• Given a page builder, then admins set home pages and tiles by role, department or location, including service status and booking.</t>
        </is>
      </c>
      <c r="O606" s="5" t="inlineStr"/>
      <c r="P606" t="inlineStr">
        <is>
          <t>M14 gap check</t>
        </is>
      </c>
      <c r="Q606" t="inlineStr">
        <is>
          <t>US-B-099</t>
        </is>
      </c>
      <c r="R606" s="5" t="inlineStr"/>
    </row>
    <row r="607">
      <c r="A607" t="inlineStr">
        <is>
          <t>US-G-071</t>
        </is>
      </c>
      <c r="B607" t="n">
        <v>553.579</v>
      </c>
      <c r="C607" t="inlineStr">
        <is>
          <t>Story</t>
        </is>
      </c>
      <c r="D607" s="5" t="inlineStr">
        <is>
          <t xml:space="preserve">        Company runs several brands with their own help centres</t>
        </is>
      </c>
      <c r="E607" t="inlineStr">
        <is>
          <t>Step 3b · YukthiX Service Desk (ITSM + ESM)</t>
        </is>
      </c>
      <c r="F607" t="inlineStr">
        <is>
          <t>Agent mobile app, help widget and employee centre</t>
        </is>
      </c>
      <c r="G607" t="inlineStr">
        <is>
          <t>New</t>
        </is>
      </c>
      <c r="I607">
        <f>IF(H607&lt;&gt;"",H607,G607)</f>
        <v/>
      </c>
      <c r="J607" t="inlineStr">
        <is>
          <t>Step 3b-2</t>
        </is>
      </c>
      <c r="K607" t="n">
        <v>5</v>
      </c>
      <c r="L607" t="n">
        <v>2</v>
      </c>
      <c r="M607" s="5" t="inlineStr">
        <is>
          <t>As a company admin, I want several brands, so that each product line has its own look.</t>
        </is>
      </c>
      <c r="N607" s="5" t="inlineStr">
        <is>
          <t>• Given a brand, then it has its own help centre, domain, support address, theme and templates.
• Given one agent team, then they work all brands.
• Given themes, then a code-level template can be used.</t>
        </is>
      </c>
      <c r="O607" s="5" t="inlineStr"/>
      <c r="P607" t="inlineStr">
        <is>
          <t>M14 gap check</t>
        </is>
      </c>
      <c r="Q607" t="inlineStr"/>
      <c r="R607" s="5" t="inlineStr"/>
    </row>
    <row r="608">
      <c r="A608" s="9" t="inlineStr">
        <is>
          <t>FT-G-003</t>
        </is>
      </c>
      <c r="B608" s="9" t="n">
        <v>553.65</v>
      </c>
      <c r="C608" s="9" t="inlineStr">
        <is>
          <t>Feature</t>
        </is>
      </c>
      <c r="D608" s="10" t="inlineStr">
        <is>
          <t xml:space="preserve">    Knowledge quality, audiences and surveys</t>
        </is>
      </c>
      <c r="E608" s="9" t="inlineStr">
        <is>
          <t>Step 3b · YukthiX Service Desk (ITSM + ESM)</t>
        </is>
      </c>
      <c r="F608" s="9" t="inlineStr">
        <is>
          <t>Knowledge quality, audiences and surveys</t>
        </is>
      </c>
      <c r="G608" s="9" t="inlineStr">
        <is>
          <t>New</t>
        </is>
      </c>
      <c r="H608" s="9" t="n"/>
      <c r="I608" s="9">
        <f>IF(H608&lt;&gt;"",H608,G608)</f>
        <v/>
      </c>
      <c r="J608" s="9" t="inlineStr">
        <is>
          <t>Step 3b-2</t>
        </is>
      </c>
      <c r="K608" s="9" t="n"/>
      <c r="L608" s="9" t="n"/>
      <c r="M608" s="10" t="inlineStr"/>
      <c r="N608" s="10" t="inlineStr"/>
      <c r="O608" s="10" t="inlineStr"/>
      <c r="P608" s="9" t="inlineStr">
        <is>
          <t>M14 gap check</t>
        </is>
      </c>
      <c r="Q608" s="9" t="inlineStr"/>
      <c r="R608" s="10" t="inlineStr"/>
      <c r="S608" s="9" t="n"/>
    </row>
    <row r="609">
      <c r="A609" t="inlineStr">
        <is>
          <t>US-G-072</t>
        </is>
      </c>
      <c r="B609" t="n">
        <v>553.651</v>
      </c>
      <c r="C609" t="inlineStr">
        <is>
          <t>Story</t>
        </is>
      </c>
      <c r="D609" s="5" t="inlineStr">
        <is>
          <t xml:space="preserve">        Knowledge follows KCS quality checks</t>
        </is>
      </c>
      <c r="E609" t="inlineStr">
        <is>
          <t>Step 3b · YukthiX Service Desk (ITSM + ESM)</t>
        </is>
      </c>
      <c r="F609" t="inlineStr">
        <is>
          <t>Knowledge quality, audiences and surveys</t>
        </is>
      </c>
      <c r="G609" t="inlineStr">
        <is>
          <t>New</t>
        </is>
      </c>
      <c r="I609">
        <f>IF(H609&lt;&gt;"",H609,G609)</f>
        <v/>
      </c>
      <c r="J609" t="inlineStr">
        <is>
          <t>Step 3b-2</t>
        </is>
      </c>
      <c r="K609" t="n">
        <v>3</v>
      </c>
      <c r="L609" t="n">
        <v>2</v>
      </c>
      <c r="M609" s="5" t="inlineStr">
        <is>
          <t>As a knowledge lead, I want article quality scores, so that articles keep improving.</t>
        </is>
      </c>
      <c r="N609" s="5" t="inlineStr">
        <is>
          <t>• Given article states and agent flags, then each article has a quality index.
• Given a review, then the reviewer adds coaching notes for the author.
• Given reuse counts, then the report shows articles that solve most tickets.</t>
        </is>
      </c>
      <c r="O609" s="5" t="inlineStr"/>
      <c r="P609" t="inlineStr">
        <is>
          <t>M14 gap check</t>
        </is>
      </c>
      <c r="Q609" t="inlineStr"/>
      <c r="R609" s="5" t="inlineStr"/>
    </row>
    <row r="610">
      <c r="A610" t="inlineStr">
        <is>
          <t>US-G-073</t>
        </is>
      </c>
      <c r="B610" t="n">
        <v>553.652</v>
      </c>
      <c r="C610" t="inlineStr">
        <is>
          <t>Story</t>
        </is>
      </c>
      <c r="D610" s="5" t="inlineStr">
        <is>
          <t xml:space="preserve">        Articles are shown by department, location, role or desk</t>
        </is>
      </c>
      <c r="E610" t="inlineStr">
        <is>
          <t>Step 3b · YukthiX Service Desk (ITSM + ESM)</t>
        </is>
      </c>
      <c r="F610" t="inlineStr">
        <is>
          <t>Knowledge quality, audiences and surveys</t>
        </is>
      </c>
      <c r="G610" t="inlineStr">
        <is>
          <t>New</t>
        </is>
      </c>
      <c r="I610">
        <f>IF(H610&lt;&gt;"",H610,G610)</f>
        <v/>
      </c>
      <c r="J610" t="inlineStr">
        <is>
          <t>Step 3b-2</t>
        </is>
      </c>
      <c r="K610" t="n">
        <v>2</v>
      </c>
      <c r="L610" t="n">
        <v>2</v>
      </c>
      <c r="M610" s="5" t="inlineStr">
        <is>
          <t>As a knowledge lead, I want finer article audiences, so that people see only what applies.</t>
        </is>
      </c>
      <c r="N610" s="5" t="inlineStr">
        <is>
          <t>• Given an article, then its audience can be department, location, role or desk.
• Given search and suggestions, then they respect the audience.
• Given no audience, then the agent-only / public rule applies.</t>
        </is>
      </c>
      <c r="O610" s="5" t="inlineStr"/>
      <c r="P610" t="inlineStr">
        <is>
          <t>M14 gap check</t>
        </is>
      </c>
      <c r="Q610" t="inlineStr"/>
      <c r="R610" s="5" t="inlineStr"/>
    </row>
    <row r="611">
      <c r="A611" t="inlineStr">
        <is>
          <t>US-G-074</t>
        </is>
      </c>
      <c r="B611" t="n">
        <v>553.653</v>
      </c>
      <c r="C611" t="inlineStr">
        <is>
          <t>Story</t>
        </is>
      </c>
      <c r="D611" s="5" t="inlineStr">
        <is>
          <t xml:space="preserve">        Desk admin builds surveys</t>
        </is>
      </c>
      <c r="E611" t="inlineStr">
        <is>
          <t>Step 3b · YukthiX Service Desk (ITSM + ESM)</t>
        </is>
      </c>
      <c r="F611" t="inlineStr">
        <is>
          <t>Knowledge quality, audiences and surveys</t>
        </is>
      </c>
      <c r="G611" t="inlineStr">
        <is>
          <t>New</t>
        </is>
      </c>
      <c r="I611">
        <f>IF(H611&lt;&gt;"",H611,G611)</f>
        <v/>
      </c>
      <c r="J611" t="inlineStr">
        <is>
          <t>Step 3b-2</t>
        </is>
      </c>
      <c r="K611" t="n">
        <v>5</v>
      </c>
      <c r="L611" t="n">
        <v>2</v>
      </c>
      <c r="M611" s="5" t="inlineStr">
        <is>
          <t>As a desk admin, I want my own surveys, so that we learn more than one rating.</t>
        </is>
      </c>
      <c r="N611" s="5" t="inlineStr">
        <is>
          <t>• Given a survey, then it has several questions, types (CSAT, NPS, CES) and branching.
• Given send rules, then surveys go per desk or item with delay, sampling and throttling per requester.
• Given surveys not tied to a ticket, then they can go to a segment.
• Given results, then they are cut by agent, team and service and can trigger rules.</t>
        </is>
      </c>
      <c r="O611" s="5" t="inlineStr"/>
      <c r="P611" t="inlineStr">
        <is>
          <t>M14 gap check</t>
        </is>
      </c>
      <c r="Q611" t="inlineStr">
        <is>
          <t>US-B-108</t>
        </is>
      </c>
      <c r="R611" s="5" t="inlineStr"/>
    </row>
    <row r="612">
      <c r="A612" s="9" t="inlineStr">
        <is>
          <t>FT-G-004</t>
        </is>
      </c>
      <c r="B612" s="9" t="n">
        <v>553.725</v>
      </c>
      <c r="C612" s="9" t="inlineStr">
        <is>
          <t>Feature</t>
        </is>
      </c>
      <c r="D612" s="10" t="inlineStr">
        <is>
          <t xml:space="preserve">    Agent presence, capacity and shifts</t>
        </is>
      </c>
      <c r="E612" s="9" t="inlineStr">
        <is>
          <t>Step 3b · YukthiX Service Desk (ITSM + ESM)</t>
        </is>
      </c>
      <c r="F612" s="9" t="inlineStr">
        <is>
          <t>Agent presence, capacity and shifts</t>
        </is>
      </c>
      <c r="G612" s="9" t="inlineStr">
        <is>
          <t>New</t>
        </is>
      </c>
      <c r="H612" s="9" t="n"/>
      <c r="I612" s="9">
        <f>IF(H612&lt;&gt;"",H612,G612)</f>
        <v/>
      </c>
      <c r="J612" s="9" t="inlineStr">
        <is>
          <t>Step 3b-2</t>
        </is>
      </c>
      <c r="K612" s="9" t="n"/>
      <c r="L612" s="9" t="n"/>
      <c r="M612" s="10" t="inlineStr"/>
      <c r="N612" s="10" t="inlineStr"/>
      <c r="O612" s="10" t="inlineStr"/>
      <c r="P612" s="9" t="inlineStr">
        <is>
          <t>M14 gap check</t>
        </is>
      </c>
      <c r="Q612" s="9" t="inlineStr"/>
      <c r="R612" s="10" t="inlineStr"/>
      <c r="S612" s="9" t="n"/>
    </row>
    <row r="613">
      <c r="A613" t="inlineStr">
        <is>
          <t>US-G-075</t>
        </is>
      </c>
      <c r="B613" t="n">
        <v>553.726</v>
      </c>
      <c r="C613" t="inlineStr">
        <is>
          <t>Story</t>
        </is>
      </c>
      <c r="D613" s="5" t="inlineStr">
        <is>
          <t xml:space="preserve">        Agents set presence and work is pushed by capacity</t>
        </is>
      </c>
      <c r="E613" t="inlineStr">
        <is>
          <t>Step 3b · YukthiX Service Desk (ITSM + ESM)</t>
        </is>
      </c>
      <c r="F613" t="inlineStr">
        <is>
          <t>Agent presence, capacity and shifts</t>
        </is>
      </c>
      <c r="G613" t="inlineStr">
        <is>
          <t>New</t>
        </is>
      </c>
      <c r="I613">
        <f>IF(H613&lt;&gt;"",H613,G613)</f>
        <v/>
      </c>
      <c r="J613" t="inlineStr">
        <is>
          <t>Step 3b-2</t>
        </is>
      </c>
      <c r="K613" t="n">
        <v>5</v>
      </c>
      <c r="L613" t="n">
        <v>1</v>
      </c>
      <c r="M613" s="5" t="inlineStr">
        <is>
          <t>As a team lead, I want work pushed to free agents, so that load is balanced in real time.</t>
        </is>
      </c>
      <c r="N613" s="5" t="inlineStr">
        <is>
          <t>• Given presence (online, away, busy, offline), then it shows to leads.
• Given capacity per channel (for example 3 chats, 10 tickets), then new work goes to the best available agent.
• Given an agent at capacity or away, then they get no new pushed work.</t>
        </is>
      </c>
      <c r="O613" s="5" t="inlineStr"/>
      <c r="P613" t="inlineStr">
        <is>
          <t>M14 gap check</t>
        </is>
      </c>
      <c r="Q613" t="inlineStr">
        <is>
          <t>US-B-087</t>
        </is>
      </c>
      <c r="R613" s="5" t="inlineStr"/>
    </row>
    <row r="614">
      <c r="A614" t="inlineStr">
        <is>
          <t>US-G-076</t>
        </is>
      </c>
      <c r="B614" t="n">
        <v>553.727</v>
      </c>
      <c r="C614" t="inlineStr">
        <is>
          <t>Story</t>
        </is>
      </c>
      <c r="D614" s="5" t="inlineStr">
        <is>
          <t xml:space="preserve">        Lead plans shifts and sees staff forecasts</t>
        </is>
      </c>
      <c r="E614" t="inlineStr">
        <is>
          <t>Step 3b · YukthiX Service Desk (ITSM + ESM)</t>
        </is>
      </c>
      <c r="F614" t="inlineStr">
        <is>
          <t>Agent presence, capacity and shifts</t>
        </is>
      </c>
      <c r="G614" t="inlineStr">
        <is>
          <t>New</t>
        </is>
      </c>
      <c r="I614">
        <f>IF(H614&lt;&gt;"",H614,G614)</f>
        <v/>
      </c>
      <c r="J614" t="inlineStr">
        <is>
          <t>Step 3b-2</t>
        </is>
      </c>
      <c r="K614" t="n">
        <v>5</v>
      </c>
      <c r="L614" t="n">
        <v>2</v>
      </c>
      <c r="M614" s="5" t="inlineStr">
        <is>
          <t>As a team lead, I want shift rosters and forecasts, so that enough people are on duty.</t>
        </is>
      </c>
      <c r="N614" s="5" t="inlineStr">
        <is>
          <t>• Given rosters, then shifts can be set or imported from CSV.
• Given the live view, then capacity and load per team show.
• Given history, then volume and staff needed are forecast per day.</t>
        </is>
      </c>
      <c r="O614" s="5" t="inlineStr"/>
      <c r="P614" t="inlineStr">
        <is>
          <t>M14 gap check</t>
        </is>
      </c>
      <c r="Q614" t="inlineStr"/>
      <c r="R614" s="5" t="inlineStr"/>
    </row>
    <row r="615">
      <c r="A615" t="inlineStr">
        <is>
          <t>US-G-077</t>
        </is>
      </c>
      <c r="B615" t="n">
        <v>553.728</v>
      </c>
      <c r="C615" t="inlineStr">
        <is>
          <t>Story</t>
        </is>
      </c>
      <c r="D615" s="5" t="inlineStr">
        <is>
          <t xml:space="preserve">        Lead sees availability and productivity reports</t>
        </is>
      </c>
      <c r="E615" t="inlineStr">
        <is>
          <t>Step 3b · YukthiX Service Desk (ITSM + ESM)</t>
        </is>
      </c>
      <c r="F615" t="inlineStr">
        <is>
          <t>Agent presence, capacity and shifts</t>
        </is>
      </c>
      <c r="G615" t="inlineStr">
        <is>
          <t>New</t>
        </is>
      </c>
      <c r="I615">
        <f>IF(H615&lt;&gt;"",H615,G615)</f>
        <v/>
      </c>
      <c r="J615" t="inlineStr">
        <is>
          <t>Step 3b-2</t>
        </is>
      </c>
      <c r="K615" t="n">
        <v>3</v>
      </c>
      <c r="L615" t="n">
        <v>2</v>
      </c>
      <c r="M615" s="5" t="inlineStr">
        <is>
          <t>As a team lead, I want agent time and output reports, so that I coach fairly.</t>
        </is>
      </c>
      <c r="N615" s="5" t="inlineStr">
        <is>
          <t>• Given the report, then time online, away and busy, handle time and replies per hour are shown.
• Given time logs, then billable vs non-billable and time vs capacity are shown.
• Given cost rates, then cost per ticket is shown.</t>
        </is>
      </c>
      <c r="O615" s="5" t="inlineStr"/>
      <c r="P615" t="inlineStr">
        <is>
          <t>M14 gap check</t>
        </is>
      </c>
      <c r="Q615" t="inlineStr"/>
      <c r="R615" s="5" t="inlineStr"/>
    </row>
    <row r="616">
      <c r="A616" s="9" t="inlineStr">
        <is>
          <t>FT-G-005</t>
        </is>
      </c>
      <c r="B616" s="9" t="n">
        <v>553.8</v>
      </c>
      <c r="C616" s="9" t="inlineStr">
        <is>
          <t>Feature</t>
        </is>
      </c>
      <c r="D616" s="10" t="inlineStr">
        <is>
          <t xml:space="preserve">    Client contracts and billable time</t>
        </is>
      </c>
      <c r="E616" s="9" t="inlineStr">
        <is>
          <t>Step 3b · YukthiX Service Desk (ITSM + ESM)</t>
        </is>
      </c>
      <c r="F616" s="9" t="inlineStr">
        <is>
          <t>Client contracts and billable time</t>
        </is>
      </c>
      <c r="G616" s="9" t="inlineStr">
        <is>
          <t>New</t>
        </is>
      </c>
      <c r="H616" s="9" t="n"/>
      <c r="I616" s="9">
        <f>IF(H616&lt;&gt;"",H616,G616)</f>
        <v/>
      </c>
      <c r="J616" s="9" t="inlineStr">
        <is>
          <t>Step 3b-2</t>
        </is>
      </c>
      <c r="K616" s="9" t="n"/>
      <c r="L616" s="9" t="n"/>
      <c r="M616" s="10" t="inlineStr"/>
      <c r="N616" s="10" t="inlineStr"/>
      <c r="O616" s="10" t="inlineStr"/>
      <c r="P616" s="9" t="inlineStr">
        <is>
          <t>M14 gap check</t>
        </is>
      </c>
      <c r="Q616" s="9" t="inlineStr"/>
      <c r="R616" s="10" t="inlineStr"/>
      <c r="S616" s="9" t="n"/>
    </row>
    <row r="617">
      <c r="A617" t="inlineStr">
        <is>
          <t>US-G-078</t>
        </is>
      </c>
      <c r="B617" t="n">
        <v>553.801</v>
      </c>
      <c r="C617" t="inlineStr">
        <is>
          <t>Story</t>
        </is>
      </c>
      <c r="D617" s="5" t="inlineStr">
        <is>
          <t xml:space="preserve">        Account manager records client contracts and prepaid blocks</t>
        </is>
      </c>
      <c r="E617" t="inlineStr">
        <is>
          <t>Step 3b · YukthiX Service Desk (ITSM + ESM)</t>
        </is>
      </c>
      <c r="F617" t="inlineStr">
        <is>
          <t>Client contracts and billable time</t>
        </is>
      </c>
      <c r="G617" t="inlineStr">
        <is>
          <t>New</t>
        </is>
      </c>
      <c r="I617">
        <f>IF(H617&lt;&gt;"",H617,G617)</f>
        <v/>
      </c>
      <c r="J617" t="inlineStr">
        <is>
          <t>Step 3b-2</t>
        </is>
      </c>
      <c r="K617" t="n">
        <v>5</v>
      </c>
      <c r="L617" t="n">
        <v>2</v>
      </c>
      <c r="M617" s="5" t="inlineStr">
        <is>
          <t>As an account manager, I want client contracts of every type, so that we bill what we agreed.</t>
        </is>
      </c>
      <c r="N617" s="5" t="inlineStr">
        <is>
          <t>• Given contract types (fixed fee, hourly, block of hours or money, per device or user, project), then a client can hold several.
• Given billable time, then it draws down the block.
• Given a low or used-up balance, then client and account manager are alerted and overage rules apply.</t>
        </is>
      </c>
      <c r="O617" s="5" t="inlineStr"/>
      <c r="P617" t="inlineStr">
        <is>
          <t>M14 gap check</t>
        </is>
      </c>
      <c r="Q617" t="inlineStr"/>
      <c r="R617" s="5" t="inlineStr"/>
    </row>
    <row r="618">
      <c r="A618" t="inlineStr">
        <is>
          <t>US-G-079</t>
        </is>
      </c>
      <c r="B618" t="n">
        <v>553.802</v>
      </c>
      <c r="C618" t="inlineStr">
        <is>
          <t>Story</t>
        </is>
      </c>
      <c r="D618" s="5" t="inlineStr">
        <is>
          <t xml:space="preserve">        Agents log billable time with rates and submit timesheets</t>
        </is>
      </c>
      <c r="E618" t="inlineStr">
        <is>
          <t>Step 3b · YukthiX Service Desk (ITSM + ESM)</t>
        </is>
      </c>
      <c r="F618" t="inlineStr">
        <is>
          <t>Client contracts and billable time</t>
        </is>
      </c>
      <c r="G618" t="inlineStr">
        <is>
          <t>New</t>
        </is>
      </c>
      <c r="I618">
        <f>IF(H618&lt;&gt;"",H618,G618)</f>
        <v/>
      </c>
      <c r="J618" t="inlineStr">
        <is>
          <t>Step 3b-2</t>
        </is>
      </c>
      <c r="K618" t="n">
        <v>5</v>
      </c>
      <c r="L618" t="n">
        <v>2</v>
      </c>
      <c r="M618" s="5" t="inlineStr">
        <is>
          <t>As an agent, I want billable time with rates, so that clients are billed right.</t>
        </is>
      </c>
      <c r="N618" s="5" t="inlineStr">
        <is>
          <t>• Given a time entry, then it has billable or not, work type and rate.
• Given rates by role, client and after-hours, then the right one applies.
• Given a weekly timesheet, then a lead approves it before billing.
• Given timers, then they can start by themselves when a ticket is opened.</t>
        </is>
      </c>
      <c r="O618" s="5" t="inlineStr"/>
      <c r="P618" t="inlineStr">
        <is>
          <t>M14 gap check</t>
        </is>
      </c>
      <c r="Q618" t="inlineStr">
        <is>
          <t>US-B-091</t>
        </is>
      </c>
      <c r="R618" s="5" t="inlineStr"/>
    </row>
    <row r="619">
      <c r="A619" s="9" t="inlineStr">
        <is>
          <t>FT-G-006</t>
        </is>
      </c>
      <c r="B619" s="9" t="n">
        <v>553.875</v>
      </c>
      <c r="C619" s="9" t="inlineStr">
        <is>
          <t>Feature</t>
        </is>
      </c>
      <c r="D619" s="10" t="inlineStr">
        <is>
          <t xml:space="preserve">    Business service catalogue</t>
        </is>
      </c>
      <c r="E619" s="9" t="inlineStr">
        <is>
          <t>Step 3b · YukthiX Service Desk (ITSM + ESM)</t>
        </is>
      </c>
      <c r="F619" s="9" t="inlineStr">
        <is>
          <t>Business service catalogue</t>
        </is>
      </c>
      <c r="G619" s="9" t="inlineStr">
        <is>
          <t>New</t>
        </is>
      </c>
      <c r="H619" s="9" t="n"/>
      <c r="I619" s="9">
        <f>IF(H619&lt;&gt;"",H619,G619)</f>
        <v/>
      </c>
      <c r="J619" s="9" t="inlineStr">
        <is>
          <t>Step 3b-2</t>
        </is>
      </c>
      <c r="K619" s="9" t="n"/>
      <c r="L619" s="9" t="n"/>
      <c r="M619" s="10" t="inlineStr"/>
      <c r="N619" s="10" t="inlineStr"/>
      <c r="O619" s="10" t="inlineStr"/>
      <c r="P619" s="9" t="inlineStr">
        <is>
          <t>M14 gap check</t>
        </is>
      </c>
      <c r="Q619" s="9" t="inlineStr"/>
      <c r="R619" s="10" t="inlineStr"/>
      <c r="S619" s="9" t="n"/>
    </row>
    <row r="620">
      <c r="A620" t="inlineStr">
        <is>
          <t>US-G-080</t>
        </is>
      </c>
      <c r="B620" t="n">
        <v>553.876</v>
      </c>
      <c r="C620" t="inlineStr">
        <is>
          <t>Story</t>
        </is>
      </c>
      <c r="D620" s="5" t="inlineStr">
        <is>
          <t xml:space="preserve">        Service owner publishes business services</t>
        </is>
      </c>
      <c r="E620" t="inlineStr">
        <is>
          <t>Step 3b · YukthiX Service Desk (ITSM + ESM)</t>
        </is>
      </c>
      <c r="F620" t="inlineStr">
        <is>
          <t>Business service catalogue</t>
        </is>
      </c>
      <c r="G620" t="inlineStr">
        <is>
          <t>New</t>
        </is>
      </c>
      <c r="I620">
        <f>IF(H620&lt;&gt;"",H620,G620)</f>
        <v/>
      </c>
      <c r="J620" t="inlineStr">
        <is>
          <t>Step 3b-2</t>
        </is>
      </c>
      <c r="K620" t="n">
        <v>5</v>
      </c>
      <c r="L620" t="n">
        <v>1</v>
      </c>
      <c r="M620" s="5" t="inlineStr">
        <is>
          <t>As a service owner, I want a list of our business services, so that everyone knows what we offer and at what level.</t>
        </is>
      </c>
      <c r="N620" s="5" t="inlineStr">
        <is>
          <t>• Given a service, then it has owner, description, hours, support team, SLA, cost, consumers and status (pipeline, live, retired).
• Given requests, incidents and CIs, then they can link to a service.
• Given the portfolio view, then investment against value is shown per service.</t>
        </is>
      </c>
      <c r="O620" s="5" t="inlineStr"/>
      <c r="P620" t="inlineStr">
        <is>
          <t>M14 gap check</t>
        </is>
      </c>
      <c r="Q620" t="inlineStr"/>
      <c r="R620" s="5" t="inlineStr"/>
    </row>
    <row r="621">
      <c r="A621" s="9" t="inlineStr">
        <is>
          <t>FT-B-032</t>
        </is>
      </c>
      <c r="B621" s="9" t="n">
        <v>554</v>
      </c>
      <c r="C621" s="9" t="inlineStr">
        <is>
          <t>Feature</t>
        </is>
      </c>
      <c r="D621" s="10" t="inlineStr">
        <is>
          <t xml:space="preserve">    Problem management</t>
        </is>
      </c>
      <c r="E621" s="9" t="inlineStr">
        <is>
          <t>Step 3b · YukthiX Service Desk (ITSM + ESM)</t>
        </is>
      </c>
      <c r="F621" s="9" t="inlineStr">
        <is>
          <t>Problem management</t>
        </is>
      </c>
      <c r="G621" s="9" t="inlineStr">
        <is>
          <t>New</t>
        </is>
      </c>
      <c r="H621" s="9" t="n"/>
      <c r="I621" s="9">
        <f>IF(H621&lt;&gt;"",H621,G621)</f>
        <v/>
      </c>
      <c r="J621" s="9" t="inlineStr">
        <is>
          <t>Step 3b-3</t>
        </is>
      </c>
      <c r="K621" s="9" t="n"/>
      <c r="L621" s="9" t="n"/>
      <c r="M621" s="10" t="inlineStr"/>
      <c r="N621" s="10" t="inlineStr"/>
      <c r="O621" s="10" t="inlineStr"/>
      <c r="P621" s="9" t="inlineStr">
        <is>
          <t>M14 §3</t>
        </is>
      </c>
      <c r="Q621" s="9" t="inlineStr"/>
      <c r="R621" s="10" t="inlineStr"/>
      <c r="S621" s="9" t="n"/>
    </row>
    <row r="622">
      <c r="A622" t="inlineStr">
        <is>
          <t>US-B-138</t>
        </is>
      </c>
      <c r="B622" t="n">
        <v>554</v>
      </c>
      <c r="C622" t="inlineStr">
        <is>
          <t>Story</t>
        </is>
      </c>
      <c r="D622" s="5" t="inlineStr">
        <is>
          <t xml:space="preserve">        Agent raises a problem from repeated incidents</t>
        </is>
      </c>
      <c r="E622" t="inlineStr">
        <is>
          <t>Step 3b · YukthiX Service Desk (ITSM + ESM)</t>
        </is>
      </c>
      <c r="F622" t="inlineStr">
        <is>
          <t>Problem management</t>
        </is>
      </c>
      <c r="G622" t="inlineStr">
        <is>
          <t>New</t>
        </is>
      </c>
      <c r="I622">
        <f>IF(H622&lt;&gt;"",H622,G622)</f>
        <v/>
      </c>
      <c r="J622" t="inlineStr">
        <is>
          <t>Step 3b-3</t>
        </is>
      </c>
      <c r="K622" t="n">
        <v>5</v>
      </c>
      <c r="L622" t="n">
        <v>1</v>
      </c>
      <c r="M622" s="5" t="inlineStr">
        <is>
          <t>As a problem manager, I want similar incidents suggested as a problem, so that we fix the root cause.</t>
        </is>
      </c>
      <c r="N622" s="5" t="inlineStr">
        <is>
          <t>• Given several similar incidents, then the system suggests a problem record.
• Given a problem, then incidents can be linked to it.
• Given a problem, then it has owner, status and priority.</t>
        </is>
      </c>
      <c r="O622" s="5" t="inlineStr"/>
      <c r="P622" t="inlineStr">
        <is>
          <t>M14 §3</t>
        </is>
      </c>
      <c r="Q622" t="inlineStr">
        <is>
          <t>US-B-092</t>
        </is>
      </c>
      <c r="R622" s="5" t="inlineStr"/>
    </row>
    <row r="623">
      <c r="A623" t="inlineStr">
        <is>
          <t>US-B-139</t>
        </is>
      </c>
      <c r="B623" t="n">
        <v>555</v>
      </c>
      <c r="C623" t="inlineStr">
        <is>
          <t>Story</t>
        </is>
      </c>
      <c r="D623" s="5" t="inlineStr">
        <is>
          <t xml:space="preserve">        Problem manager records root cause and known errors</t>
        </is>
      </c>
      <c r="E623" t="inlineStr">
        <is>
          <t>Step 3b · YukthiX Service Desk (ITSM + ESM)</t>
        </is>
      </c>
      <c r="F623" t="inlineStr">
        <is>
          <t>Problem management</t>
        </is>
      </c>
      <c r="G623" t="inlineStr">
        <is>
          <t>New</t>
        </is>
      </c>
      <c r="I623">
        <f>IF(H623&lt;&gt;"",H623,G623)</f>
        <v/>
      </c>
      <c r="J623" t="inlineStr">
        <is>
          <t>Step 3b-3</t>
        </is>
      </c>
      <c r="K623" t="n">
        <v>3</v>
      </c>
      <c r="L623" t="n">
        <v>1</v>
      </c>
      <c r="M623" s="5" t="inlineStr">
        <is>
          <t>As a problem manager, I want root-cause notes and known errors with workarounds, so that agents fix incidents faster.</t>
        </is>
      </c>
      <c r="N623" s="5" t="inlineStr">
        <is>
          <t>• Given a problem, then the manager can record 5-whys and fishbone notes.
• Given a known error, then its workaround is shown to agents on linked and matching incidents.
• Given a known error, then it can be published as a knowledge article.</t>
        </is>
      </c>
      <c r="O623" s="5" t="inlineStr"/>
      <c r="P623" t="inlineStr">
        <is>
          <t>M14 §3</t>
        </is>
      </c>
      <c r="Q623" t="inlineStr">
        <is>
          <t>US-B-138</t>
        </is>
      </c>
      <c r="R623" s="5" t="inlineStr"/>
    </row>
    <row r="624">
      <c r="A624" t="inlineStr">
        <is>
          <t>US-B-140</t>
        </is>
      </c>
      <c r="B624" t="n">
        <v>556</v>
      </c>
      <c r="C624" t="inlineStr">
        <is>
          <t>Story</t>
        </is>
      </c>
      <c r="D624" s="5" t="inlineStr">
        <is>
          <t xml:space="preserve">        Fixed problem closes its incidents in bulk</t>
        </is>
      </c>
      <c r="E624" t="inlineStr">
        <is>
          <t>Step 3b · YukthiX Service Desk (ITSM + ESM)</t>
        </is>
      </c>
      <c r="F624" t="inlineStr">
        <is>
          <t>Problem management</t>
        </is>
      </c>
      <c r="G624" t="inlineStr">
        <is>
          <t>New</t>
        </is>
      </c>
      <c r="I624">
        <f>IF(H624&lt;&gt;"",H624,G624)</f>
        <v/>
      </c>
      <c r="J624" t="inlineStr">
        <is>
          <t>Step 3b-3</t>
        </is>
      </c>
      <c r="K624" t="n">
        <v>3</v>
      </c>
      <c r="L624" t="n">
        <v>1</v>
      </c>
      <c r="M624" s="5" t="inlineStr">
        <is>
          <t>As a problem manager, I want linked incidents closed when the fix is done, so that requesters hear at once.</t>
        </is>
      </c>
      <c r="N624" s="5" t="inlineStr">
        <is>
          <t>• Given a problem linked to a change, when the change is done and the problem is resolved, then the linked incidents can be resolved in one step with a message to each requester.
• Given links, then incident ↔ problem ↔ change are visible on each record.
• Given a bulk close, then each incident keeps a note linking to the problem.</t>
        </is>
      </c>
      <c r="O624" s="5" t="inlineStr"/>
      <c r="P624" t="inlineStr">
        <is>
          <t>M14 §3</t>
        </is>
      </c>
      <c r="Q624" t="inlineStr">
        <is>
          <t>US-B-139</t>
        </is>
      </c>
      <c r="R624" s="5" t="inlineStr"/>
    </row>
    <row r="625">
      <c r="A625" t="inlineStr">
        <is>
          <t>US-G-081</t>
        </is>
      </c>
      <c r="B625" t="n">
        <v>556.125</v>
      </c>
      <c r="C625" t="inlineStr">
        <is>
          <t>Story</t>
        </is>
      </c>
      <c r="D625" s="5" t="inlineStr">
        <is>
          <t xml:space="preserve">        Problem manager runs problem tasks and states</t>
        </is>
      </c>
      <c r="E625" t="inlineStr">
        <is>
          <t>Step 3b · YukthiX Service Desk (ITSM + ESM)</t>
        </is>
      </c>
      <c r="F625" t="inlineStr">
        <is>
          <t>Problem management</t>
        </is>
      </c>
      <c r="G625" t="inlineStr">
        <is>
          <t>New</t>
        </is>
      </c>
      <c r="I625">
        <f>IF(H625&lt;&gt;"",H625,G625)</f>
        <v/>
      </c>
      <c r="J625" t="inlineStr">
        <is>
          <t>Step 3b-3</t>
        </is>
      </c>
      <c r="K625" t="n">
        <v>3</v>
      </c>
      <c r="L625" t="n">
        <v>2</v>
      </c>
      <c r="M625" s="5" t="inlineStr">
        <is>
          <t>As a problem manager, I want tasks and fuller states, so that investigations are organised.</t>
        </is>
      </c>
      <c r="N625" s="5" t="inlineStr">
        <is>
          <t>• Given a problem, then tasks go to several groups with due dates.
• Given 'risk accepted' or 'fix deferred', then the problem can rest in that state with a reason.
• Given a problem, then it has a priority and a business-impact or cost estimate.</t>
        </is>
      </c>
      <c r="O625" s="5" t="inlineStr"/>
      <c r="P625" t="inlineStr">
        <is>
          <t>M14 gap check</t>
        </is>
      </c>
      <c r="Q625" t="inlineStr">
        <is>
          <t>US-B-138</t>
        </is>
      </c>
      <c r="R625" s="5" t="inlineStr"/>
    </row>
    <row r="626">
      <c r="A626" t="inlineStr">
        <is>
          <t>US-G-082</t>
        </is>
      </c>
      <c r="B626" t="n">
        <v>556.25</v>
      </c>
      <c r="C626" t="inlineStr">
        <is>
          <t>Story</t>
        </is>
      </c>
      <c r="D626" s="5" t="inlineStr">
        <is>
          <t xml:space="preserve">        Problem manager sees trends that suggest problems</t>
        </is>
      </c>
      <c r="E626" t="inlineStr">
        <is>
          <t>Step 3b · YukthiX Service Desk (ITSM + ESM)</t>
        </is>
      </c>
      <c r="F626" t="inlineStr">
        <is>
          <t>Problem management</t>
        </is>
      </c>
      <c r="G626" t="inlineStr">
        <is>
          <t>New</t>
        </is>
      </c>
      <c r="I626">
        <f>IF(H626&lt;&gt;"",H626,G626)</f>
        <v/>
      </c>
      <c r="J626" t="inlineStr">
        <is>
          <t>Step 3b-3</t>
        </is>
      </c>
      <c r="K626" t="n">
        <v>5</v>
      </c>
      <c r="L626" t="n">
        <v>2</v>
      </c>
      <c r="M626" s="5" t="inlineStr">
        <is>
          <t>As a problem manager, I want trend reports, so that we fix causes before more incidents.</t>
        </is>
      </c>
      <c r="N626" s="5" t="inlineStr">
        <is>
          <t>• Given recurring categories, CIs, resolution codes and alert clusters, then a report flags them.
• Given a cluster, then 'create problem' links its incidents.
• Given a fixed problem, then incidents avoided after the fix are counted.</t>
        </is>
      </c>
      <c r="O626" s="5" t="inlineStr"/>
      <c r="P626" t="inlineStr">
        <is>
          <t>M14 gap check</t>
        </is>
      </c>
      <c r="Q626" t="inlineStr"/>
      <c r="R626" s="5" t="inlineStr"/>
    </row>
    <row r="627">
      <c r="A627" t="inlineStr">
        <is>
          <t>US-G-083</t>
        </is>
      </c>
      <c r="B627" t="n">
        <v>556.375</v>
      </c>
      <c r="C627" t="inlineStr">
        <is>
          <t>Story</t>
        </is>
      </c>
      <c r="D627" s="5" t="inlineStr">
        <is>
          <t xml:space="preserve">        Requesters see known errors and fix status</t>
        </is>
      </c>
      <c r="E627" t="inlineStr">
        <is>
          <t>Step 3b · YukthiX Service Desk (ITSM + ESM)</t>
        </is>
      </c>
      <c r="F627" t="inlineStr">
        <is>
          <t>Problem management</t>
        </is>
      </c>
      <c r="G627" t="inlineStr">
        <is>
          <t>New</t>
        </is>
      </c>
      <c r="I627">
        <f>IF(H627&lt;&gt;"",H627,G627)</f>
        <v/>
      </c>
      <c r="J627" t="inlineStr">
        <is>
          <t>Step 3b-3</t>
        </is>
      </c>
      <c r="K627" t="n">
        <v>3</v>
      </c>
      <c r="L627" t="n">
        <v>3</v>
      </c>
      <c r="M627" s="5" t="inlineStr">
        <is>
          <t>As a requester, I want to see known issues and when they are fixed, so that I do not chase.</t>
        </is>
      </c>
      <c r="N627" s="5" t="inlineStr">
        <is>
          <t>• Given a published known error, then its workaround shows on the portal and status page.
• Given a ticket linked to a bug, then its status shows to the requester.
• Given the fix ships, then linked requesters get a notice.</t>
        </is>
      </c>
      <c r="O627" s="5" t="inlineStr"/>
      <c r="P627" t="inlineStr">
        <is>
          <t>M14 gap check</t>
        </is>
      </c>
      <c r="Q627" t="inlineStr"/>
      <c r="R627" s="5" t="inlineStr"/>
    </row>
    <row r="628">
      <c r="A628" s="9" t="inlineStr">
        <is>
          <t>FT-B-033</t>
        </is>
      </c>
      <c r="B628" s="9" t="n">
        <v>557</v>
      </c>
      <c r="C628" s="9" t="inlineStr">
        <is>
          <t>Feature</t>
        </is>
      </c>
      <c r="D628" s="10" t="inlineStr">
        <is>
          <t xml:space="preserve">    Change enablement</t>
        </is>
      </c>
      <c r="E628" s="9" t="inlineStr">
        <is>
          <t>Step 3b · YukthiX Service Desk (ITSM + ESM)</t>
        </is>
      </c>
      <c r="F628" s="9" t="inlineStr">
        <is>
          <t>Change enablement</t>
        </is>
      </c>
      <c r="G628" s="9" t="inlineStr">
        <is>
          <t>New</t>
        </is>
      </c>
      <c r="H628" s="9" t="n"/>
      <c r="I628" s="9">
        <f>IF(H628&lt;&gt;"",H628,G628)</f>
        <v/>
      </c>
      <c r="J628" s="9" t="inlineStr">
        <is>
          <t>Step 3b-3</t>
        </is>
      </c>
      <c r="K628" s="9" t="n"/>
      <c r="L628" s="9" t="n"/>
      <c r="M628" s="10" t="inlineStr"/>
      <c r="N628" s="10" t="inlineStr"/>
      <c r="O628" s="10" t="inlineStr"/>
      <c r="P628" s="9" t="inlineStr">
        <is>
          <t>M14 §4</t>
        </is>
      </c>
      <c r="Q628" s="9" t="inlineStr"/>
      <c r="R628" s="10" t="inlineStr"/>
      <c r="S628" s="9" t="n"/>
    </row>
    <row r="629">
      <c r="A629" t="inlineStr">
        <is>
          <t>US-B-141</t>
        </is>
      </c>
      <c r="B629" t="n">
        <v>557</v>
      </c>
      <c r="C629" t="inlineStr">
        <is>
          <t>Story</t>
        </is>
      </c>
      <c r="D629" s="5" t="inlineStr">
        <is>
          <t xml:space="preserve">        Change manager raises standard, normal and emergency changes</t>
        </is>
      </c>
      <c r="E629" t="inlineStr">
        <is>
          <t>Step 3b · YukthiX Service Desk (ITSM + ESM)</t>
        </is>
      </c>
      <c r="F629" t="inlineStr">
        <is>
          <t>Change enablement</t>
        </is>
      </c>
      <c r="G629" t="inlineStr">
        <is>
          <t>New</t>
        </is>
      </c>
      <c r="I629">
        <f>IF(H629&lt;&gt;"",H629,G629)</f>
        <v/>
      </c>
      <c r="J629" t="inlineStr">
        <is>
          <t>Step 3b-3</t>
        </is>
      </c>
      <c r="K629" t="n">
        <v>5</v>
      </c>
      <c r="L629" t="n">
        <v>1</v>
      </c>
      <c r="M629" s="5" t="inlineStr">
        <is>
          <t>As a change manager, I want three change types, so that small safe changes are fast and risky ones are checked.</t>
        </is>
      </c>
      <c r="N629" s="5" t="inlineStr">
        <is>
          <t>• Given a standard change, then it comes from a pre-approved template and needs no CAB.
• Given a normal change, then it needs risk assessment and CAB approval.
• Given an emergency change, then it uses a short emergency approval and is reviewed afterwards.</t>
        </is>
      </c>
      <c r="O629" s="5" t="inlineStr"/>
      <c r="P629" t="inlineStr">
        <is>
          <t>M14 §4</t>
        </is>
      </c>
      <c r="Q629" t="inlineStr">
        <is>
          <t>US-B-112</t>
        </is>
      </c>
      <c r="R629" s="5" t="inlineStr"/>
    </row>
    <row r="630">
      <c r="A630" t="inlineStr">
        <is>
          <t>US-B-142</t>
        </is>
      </c>
      <c r="B630" t="n">
        <v>558</v>
      </c>
      <c r="C630" t="inlineStr">
        <is>
          <t>Story</t>
        </is>
      </c>
      <c r="D630" s="5" t="inlineStr">
        <is>
          <t xml:space="preserve">        Change gets a risk score from a questionnaire</t>
        </is>
      </c>
      <c r="E630" t="inlineStr">
        <is>
          <t>Step 3b · YukthiX Service Desk (ITSM + ESM)</t>
        </is>
      </c>
      <c r="F630" t="inlineStr">
        <is>
          <t>Change enablement</t>
        </is>
      </c>
      <c r="G630" t="inlineStr">
        <is>
          <t>New</t>
        </is>
      </c>
      <c r="I630">
        <f>IF(H630&lt;&gt;"",H630,G630)</f>
        <v/>
      </c>
      <c r="J630" t="inlineStr">
        <is>
          <t>Step 3b-3</t>
        </is>
      </c>
      <c r="K630" t="n">
        <v>3</v>
      </c>
      <c r="L630" t="n">
        <v>1</v>
      </c>
      <c r="M630" s="5" t="inlineStr">
        <is>
          <t>As a change manager, I want a risk score from fixed questions, so that risk is judged the same way every time.</t>
        </is>
      </c>
      <c r="N630" s="5" t="inlineStr">
        <is>
          <t>• Given the risk questionnaire, then answers give a risk score and level.
• Given a high risk level, then more approvers are required.
• Given the questionnaire, then a desk admin can change questions and weights, and old changes keep the version they used.</t>
        </is>
      </c>
      <c r="O630" s="5" t="inlineStr"/>
      <c r="P630" t="inlineStr">
        <is>
          <t>M14 §4</t>
        </is>
      </c>
      <c r="Q630" t="inlineStr">
        <is>
          <t>US-B-141</t>
        </is>
      </c>
      <c r="R630" s="5" t="inlineStr"/>
    </row>
    <row r="631">
      <c r="A631" t="inlineStr">
        <is>
          <t>US-B-143</t>
        </is>
      </c>
      <c r="B631" t="n">
        <v>559</v>
      </c>
      <c r="C631" t="inlineStr">
        <is>
          <t>Story</t>
        </is>
      </c>
      <c r="D631" s="5" t="inlineStr">
        <is>
          <t xml:space="preserve">        CAB members approve changes in meetings</t>
        </is>
      </c>
      <c r="E631" t="inlineStr">
        <is>
          <t>Step 3b · YukthiX Service Desk (ITSM + ESM)</t>
        </is>
      </c>
      <c r="F631" t="inlineStr">
        <is>
          <t>Change enablement</t>
        </is>
      </c>
      <c r="G631" t="inlineStr">
        <is>
          <t>New</t>
        </is>
      </c>
      <c r="I631">
        <f>IF(H631&lt;&gt;"",H631,G631)</f>
        <v/>
      </c>
      <c r="J631" t="inlineStr">
        <is>
          <t>Step 3b-3</t>
        </is>
      </c>
      <c r="K631" t="n">
        <v>5</v>
      </c>
      <c r="L631" t="n">
        <v>1</v>
      </c>
      <c r="M631" s="5" t="inlineStr">
        <is>
          <t>As a CAB member, I want an agenda and approvals, so that we decide changes together.</t>
        </is>
      </c>
      <c r="N631" s="5" t="inlineStr">
        <is>
          <t>• Given a CAB meeting, then it lists the changes to review with risk and plans.
• Given each change, then each CAB member records approve, reject or more info.
• Given decisions, then they are saved on the change with the meeting notes.</t>
        </is>
      </c>
      <c r="O631" s="5" t="inlineStr"/>
      <c r="P631" t="inlineStr">
        <is>
          <t>M14 §4</t>
        </is>
      </c>
      <c r="Q631" t="inlineStr">
        <is>
          <t>US-B-142</t>
        </is>
      </c>
      <c r="R631" s="5" t="inlineStr"/>
    </row>
    <row r="632">
      <c r="A632" t="inlineStr">
        <is>
          <t>US-B-144</t>
        </is>
      </c>
      <c r="B632" t="n">
        <v>560</v>
      </c>
      <c r="C632" t="inlineStr">
        <is>
          <t>Story</t>
        </is>
      </c>
      <c r="D632" s="5" t="inlineStr">
        <is>
          <t xml:space="preserve">        Change calendar shows blackouts and conflicts</t>
        </is>
      </c>
      <c r="E632" t="inlineStr">
        <is>
          <t>Step 3b · YukthiX Service Desk (ITSM + ESM)</t>
        </is>
      </c>
      <c r="F632" t="inlineStr">
        <is>
          <t>Change enablement</t>
        </is>
      </c>
      <c r="G632" t="inlineStr">
        <is>
          <t>New</t>
        </is>
      </c>
      <c r="I632">
        <f>IF(H632&lt;&gt;"",H632,G632)</f>
        <v/>
      </c>
      <c r="J632" t="inlineStr">
        <is>
          <t>Step 3b-3</t>
        </is>
      </c>
      <c r="K632" t="n">
        <v>5</v>
      </c>
      <c r="L632" t="n">
        <v>1</v>
      </c>
      <c r="M632" s="5" t="inlineStr">
        <is>
          <t>As a change manager, I want a calendar with freeze windows, so that changes do not clash.</t>
        </is>
      </c>
      <c r="N632" s="5" t="inlineStr">
        <is>
          <t>• Given blackout or freeze windows, then a change in them is blocked unless it is an emergency.
• Given two changes on the same CI at the same time, then a conflict is shown.
• Given the calendar, then it shows planned changes and releases by date.</t>
        </is>
      </c>
      <c r="O632" s="5" t="inlineStr"/>
      <c r="P632" t="inlineStr">
        <is>
          <t>M14 §4</t>
        </is>
      </c>
      <c r="Q632" t="inlineStr">
        <is>
          <t>US-B-141</t>
        </is>
      </c>
      <c r="R632" s="5" t="inlineStr"/>
    </row>
    <row r="633">
      <c r="A633" t="inlineStr">
        <is>
          <t>US-B-145</t>
        </is>
      </c>
      <c r="B633" t="n">
        <v>561</v>
      </c>
      <c r="C633" t="inlineStr">
        <is>
          <t>Story</t>
        </is>
      </c>
      <c r="D633" s="5" t="inlineStr">
        <is>
          <t xml:space="preserve">        Change carries plans and a post-implementation review</t>
        </is>
      </c>
      <c r="E633" t="inlineStr">
        <is>
          <t>Step 3b · YukthiX Service Desk (ITSM + ESM)</t>
        </is>
      </c>
      <c r="F633" t="inlineStr">
        <is>
          <t>Change enablement</t>
        </is>
      </c>
      <c r="G633" t="inlineStr">
        <is>
          <t>New</t>
        </is>
      </c>
      <c r="I633">
        <f>IF(H633&lt;&gt;"",H633,G633)</f>
        <v/>
      </c>
      <c r="J633" t="inlineStr">
        <is>
          <t>Step 3b-3</t>
        </is>
      </c>
      <c r="K633" t="n">
        <v>3</v>
      </c>
      <c r="L633" t="n">
        <v>1</v>
      </c>
      <c r="M633" s="5" t="inlineStr">
        <is>
          <t>As a change manager, I want implementation, back-out and test plans and a review, so that we learn from each change.</t>
        </is>
      </c>
      <c r="N633" s="5" t="inlineStr">
        <is>
          <t>• Given a normal change, then implementation, back-out and test plans are required before approval.
• Given a finished change, then a post-implementation review records the result.
• Given a change, then it links to affected CIs and releases.</t>
        </is>
      </c>
      <c r="O633" s="5" t="inlineStr"/>
      <c r="P633" t="inlineStr">
        <is>
          <t>M14 §4</t>
        </is>
      </c>
      <c r="Q633" t="inlineStr">
        <is>
          <t>US-B-141</t>
        </is>
      </c>
      <c r="R633" s="5" t="inlineStr"/>
    </row>
    <row r="634">
      <c r="A634" t="inlineStr">
        <is>
          <t>US-G-084</t>
        </is>
      </c>
      <c r="B634" t="n">
        <v>561.056</v>
      </c>
      <c r="C634" t="inlineStr">
        <is>
          <t>Story</t>
        </is>
      </c>
      <c r="D634" s="5" t="inlineStr">
        <is>
          <t xml:space="preserve">        Proven low-risk changes are auto-approved</t>
        </is>
      </c>
      <c r="E634" t="inlineStr">
        <is>
          <t>Step 3b · YukthiX Service Desk (ITSM + ESM)</t>
        </is>
      </c>
      <c r="F634" t="inlineStr">
        <is>
          <t>Change enablement</t>
        </is>
      </c>
      <c r="G634" t="inlineStr">
        <is>
          <t>New</t>
        </is>
      </c>
      <c r="I634">
        <f>IF(H634&lt;&gt;"",H634,G634)</f>
        <v/>
      </c>
      <c r="J634" t="inlineStr">
        <is>
          <t>Step 3b-3</t>
        </is>
      </c>
      <c r="K634" t="n">
        <v>5</v>
      </c>
      <c r="L634" t="n">
        <v>2</v>
      </c>
      <c r="M634" s="5" t="inlineStr">
        <is>
          <t>As a change manager, I want auto-approval for proven changes, so that CAB time goes to risky work.</t>
        </is>
      </c>
      <c r="N634" s="5" t="inlineStr">
        <is>
          <t>• Given past results per team and model, then a success score is kept.
• Given a low risk score, low service criticality and a good success score, then the change is auto-approved.
• Given an auto-approval, then the reason is recorded.</t>
        </is>
      </c>
      <c r="O634" s="5" t="inlineStr"/>
      <c r="P634" t="inlineStr">
        <is>
          <t>M14 gap check</t>
        </is>
      </c>
      <c r="Q634" t="inlineStr">
        <is>
          <t>US-B-142</t>
        </is>
      </c>
      <c r="R634" s="5" t="inlineStr"/>
    </row>
    <row r="635">
      <c r="A635" t="inlineStr">
        <is>
          <t>US-G-085</t>
        </is>
      </c>
      <c r="B635" t="n">
        <v>561.111</v>
      </c>
      <c r="C635" t="inlineStr">
        <is>
          <t>Story</t>
        </is>
      </c>
      <c r="D635" s="5" t="inlineStr">
        <is>
          <t xml:space="preserve">        Pipelines create and gate change records</t>
        </is>
      </c>
      <c r="E635" t="inlineStr">
        <is>
          <t>Step 3b · YukthiX Service Desk (ITSM + ESM)</t>
        </is>
      </c>
      <c r="F635" t="inlineStr">
        <is>
          <t>Change enablement</t>
        </is>
      </c>
      <c r="G635" t="inlineStr">
        <is>
          <t>New</t>
        </is>
      </c>
      <c r="I635">
        <f>IF(H635&lt;&gt;"",H635,G635)</f>
        <v/>
      </c>
      <c r="J635" t="inlineStr">
        <is>
          <t>Step 3b-3</t>
        </is>
      </c>
      <c r="K635" t="n">
        <v>8</v>
      </c>
      <c r="L635" t="n">
        <v>1</v>
      </c>
      <c r="M635" s="5" t="inlineStr">
        <is>
          <t>As a developer, I want my pipeline to raise and wait for change approval, so that deploys follow change rules without manual forms.</t>
        </is>
      </c>
      <c r="N635" s="5" t="inlineStr">
        <is>
          <t>• Given GitHub Actions, GitLab, Azure DevOps, Jenkins or similar, then a deploy creates and fills a change record through the API.
• Given a standard change, then it approves and closes by policy (tests passed, outside freeze).
• Given a normal change, then the pipeline waits until approval.
• Given the result, then success or failure is recorded on the change.</t>
        </is>
      </c>
      <c r="O635" s="5" t="inlineStr"/>
      <c r="P635" t="inlineStr">
        <is>
          <t>M14 gap check</t>
        </is>
      </c>
      <c r="Q635" t="inlineStr">
        <is>
          <t>US-B-136</t>
        </is>
      </c>
      <c r="R635" s="5" t="inlineStr"/>
    </row>
    <row r="636">
      <c r="A636" t="inlineStr">
        <is>
          <t>US-G-086</t>
        </is>
      </c>
      <c r="B636" t="n">
        <v>561.167</v>
      </c>
      <c r="C636" t="inlineStr">
        <is>
          <t>Story</t>
        </is>
      </c>
      <c r="D636" s="5" t="inlineStr">
        <is>
          <t xml:space="preserve">        Change calendar checks CI windows, dependents and busy days</t>
        </is>
      </c>
      <c r="E636" t="inlineStr">
        <is>
          <t>Step 3b · YukthiX Service Desk (ITSM + ESM)</t>
        </is>
      </c>
      <c r="F636" t="inlineStr">
        <is>
          <t>Change enablement</t>
        </is>
      </c>
      <c r="G636" t="inlineStr">
        <is>
          <t>New</t>
        </is>
      </c>
      <c r="I636">
        <f>IF(H636&lt;&gt;"",H636,G636)</f>
        <v/>
      </c>
      <c r="J636" t="inlineStr">
        <is>
          <t>Step 3b-3</t>
        </is>
      </c>
      <c r="K636" t="n">
        <v>3</v>
      </c>
      <c r="L636" t="n">
        <v>2</v>
      </c>
      <c r="M636" s="5" t="inlineStr">
        <is>
          <t>As a change manager, I want better clash checks, so that changes do not hit busy times.</t>
        </is>
      </c>
      <c r="N636" s="5" t="inlineStr">
        <is>
          <t>• Given maintenance windows per CI or service, then a change outside them is flagged.
• Given CMDB relations, then changes on dependent CIs at the same time are shown as clashes.
• Given business events such as payroll day, then changes on those days are flagged.</t>
        </is>
      </c>
      <c r="O636" s="5" t="inlineStr"/>
      <c r="P636" t="inlineStr">
        <is>
          <t>M14 gap check</t>
        </is>
      </c>
      <c r="Q636" t="inlineStr">
        <is>
          <t>US-B-144</t>
        </is>
      </c>
      <c r="R636" s="5" t="inlineStr"/>
    </row>
    <row r="637">
      <c r="A637" t="inlineStr">
        <is>
          <t>US-G-087</t>
        </is>
      </c>
      <c r="B637" t="n">
        <v>561.222</v>
      </c>
      <c r="C637" t="inlineStr">
        <is>
          <t>Story</t>
        </is>
      </c>
      <c r="D637" s="5" t="inlineStr">
        <is>
          <t xml:space="preserve">        Discovery flags unauthorised changes and drift</t>
        </is>
      </c>
      <c r="E637" t="inlineStr">
        <is>
          <t>Step 3b · YukthiX Service Desk (ITSM + ESM)</t>
        </is>
      </c>
      <c r="F637" t="inlineStr">
        <is>
          <t>Change enablement</t>
        </is>
      </c>
      <c r="G637" t="inlineStr">
        <is>
          <t>New</t>
        </is>
      </c>
      <c r="I637">
        <f>IF(H637&lt;&gt;"",H637,G637)</f>
        <v/>
      </c>
      <c r="J637" t="inlineStr">
        <is>
          <t>Step 3b-3</t>
        </is>
      </c>
      <c r="K637" t="n">
        <v>5</v>
      </c>
      <c r="L637" t="n">
        <v>2</v>
      </c>
      <c r="M637" s="5" t="inlineStr">
        <is>
          <t>As a change manager, I want unplanned changes found, so that nothing changes without approval.</t>
        </is>
      </c>
      <c r="N637" s="5" t="inlineStr">
        <is>
          <t>• Given discovery sees new software, hardware or config change with no approved change, then it is flagged for review.
• Given a CI baseline, then a drift raises an alert or ticket.
• Given a flagged item, then it can be linked to a change or accepted with a reason.</t>
        </is>
      </c>
      <c r="O637" s="5" t="inlineStr"/>
      <c r="P637" t="inlineStr">
        <is>
          <t>M14 gap check</t>
        </is>
      </c>
      <c r="Q637" t="inlineStr">
        <is>
          <t>US-B-150</t>
        </is>
      </c>
      <c r="R637" s="5" t="inlineStr"/>
    </row>
    <row r="638">
      <c r="A638" t="inlineStr">
        <is>
          <t>US-G-088</t>
        </is>
      </c>
      <c r="B638" t="n">
        <v>561.278</v>
      </c>
      <c r="C638" t="inlineStr">
        <is>
          <t>Story</t>
        </is>
      </c>
      <c r="D638" s="5" t="inlineStr">
        <is>
          <t xml:space="preserve">        Change manager designs a workflow per change model</t>
        </is>
      </c>
      <c r="E638" t="inlineStr">
        <is>
          <t>Step 3b · YukthiX Service Desk (ITSM + ESM)</t>
        </is>
      </c>
      <c r="F638" t="inlineStr">
        <is>
          <t>Change enablement</t>
        </is>
      </c>
      <c r="G638" t="inlineStr">
        <is>
          <t>New</t>
        </is>
      </c>
      <c r="I638">
        <f>IF(H638&lt;&gt;"",H638,G638)</f>
        <v/>
      </c>
      <c r="J638" t="inlineStr">
        <is>
          <t>Step 3b-3</t>
        </is>
      </c>
      <c r="K638" t="n">
        <v>5</v>
      </c>
      <c r="L638" t="n">
        <v>2</v>
      </c>
      <c r="M638" s="5" t="inlineStr">
        <is>
          <t>As a change manager, I want a workflow per change model, so that each kind of change follows its own path.</t>
        </is>
      </c>
      <c r="N638" s="5" t="inlineStr">
        <is>
          <t>• Given the designer, then stages (plan, CAB, implement, review) have approvers, tasks, required fields and notices.
• Given a template, then it picks its workflow.
• Given affected CIs and services, then their owners are added as approvers by themselves.</t>
        </is>
      </c>
      <c r="O638" s="5" t="inlineStr"/>
      <c r="P638" t="inlineStr">
        <is>
          <t>M14 gap check</t>
        </is>
      </c>
      <c r="Q638" t="inlineStr"/>
      <c r="R638" s="5" t="inlineStr"/>
    </row>
    <row r="639">
      <c r="A639" t="inlineStr">
        <is>
          <t>US-G-089</t>
        </is>
      </c>
      <c r="B639" t="n">
        <v>561.333</v>
      </c>
      <c r="C639" t="inlineStr">
        <is>
          <t>Story</t>
        </is>
      </c>
      <c r="D639" s="5" t="inlineStr">
        <is>
          <t xml:space="preserve">        Change tasks follow an order; calendar is shared</t>
        </is>
      </c>
      <c r="E639" t="inlineStr">
        <is>
          <t>Step 3b · YukthiX Service Desk (ITSM + ESM)</t>
        </is>
      </c>
      <c r="F639" t="inlineStr">
        <is>
          <t>Change enablement</t>
        </is>
      </c>
      <c r="G639" t="inlineStr">
        <is>
          <t>New</t>
        </is>
      </c>
      <c r="I639">
        <f>IF(H639&lt;&gt;"",H639,G639)</f>
        <v/>
      </c>
      <c r="J639" t="inlineStr">
        <is>
          <t>Step 3b-3</t>
        </is>
      </c>
      <c r="K639" t="n">
        <v>3</v>
      </c>
      <c r="L639" t="n">
        <v>3</v>
      </c>
      <c r="M639" s="5" t="inlineStr">
        <is>
          <t>As a change manager, I want ordered change tasks and a shared calendar, so that work happens in the right order.</t>
        </is>
      </c>
      <c r="N639" s="5" t="inlineStr">
        <is>
          <t>• Given tasks, then each has planned start and end and dependencies.
• Given recurring changes, then they are created on a schedule.
• Given an iCal feed, then the change calendar shows in Outlook or Google.</t>
        </is>
      </c>
      <c r="O639" s="5" t="inlineStr"/>
      <c r="P639" t="inlineStr">
        <is>
          <t>M14 gap check</t>
        </is>
      </c>
      <c r="Q639" t="inlineStr"/>
      <c r="R639" s="5" t="inlineStr"/>
    </row>
    <row r="640">
      <c r="A640" t="inlineStr">
        <is>
          <t>US-G-090</t>
        </is>
      </c>
      <c r="B640" t="n">
        <v>561.389</v>
      </c>
      <c r="C640" t="inlineStr">
        <is>
          <t>Story</t>
        </is>
      </c>
      <c r="D640" s="5" t="inlineStr">
        <is>
          <t xml:space="preserve">        Standard changes are ordered from a change catalogue</t>
        </is>
      </c>
      <c r="E640" t="inlineStr">
        <is>
          <t>Step 3b · YukthiX Service Desk (ITSM + ESM)</t>
        </is>
      </c>
      <c r="F640" t="inlineStr">
        <is>
          <t>Change enablement</t>
        </is>
      </c>
      <c r="G640" t="inlineStr">
        <is>
          <t>New</t>
        </is>
      </c>
      <c r="I640">
        <f>IF(H640&lt;&gt;"",H640,G640)</f>
        <v/>
      </c>
      <c r="J640" t="inlineStr">
        <is>
          <t>Step 3b-3</t>
        </is>
      </c>
      <c r="K640" t="n">
        <v>2</v>
      </c>
      <c r="L640" t="n">
        <v>3</v>
      </c>
      <c r="M640" s="5" t="inlineStr">
        <is>
          <t>As an engineer, I want standard changes as catalogue items, so that safe changes are fast.</t>
        </is>
      </c>
      <c r="N640" s="5" t="inlineStr">
        <is>
          <t>• Given a standard change, then it is published as an orderable item with its form.
• Given an order, then the pre-approved workflow starts.
• Given access, then only technical staff see the change catalogue.</t>
        </is>
      </c>
      <c r="O640" s="5" t="inlineStr"/>
      <c r="P640" t="inlineStr">
        <is>
          <t>M14 gap check</t>
        </is>
      </c>
      <c r="Q640" t="inlineStr"/>
      <c r="R640" s="5" t="inlineStr"/>
    </row>
    <row r="641">
      <c r="A641" t="inlineStr">
        <is>
          <t>US-G-091</t>
        </is>
      </c>
      <c r="B641" t="n">
        <v>561.444</v>
      </c>
      <c r="C641" t="inlineStr">
        <is>
          <t>Story</t>
        </is>
      </c>
      <c r="D641" s="5" t="inlineStr">
        <is>
          <t xml:space="preserve">        Affected users get planned outage notices</t>
        </is>
      </c>
      <c r="E641" t="inlineStr">
        <is>
          <t>Step 3b · YukthiX Service Desk (ITSM + ESM)</t>
        </is>
      </c>
      <c r="F641" t="inlineStr">
        <is>
          <t>Change enablement</t>
        </is>
      </c>
      <c r="G641" t="inlineStr">
        <is>
          <t>New</t>
        </is>
      </c>
      <c r="I641">
        <f>IF(H641&lt;&gt;"",H641,G641)</f>
        <v/>
      </c>
      <c r="J641" t="inlineStr">
        <is>
          <t>Step 3b-3</t>
        </is>
      </c>
      <c r="K641" t="n">
        <v>3</v>
      </c>
      <c r="L641" t="n">
        <v>2</v>
      </c>
      <c r="M641" s="5" t="inlineStr">
        <is>
          <t>As an employee, I want notice of planned outages that affect me, so that I can plan around them.</t>
        </is>
      </c>
      <c r="N641" s="5" t="inlineStr">
        <is>
          <t>• Given an approved change with downtime, then users of affected services (through the CMDB) are told.
• Given the change, then a maintenance post goes to the status page and a portal banner.
• Given the status page, then each component shows its uptime history.</t>
        </is>
      </c>
      <c r="O641" s="5" t="inlineStr"/>
      <c r="P641" t="inlineStr">
        <is>
          <t>M14 gap check</t>
        </is>
      </c>
      <c r="Q641" t="inlineStr">
        <is>
          <t>US-B-163</t>
        </is>
      </c>
      <c r="R641" s="5" t="inlineStr"/>
    </row>
    <row r="642">
      <c r="A642" s="9" t="inlineStr">
        <is>
          <t>FT-B-034</t>
        </is>
      </c>
      <c r="B642" s="9" t="n">
        <v>562</v>
      </c>
      <c r="C642" s="9" t="inlineStr">
        <is>
          <t>Feature</t>
        </is>
      </c>
      <c r="D642" s="10" t="inlineStr">
        <is>
          <t xml:space="preserve">    Release and deployment</t>
        </is>
      </c>
      <c r="E642" s="9" t="inlineStr">
        <is>
          <t>Step 3b · YukthiX Service Desk (ITSM + ESM)</t>
        </is>
      </c>
      <c r="F642" s="9" t="inlineStr">
        <is>
          <t>Release and deployment</t>
        </is>
      </c>
      <c r="G642" s="9" t="inlineStr">
        <is>
          <t>New</t>
        </is>
      </c>
      <c r="H642" s="9" t="n"/>
      <c r="I642" s="9">
        <f>IF(H642&lt;&gt;"",H642,G642)</f>
        <v/>
      </c>
      <c r="J642" s="9" t="inlineStr">
        <is>
          <t>Step 3b-3</t>
        </is>
      </c>
      <c r="K642" s="9" t="n"/>
      <c r="L642" s="9" t="n"/>
      <c r="M642" s="10" t="inlineStr"/>
      <c r="N642" s="10" t="inlineStr"/>
      <c r="O642" s="10" t="inlineStr"/>
      <c r="P642" s="9" t="inlineStr">
        <is>
          <t>M14 §5</t>
        </is>
      </c>
      <c r="Q642" s="9" t="inlineStr"/>
      <c r="R642" s="10" t="inlineStr"/>
      <c r="S642" s="9" t="n"/>
    </row>
    <row r="643">
      <c r="A643" t="inlineStr">
        <is>
          <t>US-B-146</t>
        </is>
      </c>
      <c r="B643" t="n">
        <v>562</v>
      </c>
      <c r="C643" t="inlineStr">
        <is>
          <t>Story</t>
        </is>
      </c>
      <c r="D643" s="5" t="inlineStr">
        <is>
          <t xml:space="preserve">        Release manager groups changes into a release</t>
        </is>
      </c>
      <c r="E643" t="inlineStr">
        <is>
          <t>Step 3b · YukthiX Service Desk (ITSM + ESM)</t>
        </is>
      </c>
      <c r="F643" t="inlineStr">
        <is>
          <t>Release and deployment</t>
        </is>
      </c>
      <c r="G643" t="inlineStr">
        <is>
          <t>New</t>
        </is>
      </c>
      <c r="I643">
        <f>IF(H643&lt;&gt;"",H643,G643)</f>
        <v/>
      </c>
      <c r="J643" t="inlineStr">
        <is>
          <t>Step 3b-3</t>
        </is>
      </c>
      <c r="K643" t="n">
        <v>5</v>
      </c>
      <c r="L643" t="n">
        <v>1</v>
      </c>
      <c r="M643" s="5" t="inlineStr">
        <is>
          <t>As a release manager, I want releases with tasks and sign-offs, so that deployments are planned.</t>
        </is>
      </c>
      <c r="N643" s="5" t="inlineStr">
        <is>
          <t>• Given a release, then it groups changes and shows on the release calendar.
• Given deployment tasks, then each has an owner and a due time.
• Given sign-offs, then the release cannot close until all are given.</t>
        </is>
      </c>
      <c r="O643" s="5" t="inlineStr"/>
      <c r="P643" t="inlineStr">
        <is>
          <t>M14 §5</t>
        </is>
      </c>
      <c r="Q643" t="inlineStr">
        <is>
          <t>US-B-144</t>
        </is>
      </c>
      <c r="R643" s="5" t="inlineStr"/>
    </row>
    <row r="644">
      <c r="A644" t="inlineStr">
        <is>
          <t>US-G-092</t>
        </is>
      </c>
      <c r="B644" t="n">
        <v>562.125</v>
      </c>
      <c r="C644" t="inlineStr">
        <is>
          <t>Story</t>
        </is>
      </c>
      <c r="D644" s="5" t="inlineStr">
        <is>
          <t xml:space="preserve">        Release manager runs go / no-go checks</t>
        </is>
      </c>
      <c r="E644" t="inlineStr">
        <is>
          <t>Step 3b · YukthiX Service Desk (ITSM + ESM)</t>
        </is>
      </c>
      <c r="F644" t="inlineStr">
        <is>
          <t>Release and deployment</t>
        </is>
      </c>
      <c r="G644" t="inlineStr">
        <is>
          <t>New</t>
        </is>
      </c>
      <c r="I644">
        <f>IF(H644&lt;&gt;"",H644,G644)</f>
        <v/>
      </c>
      <c r="J644" t="inlineStr">
        <is>
          <t>Step 3b-3</t>
        </is>
      </c>
      <c r="K644" t="n">
        <v>3</v>
      </c>
      <c r="L644" t="n">
        <v>2</v>
      </c>
      <c r="M644" s="5" t="inlineStr">
        <is>
          <t>As a release manager, I want release types and readiness checks, so that we release only when ready.</t>
        </is>
      </c>
      <c r="N644" s="5" t="inlineStr">
        <is>
          <t>• Given release types (major, minor, emergency), then each has phases and milestones.
• Given a readiness checklist, then the go / no-go decision is recorded with who decided.
• Given Jira or GitHub, then versions and work items are linked.</t>
        </is>
      </c>
      <c r="O644" s="5" t="inlineStr"/>
      <c r="P644" t="inlineStr">
        <is>
          <t>M14 gap check</t>
        </is>
      </c>
      <c r="Q644" t="inlineStr">
        <is>
          <t>US-B-146</t>
        </is>
      </c>
      <c r="R644" s="5" t="inlineStr"/>
    </row>
    <row r="645">
      <c r="A645" t="inlineStr">
        <is>
          <t>US-G-093</t>
        </is>
      </c>
      <c r="B645" t="n">
        <v>562.25</v>
      </c>
      <c r="C645" t="inlineStr">
        <is>
          <t>Story</t>
        </is>
      </c>
      <c r="D645" s="5" t="inlineStr">
        <is>
          <t xml:space="preserve">        Releases show deployments per environment and code links</t>
        </is>
      </c>
      <c r="E645" t="inlineStr">
        <is>
          <t>Step 3b · YukthiX Service Desk (ITSM + ESM)</t>
        </is>
      </c>
      <c r="F645" t="inlineStr">
        <is>
          <t>Release and deployment</t>
        </is>
      </c>
      <c r="G645" t="inlineStr">
        <is>
          <t>New</t>
        </is>
      </c>
      <c r="I645">
        <f>IF(H645&lt;&gt;"",H645,G645)</f>
        <v/>
      </c>
      <c r="J645" t="inlineStr">
        <is>
          <t>Step 3b-3</t>
        </is>
      </c>
      <c r="K645" t="n">
        <v>5</v>
      </c>
      <c r="L645" t="n">
        <v>2</v>
      </c>
      <c r="M645" s="5" t="inlineStr">
        <is>
          <t>As a release manager, I want what is deployed where, so that we can trace any version.</t>
        </is>
      </c>
      <c r="N645" s="5" t="inlineStr">
        <is>
          <t>• Given environments (dev, test, staging, prod), then deployments are tracked per environment with version.
• Given commits, pull requests and builds, then they show on changes and releases.
• Given CIs, then they show the version deployed.</t>
        </is>
      </c>
      <c r="O645" s="5" t="inlineStr"/>
      <c r="P645" t="inlineStr">
        <is>
          <t>M14 gap check</t>
        </is>
      </c>
      <c r="Q645" t="inlineStr"/>
      <c r="R645" s="5" t="inlineStr"/>
    </row>
    <row r="646">
      <c r="A646" t="inlineStr">
        <is>
          <t>US-G-094</t>
        </is>
      </c>
      <c r="B646" t="n">
        <v>562.375</v>
      </c>
      <c r="C646" t="inlineStr">
        <is>
          <t>Story</t>
        </is>
      </c>
      <c r="D646" s="5" t="inlineStr">
        <is>
          <t xml:space="preserve">        Release keeps tests, sign-off, approved versions and notes</t>
        </is>
      </c>
      <c r="E646" t="inlineStr">
        <is>
          <t>Step 3b · YukthiX Service Desk (ITSM + ESM)</t>
        </is>
      </c>
      <c r="F646" t="inlineStr">
        <is>
          <t>Release and deployment</t>
        </is>
      </c>
      <c r="G646" t="inlineStr">
        <is>
          <t>New</t>
        </is>
      </c>
      <c r="I646">
        <f>IF(H646&lt;&gt;"",H646,G646)</f>
        <v/>
      </c>
      <c r="J646" t="inlineStr">
        <is>
          <t>Step 3b-3</t>
        </is>
      </c>
      <c r="K646" t="n">
        <v>3</v>
      </c>
      <c r="L646" t="n">
        <v>3</v>
      </c>
      <c r="M646" s="5" t="inlineStr">
        <is>
          <t>As a release manager, I want test plans and release notes, so that quality is proven and users know what changed.</t>
        </is>
      </c>
      <c r="N646" s="5" t="inlineStr">
        <is>
          <t>• Given a test plan, then test cases, results, defects and UAT sign-off are kept and linked.
• Given approved software versions, then they are kept in a library.
• Given release notes, then they publish to the portal or KB.</t>
        </is>
      </c>
      <c r="O646" s="5" t="inlineStr"/>
      <c r="P646" t="inlineStr">
        <is>
          <t>M14 gap check</t>
        </is>
      </c>
      <c r="Q646" t="inlineStr"/>
      <c r="R646" s="5" t="inlineStr"/>
    </row>
    <row r="647">
      <c r="A647" s="9" t="inlineStr">
        <is>
          <t>FT-B-035</t>
        </is>
      </c>
      <c r="B647" s="9" t="n">
        <v>563</v>
      </c>
      <c r="C647" s="9" t="inlineStr">
        <is>
          <t>Feature</t>
        </is>
      </c>
      <c r="D647" s="10" t="inlineStr">
        <is>
          <t xml:space="preserve">    Asset management</t>
        </is>
      </c>
      <c r="E647" s="9" t="inlineStr">
        <is>
          <t>Step 3b · YukthiX Service Desk (ITSM + ESM)</t>
        </is>
      </c>
      <c r="F647" s="9" t="inlineStr">
        <is>
          <t>Asset management</t>
        </is>
      </c>
      <c r="G647" s="9" t="inlineStr">
        <is>
          <t>New</t>
        </is>
      </c>
      <c r="H647" s="9" t="n"/>
      <c r="I647" s="9">
        <f>IF(H647&lt;&gt;"",H647,G647)</f>
        <v/>
      </c>
      <c r="J647" s="9" t="inlineStr">
        <is>
          <t>Step 3b-3</t>
        </is>
      </c>
      <c r="K647" s="9" t="n"/>
      <c r="L647" s="9" t="n"/>
      <c r="M647" s="10" t="inlineStr"/>
      <c r="N647" s="10" t="inlineStr"/>
      <c r="O647" s="10" t="inlineStr"/>
      <c r="P647" s="9" t="inlineStr">
        <is>
          <t>M14 §6, M14 Q3–Q4, M01 assets</t>
        </is>
      </c>
      <c r="Q647" s="9" t="inlineStr"/>
      <c r="R647" s="10" t="inlineStr"/>
      <c r="S647" s="9" t="n"/>
    </row>
    <row r="648">
      <c r="A648" t="inlineStr">
        <is>
          <t>US-B-147</t>
        </is>
      </c>
      <c r="B648" t="n">
        <v>563</v>
      </c>
      <c r="C648" t="inlineStr">
        <is>
          <t>Story</t>
        </is>
      </c>
      <c r="D648" s="5" t="inlineStr">
        <is>
          <t xml:space="preserve">        Asset manager keeps a register with lifecycle history</t>
        </is>
      </c>
      <c r="E648" t="inlineStr">
        <is>
          <t>Step 3b · YukthiX Service Desk (ITSM + ESM)</t>
        </is>
      </c>
      <c r="F648" t="inlineStr">
        <is>
          <t>Asset management</t>
        </is>
      </c>
      <c r="G648" t="inlineStr">
        <is>
          <t>New</t>
        </is>
      </c>
      <c r="I648">
        <f>IF(H648&lt;&gt;"",H648,G648)</f>
        <v/>
      </c>
      <c r="J648" t="inlineStr">
        <is>
          <t>Step 3b-3</t>
        </is>
      </c>
      <c r="K648" t="n">
        <v>5</v>
      </c>
      <c r="L648" t="n">
        <v>1</v>
      </c>
      <c r="M648" s="5" t="inlineStr">
        <is>
          <t>As an asset manager, I want every asset with its lifecycle, so that I know what we own and where it is.</t>
        </is>
      </c>
      <c r="N648" s="5" t="inlineStr">
        <is>
          <t>• Given asset types (hardware, software, mobile, furniture, vehicles, access cards), then each asset has a lifecycle: ordered → in stock → assigned → in repair → retired / disposed.
• Given any change, then it is kept in the asset history.
• Given the M01 simple asset register, then its data moves here and M01 uses this model.</t>
        </is>
      </c>
      <c r="O648" s="5" t="inlineStr"/>
      <c r="P648" t="inlineStr">
        <is>
          <t>M14 §6, M14 Q3–Q4, M01 assets</t>
        </is>
      </c>
      <c r="Q648" t="inlineStr">
        <is>
          <t>US-B-112</t>
        </is>
      </c>
      <c r="R648" s="5" t="inlineStr"/>
    </row>
    <row r="649">
      <c r="A649" t="inlineStr">
        <is>
          <t>US-B-148</t>
        </is>
      </c>
      <c r="B649" t="n">
        <v>564</v>
      </c>
      <c r="C649" t="inlineStr">
        <is>
          <t>Story</t>
        </is>
      </c>
      <c r="D649" s="5" t="inlineStr">
        <is>
          <t xml:space="preserve">        Asset manager assigns and scans assets</t>
        </is>
      </c>
      <c r="E649" t="inlineStr">
        <is>
          <t>Step 3b · YukthiX Service Desk (ITSM + ESM)</t>
        </is>
      </c>
      <c r="F649" t="inlineStr">
        <is>
          <t>Asset management</t>
        </is>
      </c>
      <c r="G649" t="inlineStr">
        <is>
          <t>New</t>
        </is>
      </c>
      <c r="I649">
        <f>IF(H649&lt;&gt;"",H649,G649)</f>
        <v/>
      </c>
      <c r="J649" t="inlineStr">
        <is>
          <t>Step 3b-3</t>
        </is>
      </c>
      <c r="K649" t="n">
        <v>5</v>
      </c>
      <c r="L649" t="n">
        <v>1</v>
      </c>
      <c r="M649" s="5" t="inlineStr">
        <is>
          <t>As an asset manager, I want to assign assets and scan their tags, so that check-in and check-out are quick.</t>
        </is>
      </c>
      <c r="N649" s="5" t="inlineStr">
        <is>
          <t>• Given an asset, then it can be assigned to a person, location or department, and checked in or out.
• Given a barcode or QR tag, then the mobile app (M04) scan opens the asset.
• Given M01 onboarding or exit, then assets are issued or returned through this flow.</t>
        </is>
      </c>
      <c r="O649" s="5" t="inlineStr"/>
      <c r="P649" t="inlineStr">
        <is>
          <t>M14 §6, M14 Q3–Q4, M01 assets</t>
        </is>
      </c>
      <c r="Q649" t="inlineStr">
        <is>
          <t>US-B-147, US-B-127</t>
        </is>
      </c>
      <c r="R649" s="5" t="inlineStr"/>
    </row>
    <row r="650">
      <c r="A650" t="inlineStr">
        <is>
          <t>US-B-149</t>
        </is>
      </c>
      <c r="B650" t="n">
        <v>565</v>
      </c>
      <c r="C650" t="inlineStr">
        <is>
          <t>Story</t>
        </is>
      </c>
      <c r="D650" s="5" t="inlineStr">
        <is>
          <t xml:space="preserve">        Finance tracks warranty, AMC, lease and depreciation</t>
        </is>
      </c>
      <c r="E650" t="inlineStr">
        <is>
          <t>Step 3b · YukthiX Service Desk (ITSM + ESM)</t>
        </is>
      </c>
      <c r="F650" t="inlineStr">
        <is>
          <t>Asset management</t>
        </is>
      </c>
      <c r="G650" t="inlineStr">
        <is>
          <t>New</t>
        </is>
      </c>
      <c r="I650">
        <f>IF(H650&lt;&gt;"",H650,G650)</f>
        <v/>
      </c>
      <c r="J650" t="inlineStr">
        <is>
          <t>Step 3b-3</t>
        </is>
      </c>
      <c r="K650" t="n">
        <v>5</v>
      </c>
      <c r="L650" t="n">
        <v>1</v>
      </c>
      <c r="M650" s="5" t="inlineStr">
        <is>
          <t>As a finance user, I want warranties, AMCs, leases and depreciation tracked, so that renewals and books are right.</t>
        </is>
      </c>
      <c r="N650" s="5" t="inlineStr">
        <is>
          <t>• Given warranty, AMC or lease end dates, then reminders go before expiry.
• Given depreciation, then straight line and written-down value methods are available.
• Given a period, then a depreciation report can be exported.</t>
        </is>
      </c>
      <c r="O650" s="5" t="inlineStr"/>
      <c r="P650" t="inlineStr">
        <is>
          <t>M14 §6, M14 Q3–Q4, M01 assets</t>
        </is>
      </c>
      <c r="Q650" t="inlineStr">
        <is>
          <t>US-B-147</t>
        </is>
      </c>
      <c r="R650" s="5" t="inlineStr"/>
    </row>
    <row r="651">
      <c r="A651" t="inlineStr">
        <is>
          <t>US-B-150</t>
        </is>
      </c>
      <c r="B651" t="n">
        <v>566</v>
      </c>
      <c r="C651" t="inlineStr">
        <is>
          <t>Story</t>
        </is>
      </c>
      <c r="D651" s="5" t="inlineStr">
        <is>
          <t xml:space="preserve">        IT admin enrols devices with osquery</t>
        </is>
      </c>
      <c r="E651" t="inlineStr">
        <is>
          <t>Step 3b · YukthiX Service Desk (ITSM + ESM)</t>
        </is>
      </c>
      <c r="F651" t="inlineStr">
        <is>
          <t>Asset management</t>
        </is>
      </c>
      <c r="G651" t="inlineStr">
        <is>
          <t>New</t>
        </is>
      </c>
      <c r="I651">
        <f>IF(H651&lt;&gt;"",H651,G651)</f>
        <v/>
      </c>
      <c r="J651" t="inlineStr">
        <is>
          <t>Step 3b-3</t>
        </is>
      </c>
      <c r="K651" t="n">
        <v>8</v>
      </c>
      <c r="L651" t="n">
        <v>1</v>
      </c>
      <c r="M651" s="5" t="inlineStr">
        <is>
          <t>As an IT admin, I want devices found automatically, so that the inventory is always current.</t>
        </is>
      </c>
      <c r="N651" s="5" t="inlineStr">
        <is>
          <t>• Given the company enrolment key, then osquery enrols through our TLS enrol, config and logger endpoints; no own agent code runs on devices.
• Given each device, then it has its own revocable key, TLS uses our pinned certificate, and the company secret can be rotated.
• Given collected data, then it is inventory only: no browsing history, no files, no personal data.</t>
        </is>
      </c>
      <c r="O651" s="5" t="inlineStr"/>
      <c r="P651" t="inlineStr">
        <is>
          <t>M14 §6, M14 Q3–Q4, M01 assets</t>
        </is>
      </c>
      <c r="Q651" t="inlineStr">
        <is>
          <t>US-B-147</t>
        </is>
      </c>
      <c r="R651" s="5" t="inlineStr"/>
    </row>
    <row r="652">
      <c r="A652" t="inlineStr">
        <is>
          <t>US-B-151</t>
        </is>
      </c>
      <c r="B652" t="n">
        <v>567</v>
      </c>
      <c r="C652" t="inlineStr">
        <is>
          <t>Story</t>
        </is>
      </c>
      <c r="D652" s="5" t="inlineStr">
        <is>
          <t xml:space="preserve">        Discovery never runs remote actions</t>
        </is>
      </c>
      <c r="E652" t="inlineStr">
        <is>
          <t>Step 3b · YukthiX Service Desk (ITSM + ESM)</t>
        </is>
      </c>
      <c r="F652" t="inlineStr">
        <is>
          <t>Asset management</t>
        </is>
      </c>
      <c r="G652" t="inlineStr">
        <is>
          <t>New</t>
        </is>
      </c>
      <c r="I652">
        <f>IF(H652&lt;&gt;"",H652,G652)</f>
        <v/>
      </c>
      <c r="J652" t="inlineStr">
        <is>
          <t>Step 3b-3</t>
        </is>
      </c>
      <c r="K652" t="n">
        <v>3</v>
      </c>
      <c r="L652" t="n">
        <v>1</v>
      </c>
      <c r="M652" s="5" t="inlineStr">
        <is>
          <t>As a company IT admin, I want YukthiX unable to control our devices, so that a YukthiX breach cannot reach them.</t>
        </is>
      </c>
      <c r="N652" s="5" t="inlineStr">
        <is>
          <t>• Given the agent, then it runs only our fixed read-only query pack.
• Given any request for remote commands, scripts or ad-hoc live queries, then the API has no way to send them.
• Given remote control needs, then the docs point to the company's own MDM.</t>
        </is>
      </c>
      <c r="O652" s="5" t="inlineStr"/>
      <c r="P652" t="inlineStr">
        <is>
          <t>M14 §6, M14 Q3–Q4, M01 assets</t>
        </is>
      </c>
      <c r="Q652" t="inlineStr">
        <is>
          <t>US-B-150</t>
        </is>
      </c>
      <c r="R652" s="5" t="inlineStr"/>
    </row>
    <row r="653">
      <c r="A653" t="inlineStr">
        <is>
          <t>US-B-152</t>
        </is>
      </c>
      <c r="B653" t="n">
        <v>568</v>
      </c>
      <c r="C653" t="inlineStr">
        <is>
          <t>Story</t>
        </is>
      </c>
      <c r="D653" s="5" t="inlineStr">
        <is>
          <t xml:space="preserve">        IT admin downloads signed installers</t>
        </is>
      </c>
      <c r="E653" t="inlineStr">
        <is>
          <t>Step 3b · YukthiX Service Desk (ITSM + ESM)</t>
        </is>
      </c>
      <c r="F653" t="inlineStr">
        <is>
          <t>Asset management</t>
        </is>
      </c>
      <c r="G653" t="inlineStr">
        <is>
          <t>New</t>
        </is>
      </c>
      <c r="I653">
        <f>IF(H653&lt;&gt;"",H653,G653)</f>
        <v/>
      </c>
      <c r="J653" t="inlineStr">
        <is>
          <t>Step 3b-3</t>
        </is>
      </c>
      <c r="K653" t="n">
        <v>3</v>
      </c>
      <c r="L653" t="n">
        <v>1</v>
      </c>
      <c r="M653" s="5" t="inlineStr">
        <is>
          <t>As an IT admin, I want code-signed installers for Windows and macOS, so that devices trust them.</t>
        </is>
      </c>
      <c r="N653" s="5" t="inlineStr">
        <is>
          <t>• Given Windows and macOS installers, then they are code-signed and carry the company enrolment settings.
• Given Linux, then a package and a script are provided.
• Given a new installer version, then devices on the old version are listed for update.</t>
        </is>
      </c>
      <c r="O653" s="5" t="inlineStr"/>
      <c r="P653" t="inlineStr">
        <is>
          <t>M14 §6, M14 Q3–Q4, M01 assets</t>
        </is>
      </c>
      <c r="Q653" t="inlineStr">
        <is>
          <t>US-B-150</t>
        </is>
      </c>
      <c r="R653" s="5" t="inlineStr"/>
    </row>
    <row r="654">
      <c r="A654" t="inlineStr">
        <is>
          <t>US-B-153</t>
        </is>
      </c>
      <c r="B654" t="n">
        <v>569</v>
      </c>
      <c r="C654" t="inlineStr">
        <is>
          <t>Story</t>
        </is>
      </c>
      <c r="D654" s="5" t="inlineStr">
        <is>
          <t xml:space="preserve">        Asset manager tracks software licences</t>
        </is>
      </c>
      <c r="E654" t="inlineStr">
        <is>
          <t>Step 3b · YukthiX Service Desk (ITSM + ESM)</t>
        </is>
      </c>
      <c r="F654" t="inlineStr">
        <is>
          <t>Asset management</t>
        </is>
      </c>
      <c r="G654" t="inlineStr">
        <is>
          <t>New</t>
        </is>
      </c>
      <c r="I654">
        <f>IF(H654&lt;&gt;"",H654,G654)</f>
        <v/>
      </c>
      <c r="J654" t="inlineStr">
        <is>
          <t>Step 3b-3</t>
        </is>
      </c>
      <c r="K654" t="n">
        <v>5</v>
      </c>
      <c r="L654" t="n">
        <v>1</v>
      </c>
      <c r="M654" s="5" t="inlineStr">
        <is>
          <t>As an asset manager, I want licence entitlements against installations, so that we stay compliant.</t>
        </is>
      </c>
      <c r="N654" s="5" t="inlineStr">
        <is>
          <t>• Given a licence, then entitlements are compared with discovered installations.
• Given more installs than entitlements, then a compliance alert is raised.
• Given a renewal date, then reminders go before it.</t>
        </is>
      </c>
      <c r="O654" s="5" t="inlineStr"/>
      <c r="P654" t="inlineStr">
        <is>
          <t>M14 §6, M14 Q3–Q4, M01 assets</t>
        </is>
      </c>
      <c r="Q654" t="inlineStr">
        <is>
          <t>US-B-150</t>
        </is>
      </c>
      <c r="R654" s="5" t="inlineStr"/>
    </row>
    <row r="655">
      <c r="A655" t="inlineStr">
        <is>
          <t>US-B-154</t>
        </is>
      </c>
      <c r="B655" t="n">
        <v>570</v>
      </c>
      <c r="C655" t="inlineStr">
        <is>
          <t>Story</t>
        </is>
      </c>
      <c r="D655" s="5" t="inlineStr">
        <is>
          <t xml:space="preserve">        IT admin imports devices from MDM and CSV</t>
        </is>
      </c>
      <c r="E655" t="inlineStr">
        <is>
          <t>Step 3b · YukthiX Service Desk (ITSM + ESM)</t>
        </is>
      </c>
      <c r="F655" t="inlineStr">
        <is>
          <t>Asset management</t>
        </is>
      </c>
      <c r="G655" t="inlineStr">
        <is>
          <t>New</t>
        </is>
      </c>
      <c r="I655">
        <f>IF(H655&lt;&gt;"",H655,G655)</f>
        <v/>
      </c>
      <c r="J655" t="inlineStr">
        <is>
          <t>Step 3b-3</t>
        </is>
      </c>
      <c r="K655" t="n">
        <v>5</v>
      </c>
      <c r="L655" t="n">
        <v>1</v>
      </c>
      <c r="M655" s="5" t="inlineStr">
        <is>
          <t>As an IT admin, I want devices from Intune, Jamf, Google Workspace or CSV, so that we start with a full list.</t>
        </is>
      </c>
      <c r="N655" s="5" t="inlineStr">
        <is>
          <t>• Given an Intune, Jamf or Google Workspace connection, then devices import and update on a schedule.
• Given a CSV file, then a preview shows errors before import.
• Given the same device from two sources, then they are merged by serial number.</t>
        </is>
      </c>
      <c r="O655" s="5" t="inlineStr"/>
      <c r="P655" t="inlineStr">
        <is>
          <t>M14 §6, M14 Q3–Q4, M01 assets</t>
        </is>
      </c>
      <c r="Q655" t="inlineStr">
        <is>
          <t>US-B-147</t>
        </is>
      </c>
      <c r="R655" s="5" t="inlineStr"/>
    </row>
    <row r="656">
      <c r="A656" t="inlineStr">
        <is>
          <t>US-B-155</t>
        </is>
      </c>
      <c r="B656" t="n">
        <v>571</v>
      </c>
      <c r="C656" t="inlineStr">
        <is>
          <t>Story</t>
        </is>
      </c>
      <c r="D656" s="5" t="inlineStr">
        <is>
          <t xml:space="preserve">        IT admin finds office devices with a read-only probe</t>
        </is>
      </c>
      <c r="E656" t="inlineStr">
        <is>
          <t>Step 3b · YukthiX Service Desk (ITSM + ESM)</t>
        </is>
      </c>
      <c r="F656" t="inlineStr">
        <is>
          <t>Asset management</t>
        </is>
      </c>
      <c r="G656" t="inlineStr">
        <is>
          <t>New</t>
        </is>
      </c>
      <c r="I656">
        <f>IF(H656&lt;&gt;"",H656,G656)</f>
        <v/>
      </c>
      <c r="J656" t="inlineStr">
        <is>
          <t>Step 3b-3</t>
        </is>
      </c>
      <c r="K656" t="n">
        <v>5</v>
      </c>
      <c r="L656" t="n">
        <v>2</v>
      </c>
      <c r="M656" s="5" t="inlineStr">
        <is>
          <t>As an IT admin, I want an office probe to find printers and network devices, so that unmanaged devices are in the list.</t>
        </is>
      </c>
      <c r="N656" s="5" t="inlineStr">
        <is>
          <t>• Given the office probe, then it uses read-only SNMP and ARP only; nmap is not used or bundled.
• Given found devices, then they appear as "discovered" until the admin confirms them as assets.
• Given the probe, then it is set up with a company key and can be switched off at any time.</t>
        </is>
      </c>
      <c r="O656" s="5" t="inlineStr"/>
      <c r="P656" t="inlineStr">
        <is>
          <t>M14 §6, M14 Q3–Q4, M01 assets</t>
        </is>
      </c>
      <c r="Q656" t="inlineStr">
        <is>
          <t>US-B-150</t>
        </is>
      </c>
      <c r="R656" s="5" t="inlineStr"/>
    </row>
    <row r="657">
      <c r="A657" t="inlineStr">
        <is>
          <t>US-G-095</t>
        </is>
      </c>
      <c r="B657" t="n">
        <v>571.026</v>
      </c>
      <c r="C657" t="inlineStr">
        <is>
          <t>Story</t>
        </is>
      </c>
      <c r="D657" s="5" t="inlineStr">
        <is>
          <t xml:space="preserve">        Discovered software is normalised</t>
        </is>
      </c>
      <c r="E657" t="inlineStr">
        <is>
          <t>Step 3b · YukthiX Service Desk (ITSM + ESM)</t>
        </is>
      </c>
      <c r="F657" t="inlineStr">
        <is>
          <t>Asset management</t>
        </is>
      </c>
      <c r="G657" t="inlineStr">
        <is>
          <t>New</t>
        </is>
      </c>
      <c r="I657">
        <f>IF(H657&lt;&gt;"",H657,G657)</f>
        <v/>
      </c>
      <c r="J657" t="inlineStr">
        <is>
          <t>Step 3b-3</t>
        </is>
      </c>
      <c r="K657" t="n">
        <v>5</v>
      </c>
      <c r="L657" t="n">
        <v>1</v>
      </c>
      <c r="M657" s="5" t="inlineStr">
        <is>
          <t>As an asset manager, I want clean software names, so that licence counts are right.</t>
        </is>
      </c>
      <c r="N657" s="5" t="inlineStr">
        <is>
          <t>• Given discovered titles, then they map to publisher, product, version and edition.
• Given variants, then they merge by themselves.
• Given an admin, then normalisation can be overridden or switched off per item.</t>
        </is>
      </c>
      <c r="O657" s="5" t="inlineStr"/>
      <c r="P657" t="inlineStr">
        <is>
          <t>M14 gap check</t>
        </is>
      </c>
      <c r="Q657" t="inlineStr">
        <is>
          <t>US-B-150</t>
        </is>
      </c>
      <c r="R657" s="5" t="inlineStr"/>
    </row>
    <row r="658">
      <c r="A658" t="inlineStr">
        <is>
          <t>US-G-096</t>
        </is>
      </c>
      <c r="B658" t="n">
        <v>571.053</v>
      </c>
      <c r="C658" t="inlineStr">
        <is>
          <t>Story</t>
        </is>
      </c>
      <c r="D658" s="5" t="inlineStr">
        <is>
          <t xml:space="preserve">        Devices from many sources are matched with source priority</t>
        </is>
      </c>
      <c r="E658" t="inlineStr">
        <is>
          <t>Step 3b · YukthiX Service Desk (ITSM + ESM)</t>
        </is>
      </c>
      <c r="F658" t="inlineStr">
        <is>
          <t>Asset management</t>
        </is>
      </c>
      <c r="G658" t="inlineStr">
        <is>
          <t>New</t>
        </is>
      </c>
      <c r="I658">
        <f>IF(H658&lt;&gt;"",H658,G658)</f>
        <v/>
      </c>
      <c r="J658" t="inlineStr">
        <is>
          <t>Step 3b-3</t>
        </is>
      </c>
      <c r="K658" t="n">
        <v>8</v>
      </c>
      <c r="L658" t="n">
        <v>1</v>
      </c>
      <c r="M658" s="5" t="inlineStr">
        <is>
          <t>As an IT admin, I want one record per device from all sources, so that the register is trusted.</t>
        </is>
      </c>
      <c r="N658" s="5" t="inlineStr">
        <is>
          <t>• Given osquery, MDM, probe, CSV, cloud and finance sources, then rules match records per CI type by chosen attributes.
• Given conflicts, then source priority per field decides, and a duplicate queue shows the rest.
• Given import rules, then owner, location or company are set by IP range or host name.
• Given gaps (in finance but never seen, seen but not in MDM), then they are reported with a data-quality score.</t>
        </is>
      </c>
      <c r="O658" s="5" t="inlineStr"/>
      <c r="P658" t="inlineStr">
        <is>
          <t>M14 gap check</t>
        </is>
      </c>
      <c r="Q658" t="inlineStr">
        <is>
          <t>US-B-154</t>
        </is>
      </c>
      <c r="R658" s="5" t="inlineStr"/>
    </row>
    <row r="659">
      <c r="A659" t="inlineStr">
        <is>
          <t>US-G-097</t>
        </is>
      </c>
      <c r="B659" t="n">
        <v>571.079</v>
      </c>
      <c r="C659" t="inlineStr">
        <is>
          <t>Story</t>
        </is>
      </c>
      <c r="D659" s="5" t="inlineStr">
        <is>
          <t xml:space="preserve">        Asset manager reclaims unused licences and seats</t>
        </is>
      </c>
      <c r="E659" t="inlineStr">
        <is>
          <t>Step 3b · YukthiX Service Desk (ITSM + ESM)</t>
        </is>
      </c>
      <c r="F659" t="inlineStr">
        <is>
          <t>Asset management</t>
        </is>
      </c>
      <c r="G659" t="inlineStr">
        <is>
          <t>New</t>
        </is>
      </c>
      <c r="I659">
        <f>IF(H659&lt;&gt;"",H659,G659)</f>
        <v/>
      </c>
      <c r="J659" t="inlineStr">
        <is>
          <t>Step 3b-3</t>
        </is>
      </c>
      <c r="K659" t="n">
        <v>5</v>
      </c>
      <c r="L659" t="n">
        <v>2</v>
      </c>
      <c r="M659" s="5" t="inlineStr">
        <is>
          <t>As an asset manager, I want to reclaim unused licences, so that we do not pay for idle seats.</t>
        </is>
      </c>
      <c r="N659" s="5" t="inlineStr">
        <is>
          <t>• Given licence metrics (user, device, core, concurrent, subscription), then compliance uses the right one.
• Given no use for N days, then the seat is proposed for reclaim.
• Given reclaim, then it needs approval and the user is told first.</t>
        </is>
      </c>
      <c r="O659" s="5" t="inlineStr"/>
      <c r="P659" t="inlineStr">
        <is>
          <t>M14 gap check</t>
        </is>
      </c>
      <c r="Q659" t="inlineStr">
        <is>
          <t>US-B-153</t>
        </is>
      </c>
      <c r="R659" s="5" t="inlineStr"/>
    </row>
    <row r="660">
      <c r="A660" t="inlineStr">
        <is>
          <t>US-G-098</t>
        </is>
      </c>
      <c r="B660" t="n">
        <v>571.105</v>
      </c>
      <c r="C660" t="inlineStr">
        <is>
          <t>Story</t>
        </is>
      </c>
      <c r="D660" s="5" t="inlineStr">
        <is>
          <t xml:space="preserve">        IT admin finds and manages SaaS apps</t>
        </is>
      </c>
      <c r="E660" t="inlineStr">
        <is>
          <t>Step 3b · YukthiX Service Desk (ITSM + ESM)</t>
        </is>
      </c>
      <c r="F660" t="inlineStr">
        <is>
          <t>Asset management</t>
        </is>
      </c>
      <c r="G660" t="inlineStr">
        <is>
          <t>New</t>
        </is>
      </c>
      <c r="I660">
        <f>IF(H660&lt;&gt;"",H660,G660)</f>
        <v/>
      </c>
      <c r="J660" t="inlineStr">
        <is>
          <t>Step 3b-3</t>
        </is>
      </c>
      <c r="K660" t="n">
        <v>8</v>
      </c>
      <c r="L660" t="n">
        <v>1</v>
      </c>
      <c r="M660" s="5" t="inlineStr">
        <is>
          <t>As an IT admin, I want a list of SaaS apps in use, so that we control shadow IT and cost.</t>
        </is>
      </c>
      <c r="N660" s="5" t="inlineStr">
        <is>
          <t>• Given SSO sign-in data (Entra, Google, Okta) and expense or invoice imports, then SaaS apps in use are found (read only).
• Given each app, then seats, last use per user, vendor, category and renewal are shown.
• Given an exit, then the leaver's SaaS seats are listed for removal.
• Given a renewal, then an alert suggests seat counts from use.</t>
        </is>
      </c>
      <c r="O660" s="5" t="inlineStr"/>
      <c r="P660" t="inlineStr">
        <is>
          <t>M14 gap check</t>
        </is>
      </c>
      <c r="Q660" t="inlineStr"/>
      <c r="R660" s="5" t="inlineStr"/>
    </row>
    <row r="661">
      <c r="A661" t="inlineStr">
        <is>
          <t>US-G-099</t>
        </is>
      </c>
      <c r="B661" t="n">
        <v>571.1319999999999</v>
      </c>
      <c r="C661" t="inlineStr">
        <is>
          <t>Story</t>
        </is>
      </c>
      <c r="D661" s="5" t="inlineStr">
        <is>
          <t xml:space="preserve">        Asset manager keeps stock, consumables and reorder levels</t>
        </is>
      </c>
      <c r="E661" t="inlineStr">
        <is>
          <t>Step 3b · YukthiX Service Desk (ITSM + ESM)</t>
        </is>
      </c>
      <c r="F661" t="inlineStr">
        <is>
          <t>Asset management</t>
        </is>
      </c>
      <c r="G661" t="inlineStr">
        <is>
          <t>New</t>
        </is>
      </c>
      <c r="I661">
        <f>IF(H661&lt;&gt;"",H661,G661)</f>
        <v/>
      </c>
      <c r="J661" t="inlineStr">
        <is>
          <t>Step 3b-3</t>
        </is>
      </c>
      <c r="K661" t="n">
        <v>5</v>
      </c>
      <c r="L661" t="n">
        <v>2</v>
      </c>
      <c r="M661" s="5" t="inlineStr">
        <is>
          <t>As an asset manager, I want stock rooms and consumables, so that we never run out.</t>
        </is>
      </c>
      <c r="N661" s="5" t="inlineStr">
        <is>
          <t>• Given models and stock rooms, then stock levels per model and room are shown.
• Given consumables, then they are tracked by quantity and issued against tickets.
• Given a reorder level, then a low-stock alert and a draft purchase request are made.
• Given transfers, then stock moves between rooms with history.</t>
        </is>
      </c>
      <c r="O661" s="5" t="inlineStr"/>
      <c r="P661" t="inlineStr">
        <is>
          <t>M14 gap check</t>
        </is>
      </c>
      <c r="Q661" t="inlineStr"/>
      <c r="R661" s="5" t="inlineStr"/>
    </row>
    <row r="662">
      <c r="A662" t="inlineStr">
        <is>
          <t>US-G-100</t>
        </is>
      </c>
      <c r="B662" t="n">
        <v>571.158</v>
      </c>
      <c r="C662" t="inlineStr">
        <is>
          <t>Story</t>
        </is>
      </c>
      <c r="D662" s="5" t="inlineStr">
        <is>
          <t xml:space="preserve">        Staff borrow loaner assets</t>
        </is>
      </c>
      <c r="E662" t="inlineStr">
        <is>
          <t>Step 3b · YukthiX Service Desk (ITSM + ESM)</t>
        </is>
      </c>
      <c r="F662" t="inlineStr">
        <is>
          <t>Asset management</t>
        </is>
      </c>
      <c r="G662" t="inlineStr">
        <is>
          <t>New</t>
        </is>
      </c>
      <c r="I662">
        <f>IF(H662&lt;&gt;"",H662,G662)</f>
        <v/>
      </c>
      <c r="J662" t="inlineStr">
        <is>
          <t>Step 3b-3</t>
        </is>
      </c>
      <c r="K662" t="n">
        <v>3</v>
      </c>
      <c r="L662" t="n">
        <v>2</v>
      </c>
      <c r="M662" s="5" t="inlineStr">
        <is>
          <t>As an employee, I want to borrow a laptop or projector, so that I have it when I need it.</t>
        </is>
      </c>
      <c r="N662" s="5" t="inlineStr">
        <is>
          <t>• Given a loaner pool, then I book an item for a period.
• Given the due date, then reminders go and overdue items escalate.
• Given return, then condition notes are saved and history is kept.</t>
        </is>
      </c>
      <c r="O662" s="5" t="inlineStr"/>
      <c r="P662" t="inlineStr">
        <is>
          <t>M14 gap check</t>
        </is>
      </c>
      <c r="Q662" t="inlineStr"/>
      <c r="R662" s="5" t="inlineStr"/>
    </row>
    <row r="663">
      <c r="A663" t="inlineStr">
        <is>
          <t>US-G-101</t>
        </is>
      </c>
      <c r="B663" t="n">
        <v>571.184</v>
      </c>
      <c r="C663" t="inlineStr">
        <is>
          <t>Story</t>
        </is>
      </c>
      <c r="D663" s="5" t="inlineStr">
        <is>
          <t xml:space="preserve">        Asset manager runs physical verification</t>
        </is>
      </c>
      <c r="E663" t="inlineStr">
        <is>
          <t>Step 3b · YukthiX Service Desk (ITSM + ESM)</t>
        </is>
      </c>
      <c r="F663" t="inlineStr">
        <is>
          <t>Asset management</t>
        </is>
      </c>
      <c r="G663" t="inlineStr">
        <is>
          <t>New</t>
        </is>
      </c>
      <c r="I663">
        <f>IF(H663&lt;&gt;"",H663,G663)</f>
        <v/>
      </c>
      <c r="J663" t="inlineStr">
        <is>
          <t>Step 3b-3</t>
        </is>
      </c>
      <c r="K663" t="n">
        <v>5</v>
      </c>
      <c r="L663" t="n">
        <v>1</v>
      </c>
      <c r="M663" s="5" t="inlineStr">
        <is>
          <t>As an asset manager, I want audits by location, so that the register matches reality.</t>
        </is>
      </c>
      <c r="N663" s="5" t="inlineStr">
        <is>
          <t>• Given a campaign per location, then staff scan tags with the mobile app or employees confirm their assets.
• Given results, then a found / missing / unexpected / moved report is made.
• Given exceptions, then they can be fixed in bulk with audit.</t>
        </is>
      </c>
      <c r="O663" s="5" t="inlineStr"/>
      <c r="P663" t="inlineStr">
        <is>
          <t>M14 gap check</t>
        </is>
      </c>
      <c r="Q663" t="inlineStr">
        <is>
          <t>US-B-148</t>
        </is>
      </c>
      <c r="R663" s="5" t="inlineStr"/>
    </row>
    <row r="664">
      <c r="A664" t="inlineStr">
        <is>
          <t>US-G-102</t>
        </is>
      </c>
      <c r="B664" t="n">
        <v>571.211</v>
      </c>
      <c r="C664" t="inlineStr">
        <is>
          <t>Story</t>
        </is>
      </c>
      <c r="D664" s="5" t="inlineStr">
        <is>
          <t xml:space="preserve">        Asset manager disposes assets with certificates</t>
        </is>
      </c>
      <c r="E664" t="inlineStr">
        <is>
          <t>Step 3b · YukthiX Service Desk (ITSM + ESM)</t>
        </is>
      </c>
      <c r="F664" t="inlineStr">
        <is>
          <t>Asset management</t>
        </is>
      </c>
      <c r="G664" t="inlineStr">
        <is>
          <t>New</t>
        </is>
      </c>
      <c r="I664">
        <f>IF(H664&lt;&gt;"",H664,G664)</f>
        <v/>
      </c>
      <c r="J664" t="inlineStr">
        <is>
          <t>Step 3b-3</t>
        </is>
      </c>
      <c r="K664" t="n">
        <v>3</v>
      </c>
      <c r="L664" t="n">
        <v>2</v>
      </c>
      <c r="M664" s="5" t="inlineStr">
        <is>
          <t>As an asset manager, I want a proper disposal flow, so that we follow the law and books are right.</t>
        </is>
      </c>
      <c r="N664" s="5" t="inlineStr">
        <is>
          <t>• Given disposal, then a data-wipe or destruction certificate is required.
• Given e-waste, then vendor hand-over and its certificate are kept (India E-Waste Rules).
• Given sale or write-off, then the value goes to the depreciation books.</t>
        </is>
      </c>
      <c r="O664" s="5" t="inlineStr"/>
      <c r="P664" t="inlineStr">
        <is>
          <t>M14 gap check</t>
        </is>
      </c>
      <c r="Q664" t="inlineStr"/>
      <c r="R664" s="5" t="inlineStr"/>
    </row>
    <row r="665">
      <c r="A665" t="inlineStr">
        <is>
          <t>US-G-103</t>
        </is>
      </c>
      <c r="B665" t="n">
        <v>571.237</v>
      </c>
      <c r="C665" t="inlineStr">
        <is>
          <t>Story</t>
        </is>
      </c>
      <c r="D665" s="5" t="inlineStr">
        <is>
          <t xml:space="preserve">        Warranty is looked up; certificates and domains are tracked</t>
        </is>
      </c>
      <c r="E665" t="inlineStr">
        <is>
          <t>Step 3b · YukthiX Service Desk (ITSM + ESM)</t>
        </is>
      </c>
      <c r="F665" t="inlineStr">
        <is>
          <t>Asset management</t>
        </is>
      </c>
      <c r="G665" t="inlineStr">
        <is>
          <t>New</t>
        </is>
      </c>
      <c r="I665">
        <f>IF(H665&lt;&gt;"",H665,G665)</f>
        <v/>
      </c>
      <c r="J665" t="inlineStr">
        <is>
          <t>Step 3b-3</t>
        </is>
      </c>
      <c r="K665" t="n">
        <v>3</v>
      </c>
      <c r="L665" t="n">
        <v>2</v>
      </c>
      <c r="M665" s="5" t="inlineStr">
        <is>
          <t>As an asset manager, I want warranty and certificate dates filled in, so that nothing expires by surprise.</t>
        </is>
      </c>
      <c r="N665" s="5" t="inlineStr">
        <is>
          <t>• Given a serial number, then warranty is looked up from the maker (Dell, Lenovo, HP) or marked unknown.
• Given TLS certificates and domains, then issuer, expiry and owner are kept.
• Given an expiry near, then a renewal ticket is created.</t>
        </is>
      </c>
      <c r="O665" s="5" t="inlineStr"/>
      <c r="P665" t="inlineStr">
        <is>
          <t>M14 gap check</t>
        </is>
      </c>
      <c r="Q665" t="inlineStr"/>
      <c r="R665" s="5" t="inlineStr"/>
    </row>
    <row r="666">
      <c r="A666" t="inlineStr">
        <is>
          <t>US-G-104</t>
        </is>
      </c>
      <c r="B666" t="n">
        <v>571.263</v>
      </c>
      <c r="C666" t="inlineStr">
        <is>
          <t>Story</t>
        </is>
      </c>
      <c r="D666" s="5" t="inlineStr">
        <is>
          <t xml:space="preserve">        Asset shows read-only patch and security status</t>
        </is>
      </c>
      <c r="E666" t="inlineStr">
        <is>
          <t>Step 3b · YukthiX Service Desk (ITSM + ESM)</t>
        </is>
      </c>
      <c r="F666" t="inlineStr">
        <is>
          <t>Asset management</t>
        </is>
      </c>
      <c r="G666" t="inlineStr">
        <is>
          <t>New</t>
        </is>
      </c>
      <c r="I666">
        <f>IF(H666&lt;&gt;"",H666,G666)</f>
        <v/>
      </c>
      <c r="J666" t="inlineStr">
        <is>
          <t>Step 3b-3</t>
        </is>
      </c>
      <c r="K666" t="n">
        <v>5</v>
      </c>
      <c r="L666" t="n">
        <v>2</v>
      </c>
      <c r="M666" s="5" t="inlineStr">
        <is>
          <t>As an IT admin, I want patch and security state on each asset, so that we see risk without remote control.</t>
        </is>
      </c>
      <c r="N666" s="5" t="inlineStr">
        <is>
          <t>• Given osquery and imports from the company's tools, then OS and patch level, encryption, AV and end-of-life OS are shown.
• Given a finding, then a ticket or change is created.
• Given any fix, then it is done in the company's own tools; YukthiX sends no commands (Q4).</t>
        </is>
      </c>
      <c r="O666" s="5" t="inlineStr"/>
      <c r="P666" t="inlineStr">
        <is>
          <t>M14 gap check</t>
        </is>
      </c>
      <c r="Q666" t="inlineStr">
        <is>
          <t>US-B-151</t>
        </is>
      </c>
      <c r="R666" s="5" t="inlineStr"/>
    </row>
    <row r="667">
      <c r="A667" t="inlineStr">
        <is>
          <t>US-G-105</t>
        </is>
      </c>
      <c r="B667" t="n">
        <v>571.289</v>
      </c>
      <c r="C667" t="inlineStr">
        <is>
          <t>Story</t>
        </is>
      </c>
      <c r="D667" s="5" t="inlineStr">
        <is>
          <t xml:space="preserve">        Asset manager sees cost of ownership</t>
        </is>
      </c>
      <c r="E667" t="inlineStr">
        <is>
          <t>Step 3b · YukthiX Service Desk (ITSM + ESM)</t>
        </is>
      </c>
      <c r="F667" t="inlineStr">
        <is>
          <t>Asset management</t>
        </is>
      </c>
      <c r="G667" t="inlineStr">
        <is>
          <t>New</t>
        </is>
      </c>
      <c r="I667">
        <f>IF(H667&lt;&gt;"",H667,G667)</f>
        <v/>
      </c>
      <c r="J667" t="inlineStr">
        <is>
          <t>Step 3b-3</t>
        </is>
      </c>
      <c r="K667" t="n">
        <v>3</v>
      </c>
      <c r="L667" t="n">
        <v>2</v>
      </c>
      <c r="M667" s="5" t="inlineStr">
        <is>
          <t>As a finance user, I want cost of ownership per asset and model, so that we buy smarter.</t>
        </is>
      </c>
      <c r="N667" s="5" t="inlineStr">
        <is>
          <t>• Given an asset, then purchase, repairs, contracts, ticket time and depreciation add up to its TCO.
• Given a model, then average TCO is shown.
• Given a report, then it can be exported.</t>
        </is>
      </c>
      <c r="O667" s="5" t="inlineStr"/>
      <c r="P667" t="inlineStr">
        <is>
          <t>M14 gap check</t>
        </is>
      </c>
      <c r="Q667" t="inlineStr"/>
      <c r="R667" s="5" t="inlineStr"/>
    </row>
    <row r="668">
      <c r="A668" t="inlineStr">
        <is>
          <t>US-G-106</t>
        </is>
      </c>
      <c r="B668" t="n">
        <v>571.316</v>
      </c>
      <c r="C668" t="inlineStr">
        <is>
          <t>Story</t>
        </is>
      </c>
      <c r="D668" s="5" t="inlineStr">
        <is>
          <t xml:space="preserve">        Cloud resources and other inventory tools are imported</t>
        </is>
      </c>
      <c r="E668" t="inlineStr">
        <is>
          <t>Step 3b · YukthiX Service Desk (ITSM + ESM)</t>
        </is>
      </c>
      <c r="F668" t="inlineStr">
        <is>
          <t>Asset management</t>
        </is>
      </c>
      <c r="G668" t="inlineStr">
        <is>
          <t>New</t>
        </is>
      </c>
      <c r="I668">
        <f>IF(H668&lt;&gt;"",H668,G668)</f>
        <v/>
      </c>
      <c r="J668" t="inlineStr">
        <is>
          <t>Step 3b-3</t>
        </is>
      </c>
      <c r="K668" t="n">
        <v>5</v>
      </c>
      <c r="L668" t="n">
        <v>2</v>
      </c>
      <c r="M668" s="5" t="inlineStr">
        <is>
          <t>As an IT admin, I want cloud and other tool data in the register, so that the CMDB is complete.</t>
        </is>
      </c>
      <c r="N668" s="5" t="inlineStr">
        <is>
          <t>• Given AWS, Azure, GCP or VMware read-only keys, then VMs, databases, storage and load balancers import as CIs with tags and cost.
• Given Lansweeper, Device42, SCCM or Snipe-IT, then their data can be imported.
• Given a schedule, then imports refresh and removed resources are marked.</t>
        </is>
      </c>
      <c r="O668" s="5" t="inlineStr"/>
      <c r="P668" t="inlineStr">
        <is>
          <t>M14 gap check</t>
        </is>
      </c>
      <c r="Q668" t="inlineStr"/>
      <c r="R668" s="5" t="inlineStr"/>
    </row>
    <row r="669">
      <c r="A669" t="inlineStr">
        <is>
          <t>US-G-107</t>
        </is>
      </c>
      <c r="B669" t="n">
        <v>571.342</v>
      </c>
      <c r="C669" t="inlineStr">
        <is>
          <t>Story</t>
        </is>
      </c>
      <c r="D669" s="5" t="inlineStr">
        <is>
          <t xml:space="preserve">        Software policy flags banned software</t>
        </is>
      </c>
      <c r="E669" t="inlineStr">
        <is>
          <t>Step 3b · YukthiX Service Desk (ITSM + ESM)</t>
        </is>
      </c>
      <c r="F669" t="inlineStr">
        <is>
          <t>Asset management</t>
        </is>
      </c>
      <c r="G669" t="inlineStr">
        <is>
          <t>New</t>
        </is>
      </c>
      <c r="I669">
        <f>IF(H669&lt;&gt;"",H669,G669)</f>
        <v/>
      </c>
      <c r="J669" t="inlineStr">
        <is>
          <t>Step 3b-3</t>
        </is>
      </c>
      <c r="K669" t="n">
        <v>2</v>
      </c>
      <c r="L669" t="n">
        <v>2</v>
      </c>
      <c r="M669" s="5" t="inlineStr">
        <is>
          <t>As an IT admin, I want allowed and banned software lists, so that we act on risky software.</t>
        </is>
      </c>
      <c r="N669" s="5" t="inlineStr">
        <is>
          <t>• Given a banned title found by discovery, then an alert and ticket are created.
• Given unlicensed software, then it is flagged too.
• Given removal, then it is done by the company; YukthiX only reports (Q4).</t>
        </is>
      </c>
      <c r="O669" s="5" t="inlineStr"/>
      <c r="P669" t="inlineStr">
        <is>
          <t>M14 gap check</t>
        </is>
      </c>
      <c r="Q669" t="inlineStr"/>
      <c r="R669" s="5" t="inlineStr"/>
    </row>
    <row r="670">
      <c r="A670" t="inlineStr">
        <is>
          <t>US-G-108</t>
        </is>
      </c>
      <c r="B670" t="n">
        <v>571.3680000000001</v>
      </c>
      <c r="C670" t="inlineStr">
        <is>
          <t>Story</t>
        </is>
      </c>
      <c r="D670" s="5" t="inlineStr">
        <is>
          <t xml:space="preserve">        Admin designs the asset object model</t>
        </is>
      </c>
      <c r="E670" t="inlineStr">
        <is>
          <t>Step 3b · YukthiX Service Desk (ITSM + ESM)</t>
        </is>
      </c>
      <c r="F670" t="inlineStr">
        <is>
          <t>Asset management</t>
        </is>
      </c>
      <c r="G670" t="inlineStr">
        <is>
          <t>New</t>
        </is>
      </c>
      <c r="I670">
        <f>IF(H670&lt;&gt;"",H670,G670)</f>
        <v/>
      </c>
      <c r="J670" t="inlineStr">
        <is>
          <t>Step 3b-3</t>
        </is>
      </c>
      <c r="K670" t="n">
        <v>8</v>
      </c>
      <c r="L670" t="n">
        <v>2</v>
      </c>
      <c r="M670" s="5" t="inlineStr">
        <is>
          <t>As an IT admin, I want my own asset types and links, so that the register fits our estate.</t>
        </is>
      </c>
      <c r="N670" s="5" t="inlineStr">
        <is>
          <t>• Given types with inheritance and typed attributes, then I model my assets.
• Given references between objects and several schemas, then they are kept.
• Given saved queries, then they drive rules, form pickers and reports.
• Given ready types (ports, racks, SIMs, phone lines, databases, clusters), then they can be switched on.</t>
        </is>
      </c>
      <c r="O670" s="5" t="inlineStr"/>
      <c r="P670" t="inlineStr">
        <is>
          <t>M14 gap check</t>
        </is>
      </c>
      <c r="Q670" t="inlineStr">
        <is>
          <t>US-B-156</t>
        </is>
      </c>
      <c r="R670" s="5" t="inlineStr"/>
    </row>
    <row r="671">
      <c r="A671" t="inlineStr">
        <is>
          <t>US-G-109</t>
        </is>
      </c>
      <c r="B671" t="n">
        <v>571.395</v>
      </c>
      <c r="C671" t="inlineStr">
        <is>
          <t>Story</t>
        </is>
      </c>
      <c r="D671" s="5" t="inlineStr">
        <is>
          <t xml:space="preserve">        Employee signs asset hand-over; labels are printed</t>
        </is>
      </c>
      <c r="E671" t="inlineStr">
        <is>
          <t>Step 3b · YukthiX Service Desk (ITSM + ESM)</t>
        </is>
      </c>
      <c r="F671" t="inlineStr">
        <is>
          <t>Asset management</t>
        </is>
      </c>
      <c r="G671" t="inlineStr">
        <is>
          <t>New</t>
        </is>
      </c>
      <c r="I671">
        <f>IF(H671&lt;&gt;"",H671,G671)</f>
        <v/>
      </c>
      <c r="J671" t="inlineStr">
        <is>
          <t>Step 3b-3</t>
        </is>
      </c>
      <c r="K671" t="n">
        <v>3</v>
      </c>
      <c r="L671" t="n">
        <v>2</v>
      </c>
      <c r="M671" s="5" t="inlineStr">
        <is>
          <t>As an asset manager, I want signed hand-overs and printed labels, so that we have proof and tags.</t>
        </is>
      </c>
      <c r="N671" s="5" t="inlineStr">
        <is>
          <t>• Given issue or return, then the employee e-signs a hand-over form with condition photos.
• Given label templates, then barcode / QR labels print one at a time or in batches.
• Given the signed form, then it is kept on the asset history.</t>
        </is>
      </c>
      <c r="O671" s="5" t="inlineStr"/>
      <c r="P671" t="inlineStr">
        <is>
          <t>M14 gap check</t>
        </is>
      </c>
      <c r="Q671" t="inlineStr"/>
      <c r="R671" s="5" t="inlineStr"/>
    </row>
    <row r="672">
      <c r="A672" t="inlineStr">
        <is>
          <t>US-G-110</t>
        </is>
      </c>
      <c r="B672" t="n">
        <v>571.421</v>
      </c>
      <c r="C672" t="inlineStr">
        <is>
          <t>Story</t>
        </is>
      </c>
      <c r="D672" s="5" t="inlineStr">
        <is>
          <t xml:space="preserve">        IP addresses are managed per subnet</t>
        </is>
      </c>
      <c r="E672" t="inlineStr">
        <is>
          <t>Step 3b · YukthiX Service Desk (ITSM + ESM)</t>
        </is>
      </c>
      <c r="F672" t="inlineStr">
        <is>
          <t>Asset management</t>
        </is>
      </c>
      <c r="G672" t="inlineStr">
        <is>
          <t>New</t>
        </is>
      </c>
      <c r="I672">
        <f>IF(H672&lt;&gt;"",H672,G672)</f>
        <v/>
      </c>
      <c r="J672" t="inlineStr">
        <is>
          <t>Step 3b-3</t>
        </is>
      </c>
      <c r="K672" t="n">
        <v>2</v>
      </c>
      <c r="L672" t="n">
        <v>3</v>
      </c>
      <c r="M672" s="5" t="inlineStr">
        <is>
          <t>As an IT admin, I want IP addresses per subnet, so that there are no clashes.</t>
        </is>
      </c>
      <c r="N672" s="5" t="inlineStr">
        <is>
          <t>• Given subnets, then IPs are allocated to devices.
• Given a duplicate IP in a subnet, then it is refused.
• Given a subnet, then use is shown.</t>
        </is>
      </c>
      <c r="O672" s="5" t="inlineStr"/>
      <c r="P672" t="inlineStr">
        <is>
          <t>M14 gap check</t>
        </is>
      </c>
      <c r="Q672" t="inlineStr"/>
      <c r="R672" s="5" t="inlineStr"/>
    </row>
    <row r="673">
      <c r="A673" t="inlineStr">
        <is>
          <t>US-G-111</t>
        </is>
      </c>
      <c r="B673" t="n">
        <v>571.447</v>
      </c>
      <c r="C673" t="inlineStr">
        <is>
          <t>Story</t>
        </is>
      </c>
      <c r="D673" s="5" t="inlineStr">
        <is>
          <t xml:space="preserve">        Requester sees and reports on 'My assets'</t>
        </is>
      </c>
      <c r="E673" t="inlineStr">
        <is>
          <t>Step 3b · YukthiX Service Desk (ITSM + ESM)</t>
        </is>
      </c>
      <c r="F673" t="inlineStr">
        <is>
          <t>Asset management</t>
        </is>
      </c>
      <c r="G673" t="inlineStr">
        <is>
          <t>New</t>
        </is>
      </c>
      <c r="I673">
        <f>IF(H673&lt;&gt;"",H673,G673)</f>
        <v/>
      </c>
      <c r="J673" t="inlineStr">
        <is>
          <t>Step 3b-3</t>
        </is>
      </c>
      <c r="K673" t="n">
        <v>3</v>
      </c>
      <c r="L673" t="n">
        <v>1</v>
      </c>
      <c r="M673" s="5" t="inlineStr">
        <is>
          <t>As an employee, I want to see my assets in the portal, so that I report issues against the right device.</t>
        </is>
      </c>
      <c r="N673" s="5" t="inlineStr">
        <is>
          <t>• Given My assets, then I see what is assigned to me.
• Given an asset, then I raise an issue or ask for a replacement from it.
• Given a check, then I confirm I still hold it.</t>
        </is>
      </c>
      <c r="O673" s="5" t="inlineStr"/>
      <c r="P673" t="inlineStr">
        <is>
          <t>M14 gap check</t>
        </is>
      </c>
      <c r="Q673" t="inlineStr"/>
      <c r="R673" s="5" t="inlineStr"/>
    </row>
    <row r="674">
      <c r="A674" t="inlineStr">
        <is>
          <t>US-G-112</t>
        </is>
      </c>
      <c r="B674" t="n">
        <v>571.474</v>
      </c>
      <c r="C674" t="inlineStr">
        <is>
          <t>Story</t>
        </is>
      </c>
      <c r="D674" s="5" t="inlineStr">
        <is>
          <t xml:space="preserve">        Catalogue requests reserve stock or raise a purchase</t>
        </is>
      </c>
      <c r="E674" t="inlineStr">
        <is>
          <t>Step 3b · YukthiX Service Desk (ITSM + ESM)</t>
        </is>
      </c>
      <c r="F674" t="inlineStr">
        <is>
          <t>Asset management</t>
        </is>
      </c>
      <c r="G674" t="inlineStr">
        <is>
          <t>New</t>
        </is>
      </c>
      <c r="I674">
        <f>IF(H674&lt;&gt;"",H674,G674)</f>
        <v/>
      </c>
      <c r="J674" t="inlineStr">
        <is>
          <t>Step 3b-3</t>
        </is>
      </c>
      <c r="K674" t="n">
        <v>5</v>
      </c>
      <c r="L674" t="n">
        <v>2</v>
      </c>
      <c r="M674" s="5" t="inlineStr">
        <is>
          <t>As a requester, I want to see stock and get a real device, so that requests are fulfilled fast.</t>
        </is>
      </c>
      <c r="N674" s="5" t="inlineStr">
        <is>
          <t>• Given an item tied to a model, then stock is shown.
• Given approval, then an in-stock asset is reserved and assigned.
• Given no stock, then a purchase order is made and receiving fulfils the request.</t>
        </is>
      </c>
      <c r="O674" s="5" t="inlineStr"/>
      <c r="P674" t="inlineStr">
        <is>
          <t>M14 gap check</t>
        </is>
      </c>
      <c r="Q674" t="inlineStr">
        <is>
          <t>US-B-159</t>
        </is>
      </c>
      <c r="R674" s="5" t="inlineStr"/>
    </row>
    <row r="675">
      <c r="A675" s="9" t="inlineStr">
        <is>
          <t>FT-B-036</t>
        </is>
      </c>
      <c r="B675" s="9" t="n">
        <v>572</v>
      </c>
      <c r="C675" s="9" t="inlineStr">
        <is>
          <t>Feature</t>
        </is>
      </c>
      <c r="D675" s="10" t="inlineStr">
        <is>
          <t xml:space="preserve">    Configuration management (CMDB)</t>
        </is>
      </c>
      <c r="E675" s="9" t="inlineStr">
        <is>
          <t>Step 3b · YukthiX Service Desk (ITSM + ESM)</t>
        </is>
      </c>
      <c r="F675" s="9" t="inlineStr">
        <is>
          <t>Configuration management (CMDB)</t>
        </is>
      </c>
      <c r="G675" s="9" t="inlineStr">
        <is>
          <t>New</t>
        </is>
      </c>
      <c r="H675" s="9" t="n"/>
      <c r="I675" s="9">
        <f>IF(H675&lt;&gt;"",H675,G675)</f>
        <v/>
      </c>
      <c r="J675" s="9" t="inlineStr">
        <is>
          <t>Step 3b-3</t>
        </is>
      </c>
      <c r="K675" s="9" t="n"/>
      <c r="L675" s="9" t="n"/>
      <c r="M675" s="10" t="inlineStr"/>
      <c r="N675" s="10" t="inlineStr"/>
      <c r="O675" s="10" t="inlineStr"/>
      <c r="P675" s="9" t="inlineStr">
        <is>
          <t>M14 §7</t>
        </is>
      </c>
      <c r="Q675" s="9" t="inlineStr"/>
      <c r="R675" s="10" t="inlineStr"/>
      <c r="S675" s="9" t="n"/>
    </row>
    <row r="676">
      <c r="A676" t="inlineStr">
        <is>
          <t>US-B-156</t>
        </is>
      </c>
      <c r="B676" t="n">
        <v>572</v>
      </c>
      <c r="C676" t="inlineStr">
        <is>
          <t>Story</t>
        </is>
      </c>
      <c r="D676" s="5" t="inlineStr">
        <is>
          <t xml:space="preserve">        IT admin keeps configuration items and their relations</t>
        </is>
      </c>
      <c r="E676" t="inlineStr">
        <is>
          <t>Step 3b · YukthiX Service Desk (ITSM + ESM)</t>
        </is>
      </c>
      <c r="F676" t="inlineStr">
        <is>
          <t>Configuration management (CMDB)</t>
        </is>
      </c>
      <c r="G676" t="inlineStr">
        <is>
          <t>New</t>
        </is>
      </c>
      <c r="I676">
        <f>IF(H676&lt;&gt;"",H676,G676)</f>
        <v/>
      </c>
      <c r="J676" t="inlineStr">
        <is>
          <t>Step 3b-3</t>
        </is>
      </c>
      <c r="K676" t="n">
        <v>8</v>
      </c>
      <c r="L676" t="n">
        <v>1</v>
      </c>
      <c r="M676" s="5" t="inlineStr">
        <is>
          <t>As an IT admin, I want CIs with relations and a map, so that I see what depends on what.</t>
        </is>
      </c>
      <c r="N676" s="5" t="inlineStr">
        <is>
          <t>• Given CI types, then each has custom attributes.
• Given relations (runs on, depends on, connected to), then a visual dependency map is shown.
• Given a CI, then its history and baselines are kept.</t>
        </is>
      </c>
      <c r="O676" s="5" t="inlineStr"/>
      <c r="P676" t="inlineStr">
        <is>
          <t>M14 §7</t>
        </is>
      </c>
      <c r="Q676" t="inlineStr">
        <is>
          <t>US-B-147</t>
        </is>
      </c>
      <c r="R676" s="5" t="inlineStr"/>
    </row>
    <row r="677">
      <c r="A677" t="inlineStr">
        <is>
          <t>US-B-157</t>
        </is>
      </c>
      <c r="B677" t="n">
        <v>573</v>
      </c>
      <c r="C677" t="inlineStr">
        <is>
          <t>Story</t>
        </is>
      </c>
      <c r="D677" s="5" t="inlineStr">
        <is>
          <t xml:space="preserve">        Agent sees the impact of an incident or change</t>
        </is>
      </c>
      <c r="E677" t="inlineStr">
        <is>
          <t>Step 3b · YukthiX Service Desk (ITSM + ESM)</t>
        </is>
      </c>
      <c r="F677" t="inlineStr">
        <is>
          <t>Configuration management (CMDB)</t>
        </is>
      </c>
      <c r="G677" t="inlineStr">
        <is>
          <t>New</t>
        </is>
      </c>
      <c r="I677">
        <f>IF(H677&lt;&gt;"",H677,G677)</f>
        <v/>
      </c>
      <c r="J677" t="inlineStr">
        <is>
          <t>Step 3b-3</t>
        </is>
      </c>
      <c r="K677" t="n">
        <v>5</v>
      </c>
      <c r="L677" t="n">
        <v>1</v>
      </c>
      <c r="M677" s="5" t="inlineStr">
        <is>
          <t>As a change manager, I want impact analysis from the CMDB, so that I know what a change may break.</t>
        </is>
      </c>
      <c r="N677" s="5" t="inlineStr">
        <is>
          <t>• Given an incident or change on a CI, then the CIs and services that depend on it are listed.
• Given a change, then affected CI owners can be added as approvers.
• Given impact analysis, then it shows the open incidents on the dependent CIs.</t>
        </is>
      </c>
      <c r="O677" s="5" t="inlineStr"/>
      <c r="P677" t="inlineStr">
        <is>
          <t>M14 §7</t>
        </is>
      </c>
      <c r="Q677" t="inlineStr">
        <is>
          <t>US-B-156, US-B-141</t>
        </is>
      </c>
      <c r="R677" s="5" t="inlineStr"/>
    </row>
    <row r="678">
      <c r="A678" t="inlineStr">
        <is>
          <t>US-G-113</t>
        </is>
      </c>
      <c r="B678" t="n">
        <v>573.125</v>
      </c>
      <c r="C678" t="inlineStr">
        <is>
          <t>Story</t>
        </is>
      </c>
      <c r="D678" s="5" t="inlineStr">
        <is>
          <t xml:space="preserve">        Services are modelled with a service map</t>
        </is>
      </c>
      <c r="E678" t="inlineStr">
        <is>
          <t>Step 3b · YukthiX Service Desk (ITSM + ESM)</t>
        </is>
      </c>
      <c r="F678" t="inlineStr">
        <is>
          <t>Configuration management (CMDB)</t>
        </is>
      </c>
      <c r="G678" t="inlineStr">
        <is>
          <t>New</t>
        </is>
      </c>
      <c r="I678">
        <f>IF(H678&lt;&gt;"",H678,G678)</f>
        <v/>
      </c>
      <c r="J678" t="inlineStr">
        <is>
          <t>Step 3b-3</t>
        </is>
      </c>
      <c r="K678" t="n">
        <v>8</v>
      </c>
      <c r="L678" t="n">
        <v>1</v>
      </c>
      <c r="M678" s="5" t="inlineStr">
        <is>
          <t>As a service owner, I want services mapped to CIs, so that we see which business service is hit.</t>
        </is>
      </c>
      <c r="N678" s="5" t="inlineStr">
        <is>
          <t>• Given business and technical services, then each is a CI with owner, criticality and support team.
• Given the map, then it goes from service down to infrastructure.
• Given an incident, change or alert, then an affected-service field drives priority, routing and paging.</t>
        </is>
      </c>
      <c r="O678" s="5" t="inlineStr"/>
      <c r="P678" t="inlineStr">
        <is>
          <t>M14 gap check</t>
        </is>
      </c>
      <c r="Q678" t="inlineStr">
        <is>
          <t>US-B-156</t>
        </is>
      </c>
      <c r="R678" s="5" t="inlineStr"/>
    </row>
    <row r="679">
      <c r="A679" t="inlineStr">
        <is>
          <t>US-G-114</t>
        </is>
      </c>
      <c r="B679" t="n">
        <v>573.25</v>
      </c>
      <c r="C679" t="inlineStr">
        <is>
          <t>Story</t>
        </is>
      </c>
      <c r="D679" s="5" t="inlineStr">
        <is>
          <t xml:space="preserve">        IT admin sees CMDB health</t>
        </is>
      </c>
      <c r="E679" t="inlineStr">
        <is>
          <t>Step 3b · YukthiX Service Desk (ITSM + ESM)</t>
        </is>
      </c>
      <c r="F679" t="inlineStr">
        <is>
          <t>Configuration management (CMDB)</t>
        </is>
      </c>
      <c r="G679" t="inlineStr">
        <is>
          <t>New</t>
        </is>
      </c>
      <c r="I679">
        <f>IF(H679&lt;&gt;"",H679,G679)</f>
        <v/>
      </c>
      <c r="J679" t="inlineStr">
        <is>
          <t>Step 3b-3</t>
        </is>
      </c>
      <c r="K679" t="n">
        <v>3</v>
      </c>
      <c r="L679" t="n">
        <v>2</v>
      </c>
      <c r="M679" s="5" t="inlineStr">
        <is>
          <t>As an IT admin, I want a CMDB health dashboard, so that data stays clean.</t>
        </is>
      </c>
      <c r="N679" s="5" t="inlineStr">
        <is>
          <t>• Given CIs, then missing required fields, duplicates, orphans and stale CIs are counted.
• Given a problem, then a task goes to the CI owner.
• Given trends, then health over time is shown.</t>
        </is>
      </c>
      <c r="O679" s="5" t="inlineStr"/>
      <c r="P679" t="inlineStr">
        <is>
          <t>M14 gap check</t>
        </is>
      </c>
      <c r="Q679" t="inlineStr"/>
      <c r="R679" s="5" t="inlineStr"/>
    </row>
    <row r="680">
      <c r="A680" t="inlineStr">
        <is>
          <t>US-G-115</t>
        </is>
      </c>
      <c r="B680" t="n">
        <v>573.375</v>
      </c>
      <c r="C680" t="inlineStr">
        <is>
          <t>Story</t>
        </is>
      </c>
      <c r="D680" s="5" t="inlineStr">
        <is>
          <t xml:space="preserve">        Dependency maps come from discovery; non-IT assets link to CIs</t>
        </is>
      </c>
      <c r="E680" t="inlineStr">
        <is>
          <t>Step 3b · YukthiX Service Desk (ITSM + ESM)</t>
        </is>
      </c>
      <c r="F680" t="inlineStr">
        <is>
          <t>Configuration management (CMDB)</t>
        </is>
      </c>
      <c r="G680" t="inlineStr">
        <is>
          <t>New</t>
        </is>
      </c>
      <c r="I680">
        <f>IF(H680&lt;&gt;"",H680,G680)</f>
        <v/>
      </c>
      <c r="J680" t="inlineStr">
        <is>
          <t>Step 3b-3</t>
        </is>
      </c>
      <c r="K680" t="n">
        <v>5</v>
      </c>
      <c r="L680" t="n">
        <v>2</v>
      </c>
      <c r="M680" s="5" t="inlineStr">
        <is>
          <t>As an IT admin, I want maps built from real data, so that maps are accurate without hand work.</t>
        </is>
      </c>
      <c r="N680" s="5" t="inlineStr">
        <is>
          <t>• Given discovery data on connections, then relations are proposed for the map.
• Given a proposal, then the admin accepts or rejects it.
• Given non-IT assets, then they can link to CIs and be attached to tickets.</t>
        </is>
      </c>
      <c r="O680" s="5" t="inlineStr"/>
      <c r="P680" t="inlineStr">
        <is>
          <t>M14 gap check</t>
        </is>
      </c>
      <c r="Q680" t="inlineStr"/>
      <c r="R680" s="5" t="inlineStr"/>
    </row>
    <row r="681">
      <c r="A681" s="9" t="inlineStr">
        <is>
          <t>FT-B-037</t>
        </is>
      </c>
      <c r="B681" s="9" t="n">
        <v>574</v>
      </c>
      <c r="C681" s="9" t="inlineStr">
        <is>
          <t>Feature</t>
        </is>
      </c>
      <c r="D681" s="10" t="inlineStr">
        <is>
          <t xml:space="preserve">    Vendors, contracts and procurement</t>
        </is>
      </c>
      <c r="E681" s="9" t="inlineStr">
        <is>
          <t>Step 3b · YukthiX Service Desk (ITSM + ESM)</t>
        </is>
      </c>
      <c r="F681" s="9" t="inlineStr">
        <is>
          <t>Vendors, contracts and procurement</t>
        </is>
      </c>
      <c r="G681" s="9" t="inlineStr">
        <is>
          <t>New</t>
        </is>
      </c>
      <c r="H681" s="9" t="n"/>
      <c r="I681" s="9">
        <f>IF(H681&lt;&gt;"",H681,G681)</f>
        <v/>
      </c>
      <c r="J681" s="9" t="inlineStr">
        <is>
          <t>Step 3b-3</t>
        </is>
      </c>
      <c r="K681" s="9" t="n"/>
      <c r="L681" s="9" t="n"/>
      <c r="M681" s="10" t="inlineStr"/>
      <c r="N681" s="10" t="inlineStr"/>
      <c r="O681" s="10" t="inlineStr"/>
      <c r="P681" s="9" t="inlineStr">
        <is>
          <t>M14 §15</t>
        </is>
      </c>
      <c r="Q681" s="9" t="inlineStr"/>
      <c r="R681" s="10" t="inlineStr"/>
      <c r="S681" s="9" t="n"/>
    </row>
    <row r="682">
      <c r="A682" t="inlineStr">
        <is>
          <t>US-B-158</t>
        </is>
      </c>
      <c r="B682" t="n">
        <v>574</v>
      </c>
      <c r="C682" t="inlineStr">
        <is>
          <t>Story</t>
        </is>
      </c>
      <c r="D682" s="5" t="inlineStr">
        <is>
          <t xml:space="preserve">        Asset manager keeps vendors and contracts</t>
        </is>
      </c>
      <c r="E682" t="inlineStr">
        <is>
          <t>Step 3b · YukthiX Service Desk (ITSM + ESM)</t>
        </is>
      </c>
      <c r="F682" t="inlineStr">
        <is>
          <t>Vendors, contracts and procurement</t>
        </is>
      </c>
      <c r="G682" t="inlineStr">
        <is>
          <t>New</t>
        </is>
      </c>
      <c r="I682">
        <f>IF(H682&lt;&gt;"",H682,G682)</f>
        <v/>
      </c>
      <c r="J682" t="inlineStr">
        <is>
          <t>Step 3b-3</t>
        </is>
      </c>
      <c r="K682" t="n">
        <v>3</v>
      </c>
      <c r="L682" t="n">
        <v>1</v>
      </c>
      <c r="M682" s="5" t="inlineStr">
        <is>
          <t>As an asset manager, I want vendors and contracts with renewal dates, so that nothing expires by surprise.</t>
        </is>
      </c>
      <c r="N682" s="5" t="inlineStr">
        <is>
          <t>• Given a contract, then it has vendor, value, SLA and renewal date.
• Given a renewal date, then reminders go before it.
• Given a vendor SLA, then it is used as an underpinning contract on tickets.</t>
        </is>
      </c>
      <c r="O682" s="5" t="inlineStr"/>
      <c r="P682" t="inlineStr">
        <is>
          <t>M14 §15</t>
        </is>
      </c>
      <c r="Q682" t="inlineStr">
        <is>
          <t>US-B-147</t>
        </is>
      </c>
      <c r="R682" s="5" t="inlineStr"/>
    </row>
    <row r="683">
      <c r="A683" t="inlineStr">
        <is>
          <t>US-B-159</t>
        </is>
      </c>
      <c r="B683" t="n">
        <v>575</v>
      </c>
      <c r="C683" t="inlineStr">
        <is>
          <t>Story</t>
        </is>
      </c>
      <c r="D683" s="5" t="inlineStr">
        <is>
          <t xml:space="preserve">        Requester asks to buy an asset and it is received into stock</t>
        </is>
      </c>
      <c r="E683" t="inlineStr">
        <is>
          <t>Step 3b · YukthiX Service Desk (ITSM + ESM)</t>
        </is>
      </c>
      <c r="F683" t="inlineStr">
        <is>
          <t>Vendors, contracts and procurement</t>
        </is>
      </c>
      <c r="G683" t="inlineStr">
        <is>
          <t>New</t>
        </is>
      </c>
      <c r="I683">
        <f>IF(H683&lt;&gt;"",H683,G683)</f>
        <v/>
      </c>
      <c r="J683" t="inlineStr">
        <is>
          <t>Step 3b-3</t>
        </is>
      </c>
      <c r="K683" t="n">
        <v>5</v>
      </c>
      <c r="L683" t="n">
        <v>1</v>
      </c>
      <c r="M683" s="5" t="inlineStr">
        <is>
          <t>As an asset manager, I want purchase requests, orders and receiving, so that new assets enter the register correctly.</t>
        </is>
      </c>
      <c r="N683" s="5" t="inlineStr">
        <is>
          <t>• Given a purchase request, then it follows approvals and becomes a purchase order to a vendor.
• Given goods received, then assets are created "in stock" with the PO reference.
• Given a part delivery, then only the received quantity is added to stock and the order stays open.</t>
        </is>
      </c>
      <c r="O683" s="5" t="inlineStr"/>
      <c r="P683" t="inlineStr">
        <is>
          <t>M14 §15</t>
        </is>
      </c>
      <c r="Q683" t="inlineStr">
        <is>
          <t>US-B-158, US-B-125</t>
        </is>
      </c>
      <c r="R683" s="5" t="inlineStr"/>
    </row>
    <row r="684">
      <c r="A684" t="inlineStr">
        <is>
          <t>US-G-116</t>
        </is>
      </c>
      <c r="B684" t="n">
        <v>575.075</v>
      </c>
      <c r="C684" t="inlineStr">
        <is>
          <t>Story</t>
        </is>
      </c>
      <c r="D684" s="5" t="inlineStr">
        <is>
          <t xml:space="preserve">        Asset manager keeps vendor scorecards</t>
        </is>
      </c>
      <c r="E684" t="inlineStr">
        <is>
          <t>Step 3b · YukthiX Service Desk (ITSM + ESM)</t>
        </is>
      </c>
      <c r="F684" t="inlineStr">
        <is>
          <t>Vendors, contracts and procurement</t>
        </is>
      </c>
      <c r="G684" t="inlineStr">
        <is>
          <t>New</t>
        </is>
      </c>
      <c r="I684">
        <f>IF(H684&lt;&gt;"",H684,G684)</f>
        <v/>
      </c>
      <c r="J684" t="inlineStr">
        <is>
          <t>Step 3b-3</t>
        </is>
      </c>
      <c r="K684" t="n">
        <v>3</v>
      </c>
      <c r="L684" t="n">
        <v>2</v>
      </c>
      <c r="M684" s="5" t="inlineStr">
        <is>
          <t>As an asset manager, I want vendor scorecards and risk reviews, so that we choose good vendors.</t>
        </is>
      </c>
      <c r="N684" s="5" t="inlineStr">
        <is>
          <t>• Given a vendor, then SLA met %, escalations, tickets, cost and ratings are shown.
• Given a risk review, then questionnaire, documents and next review date are kept.
• Given review history, then it is kept per vendor.</t>
        </is>
      </c>
      <c r="O684" s="5" t="inlineStr"/>
      <c r="P684" t="inlineStr">
        <is>
          <t>M14 gap check</t>
        </is>
      </c>
      <c r="Q684" t="inlineStr"/>
      <c r="R684" s="5" t="inlineStr"/>
    </row>
    <row r="685">
      <c r="A685" t="inlineStr">
        <is>
          <t>US-G-117</t>
        </is>
      </c>
      <c r="B685" t="n">
        <v>575.15</v>
      </c>
      <c r="C685" t="inlineStr">
        <is>
          <t>Story</t>
        </is>
      </c>
      <c r="D685" s="5" t="inlineStr">
        <is>
          <t xml:space="preserve">        Purchase documents sync to accounting</t>
        </is>
      </c>
      <c r="E685" t="inlineStr">
        <is>
          <t>Step 3b · YukthiX Service Desk (ITSM + ESM)</t>
        </is>
      </c>
      <c r="F685" t="inlineStr">
        <is>
          <t>Vendors, contracts and procurement</t>
        </is>
      </c>
      <c r="G685" t="inlineStr">
        <is>
          <t>New</t>
        </is>
      </c>
      <c r="I685">
        <f>IF(H685&lt;&gt;"",H685,G685)</f>
        <v/>
      </c>
      <c r="J685" t="inlineStr">
        <is>
          <t>Step 3b-3</t>
        </is>
      </c>
      <c r="K685" t="n">
        <v>5</v>
      </c>
      <c r="L685" t="n">
        <v>2</v>
      </c>
      <c r="M685" s="5" t="inlineStr">
        <is>
          <t>As a finance user, I want POs and invoices in our books, so that no double entry.</t>
        </is>
      </c>
      <c r="N685" s="5" t="inlineStr">
        <is>
          <t>• Given POs, goods receipts and vendor invoices, then they push to Tally, Zoho Books or YukthiX finance with GST fields.
• Given a failure, then it shows on Jobs &amp; errors.
• Given a sync, then the accounting reference is saved back.</t>
        </is>
      </c>
      <c r="O685" s="5" t="inlineStr"/>
      <c r="P685" t="inlineStr">
        <is>
          <t>M14 gap check</t>
        </is>
      </c>
      <c r="Q685" t="inlineStr"/>
      <c r="R685" s="5" t="inlineStr"/>
    </row>
    <row r="686">
      <c r="A686" t="inlineStr">
        <is>
          <t>US-G-118</t>
        </is>
      </c>
      <c r="B686" t="n">
        <v>575.225</v>
      </c>
      <c r="C686" t="inlineStr">
        <is>
          <t>Story</t>
        </is>
      </c>
      <c r="D686" s="5" t="inlineStr">
        <is>
          <t xml:space="preserve">        Procurement handles limits, quotes and ordering of goods</t>
        </is>
      </c>
      <c r="E686" t="inlineStr">
        <is>
          <t>Step 3b · YukthiX Service Desk (ITSM + ESM)</t>
        </is>
      </c>
      <c r="F686" t="inlineStr">
        <is>
          <t>Vendors, contracts and procurement</t>
        </is>
      </c>
      <c r="G686" t="inlineStr">
        <is>
          <t>New</t>
        </is>
      </c>
      <c r="I686">
        <f>IF(H686&lt;&gt;"",H686,G686)</f>
        <v/>
      </c>
      <c r="J686" t="inlineStr">
        <is>
          <t>Step 3b-3</t>
        </is>
      </c>
      <c r="K686" t="n">
        <v>5</v>
      </c>
      <c r="L686" t="n">
        <v>3</v>
      </c>
      <c r="M686" s="5" t="inlineStr">
        <is>
          <t>As a buyer, I want fuller procurement, so that spending is controlled.</t>
        </is>
      </c>
      <c r="N686" s="5" t="inlineStr">
        <is>
          <t>• Given approval limits, then POs over a limit need the next approver.
• Given price lists and quotes, then they are compared before a PO.
• Given invoices, then they are matched to PO and receipt and payment status is shown.
• Given goods or services like stationery or catering, then employees order them with tracking.</t>
        </is>
      </c>
      <c r="O686" s="5" t="inlineStr"/>
      <c r="P686" t="inlineStr">
        <is>
          <t>M14 gap check</t>
        </is>
      </c>
      <c r="Q686" t="inlineStr"/>
      <c r="R686" s="5" t="inlineStr"/>
    </row>
    <row r="687">
      <c r="A687" t="inlineStr">
        <is>
          <t>US-G-119</t>
        </is>
      </c>
      <c r="B687" t="n">
        <v>575.3</v>
      </c>
      <c r="C687" t="inlineStr">
        <is>
          <t>Story</t>
        </is>
      </c>
      <c r="D687" s="5" t="inlineStr">
        <is>
          <t xml:space="preserve">        Agent escalates a ticket to a vendor</t>
        </is>
      </c>
      <c r="E687" t="inlineStr">
        <is>
          <t>Step 3b · YukthiX Service Desk (ITSM + ESM)</t>
        </is>
      </c>
      <c r="F687" t="inlineStr">
        <is>
          <t>Vendors, contracts and procurement</t>
        </is>
      </c>
      <c r="G687" t="inlineStr">
        <is>
          <t>New</t>
        </is>
      </c>
      <c r="I687">
        <f>IF(H687&lt;&gt;"",H687,G687)</f>
        <v/>
      </c>
      <c r="J687" t="inlineStr">
        <is>
          <t>Step 3b-3</t>
        </is>
      </c>
      <c r="K687" t="n">
        <v>5</v>
      </c>
      <c r="L687" t="n">
        <v>2</v>
      </c>
      <c r="M687" s="5" t="inlineStr">
        <is>
          <t>As an agent, I want to work with a vendor from the ticket, so that vendor work is tracked.</t>
        </is>
      </c>
      <c r="N687" s="5" t="inlineStr">
        <is>
          <t>• Given a vendor escalation, then the vendor's case number is saved and the vendor SLA clock starts.
• Given email to the vendor, then their replies are parsed back into the ticket.
• Given follow-ups, then reminders go until the vendor answers.</t>
        </is>
      </c>
      <c r="O687" s="5" t="inlineStr"/>
      <c r="P687" t="inlineStr">
        <is>
          <t>M14 gap check</t>
        </is>
      </c>
      <c r="Q687" t="inlineStr">
        <is>
          <t>US-B-097</t>
        </is>
      </c>
      <c r="R687" s="5" t="inlineStr"/>
    </row>
    <row r="688">
      <c r="A688" t="inlineStr">
        <is>
          <t>US-G-120</t>
        </is>
      </c>
      <c r="B688" t="n">
        <v>575.375</v>
      </c>
      <c r="C688" t="inlineStr">
        <is>
          <t>Story</t>
        </is>
      </c>
      <c r="D688" s="5" t="inlineStr">
        <is>
          <t xml:space="preserve">        Contract SLAs give service credits and penalties</t>
        </is>
      </c>
      <c r="E688" t="inlineStr">
        <is>
          <t>Step 3b · YukthiX Service Desk (ITSM + ESM)</t>
        </is>
      </c>
      <c r="F688" t="inlineStr">
        <is>
          <t>Vendors, contracts and procurement</t>
        </is>
      </c>
      <c r="G688" t="inlineStr">
        <is>
          <t>New</t>
        </is>
      </c>
      <c r="I688">
        <f>IF(H688&lt;&gt;"",H688,G688)</f>
        <v/>
      </c>
      <c r="J688" t="inlineStr">
        <is>
          <t>Step 3b-3</t>
        </is>
      </c>
      <c r="K688" t="n">
        <v>3</v>
      </c>
      <c r="L688" t="n">
        <v>2</v>
      </c>
      <c r="M688" s="5" t="inlineStr">
        <is>
          <t>As a desk admin, I want credits and penalties from contract SLAs, so that contracts are enforced.</t>
        </is>
      </c>
      <c r="N688" s="5" t="inlineStr">
        <is>
          <t>• Given a contract SLA with credits or penalties, then they are calculated per period.
• Given a customer or vendor, then the report shows credits owed.
• Given a dispute, then notes can be added.</t>
        </is>
      </c>
      <c r="O688" s="5" t="inlineStr"/>
      <c r="P688" t="inlineStr">
        <is>
          <t>M14 gap check</t>
        </is>
      </c>
      <c r="Q688" t="inlineStr">
        <is>
          <t>US-B-158</t>
        </is>
      </c>
      <c r="R688" s="5" t="inlineStr"/>
    </row>
    <row r="689">
      <c r="A689" s="9" t="inlineStr">
        <is>
          <t>FT-G-007</t>
        </is>
      </c>
      <c r="B689" s="9" t="n">
        <v>575.575</v>
      </c>
      <c r="C689" s="9" t="inlineStr">
        <is>
          <t>Feature</t>
        </is>
      </c>
      <c r="D689" s="10" t="inlineStr">
        <is>
          <t xml:space="preserve">    Availability and outages</t>
        </is>
      </c>
      <c r="E689" s="9" t="inlineStr">
        <is>
          <t>Step 3b · YukthiX Service Desk (ITSM + ESM)</t>
        </is>
      </c>
      <c r="F689" s="9" t="inlineStr">
        <is>
          <t>Availability and outages</t>
        </is>
      </c>
      <c r="G689" s="9" t="inlineStr">
        <is>
          <t>New</t>
        </is>
      </c>
      <c r="H689" s="9" t="n"/>
      <c r="I689" s="9">
        <f>IF(H689&lt;&gt;"",H689,G689)</f>
        <v/>
      </c>
      <c r="J689" s="9" t="inlineStr">
        <is>
          <t>Step 3b-3</t>
        </is>
      </c>
      <c r="K689" s="9" t="n"/>
      <c r="L689" s="9" t="n"/>
      <c r="M689" s="10" t="inlineStr"/>
      <c r="N689" s="10" t="inlineStr"/>
      <c r="O689" s="10" t="inlineStr"/>
      <c r="P689" s="9" t="inlineStr">
        <is>
          <t>M14 gap check</t>
        </is>
      </c>
      <c r="Q689" s="9" t="inlineStr"/>
      <c r="R689" s="10" t="inlineStr"/>
      <c r="S689" s="9" t="n"/>
    </row>
    <row r="690">
      <c r="A690" t="inlineStr">
        <is>
          <t>US-G-121</t>
        </is>
      </c>
      <c r="B690" t="n">
        <v>575.576</v>
      </c>
      <c r="C690" t="inlineStr">
        <is>
          <t>Story</t>
        </is>
      </c>
      <c r="D690" s="5" t="inlineStr">
        <is>
          <t xml:space="preserve">        Service owner tracks outages and availability</t>
        </is>
      </c>
      <c r="E690" t="inlineStr">
        <is>
          <t>Step 3b · YukthiX Service Desk (ITSM + ESM)</t>
        </is>
      </c>
      <c r="F690" t="inlineStr">
        <is>
          <t>Availability and outages</t>
        </is>
      </c>
      <c r="G690" t="inlineStr">
        <is>
          <t>New</t>
        </is>
      </c>
      <c r="I690">
        <f>IF(H690&lt;&gt;"",H690,G690)</f>
        <v/>
      </c>
      <c r="J690" t="inlineStr">
        <is>
          <t>Step 3b-3</t>
        </is>
      </c>
      <c r="K690" t="n">
        <v>5</v>
      </c>
      <c r="L690" t="n">
        <v>2</v>
      </c>
      <c r="M690" s="5" t="inlineStr">
        <is>
          <t>As a service owner, I want outage records and uptime, so that we know and prove availability.</t>
        </is>
      </c>
      <c r="N690" s="5" t="inlineStr">
        <is>
          <t>• Given an outage (full or partial) with start and end, then it links to incidents and changes.
• Given availability targets per service, then uptime, MTBF and MTRS are computed.
• Given planned maintenance, then it is left out of availability SLAs.
• Given outages, then the status page uses them.</t>
        </is>
      </c>
      <c r="O690" s="5" t="inlineStr"/>
      <c r="P690" t="inlineStr">
        <is>
          <t>M14 gap check</t>
        </is>
      </c>
      <c r="Q690" t="inlineStr"/>
      <c r="R690" s="5" t="inlineStr"/>
    </row>
    <row r="691">
      <c r="A691" s="9" t="inlineStr">
        <is>
          <t>FT-G-008</t>
        </is>
      </c>
      <c r="B691" s="9" t="n">
        <v>575.65</v>
      </c>
      <c r="C691" s="9" t="inlineStr">
        <is>
          <t>Feature</t>
        </is>
      </c>
      <c r="D691" s="10" t="inlineStr">
        <is>
          <t xml:space="preserve">    Service financial management</t>
        </is>
      </c>
      <c r="E691" s="9" t="inlineStr">
        <is>
          <t>Step 3b · YukthiX Service Desk (ITSM + ESM)</t>
        </is>
      </c>
      <c r="F691" s="9" t="inlineStr">
        <is>
          <t>Service financial management</t>
        </is>
      </c>
      <c r="G691" s="9" t="inlineStr">
        <is>
          <t>New</t>
        </is>
      </c>
      <c r="H691" s="9" t="n"/>
      <c r="I691" s="9">
        <f>IF(H691&lt;&gt;"",H691,G691)</f>
        <v/>
      </c>
      <c r="J691" s="9" t="inlineStr">
        <is>
          <t>Step 3b-3</t>
        </is>
      </c>
      <c r="K691" s="9" t="n"/>
      <c r="L691" s="9" t="n"/>
      <c r="M691" s="10" t="inlineStr"/>
      <c r="N691" s="10" t="inlineStr"/>
      <c r="O691" s="10" t="inlineStr"/>
      <c r="P691" s="9" t="inlineStr">
        <is>
          <t>M14 gap check</t>
        </is>
      </c>
      <c r="Q691" s="9" t="inlineStr"/>
      <c r="R691" s="10" t="inlineStr"/>
      <c r="S691" s="9" t="n"/>
    </row>
    <row r="692">
      <c r="A692" t="inlineStr">
        <is>
          <t>US-G-122</t>
        </is>
      </c>
      <c r="B692" t="n">
        <v>575.651</v>
      </c>
      <c r="C692" t="inlineStr">
        <is>
          <t>Story</t>
        </is>
      </c>
      <c r="D692" s="5" t="inlineStr">
        <is>
          <t xml:space="preserve">        Finance sets budgets and sees spend</t>
        </is>
      </c>
      <c r="E692" t="inlineStr">
        <is>
          <t>Step 3b · YukthiX Service Desk (ITSM + ESM)</t>
        </is>
      </c>
      <c r="F692" t="inlineStr">
        <is>
          <t>Service financial management</t>
        </is>
      </c>
      <c r="G692" t="inlineStr">
        <is>
          <t>New</t>
        </is>
      </c>
      <c r="I692">
        <f>IF(H692&lt;&gt;"",H692,G692)</f>
        <v/>
      </c>
      <c r="J692" t="inlineStr">
        <is>
          <t>Step 3b-3</t>
        </is>
      </c>
      <c r="K692" t="n">
        <v>5</v>
      </c>
      <c r="L692" t="n">
        <v>2</v>
      </c>
      <c r="M692" s="5" t="inlineStr">
        <is>
          <t>As a finance user, I want budgets with spend, so that we stay within budget.</t>
        </is>
      </c>
      <c r="N692" s="5" t="inlineStr">
        <is>
          <t>• Given budgets per period and cost centre, then spend from POs, contracts, tickets and assets is shown.
• Given overspend, then an alert goes to the owner.
• Given history, then a forecast is shown.</t>
        </is>
      </c>
      <c r="O692" s="5" t="inlineStr"/>
      <c r="P692" t="inlineStr">
        <is>
          <t>M14 gap check</t>
        </is>
      </c>
      <c r="Q692" t="inlineStr"/>
      <c r="R692" s="5" t="inlineStr"/>
    </row>
    <row r="693">
      <c r="A693" t="inlineStr">
        <is>
          <t>US-G-123</t>
        </is>
      </c>
      <c r="B693" t="n">
        <v>575.652</v>
      </c>
      <c r="C693" t="inlineStr">
        <is>
          <t>Story</t>
        </is>
      </c>
      <c r="D693" s="5" t="inlineStr">
        <is>
          <t xml:space="preserve">        Agents add cost lines to tickets and changes</t>
        </is>
      </c>
      <c r="E693" t="inlineStr">
        <is>
          <t>Step 3b · YukthiX Service Desk (ITSM + ESM)</t>
        </is>
      </c>
      <c r="F693" t="inlineStr">
        <is>
          <t>Service financial management</t>
        </is>
      </c>
      <c r="G693" t="inlineStr">
        <is>
          <t>New</t>
        </is>
      </c>
      <c r="I693">
        <f>IF(H693&lt;&gt;"",H693,G693)</f>
        <v/>
      </c>
      <c r="J693" t="inlineStr">
        <is>
          <t>Step 3b-3</t>
        </is>
      </c>
      <c r="K693" t="n">
        <v>3</v>
      </c>
      <c r="L693" t="n">
        <v>2</v>
      </c>
      <c r="M693" s="5" t="inlineStr">
        <is>
          <t>As an agent, I want costs on tickets and changes, so that true costs are known.</t>
        </is>
      </c>
      <c r="N693" s="5" t="inlineStr">
        <is>
          <t>• Given a ticket or change, then time cost at a rate, fixed and material costs can be added.
• Given costs, then they roll up to budgets and asset TCO.
• Given closed tickets, then costs change only by a lead, with audit.</t>
        </is>
      </c>
      <c r="O693" s="5" t="inlineStr"/>
      <c r="P693" t="inlineStr">
        <is>
          <t>M14 gap check</t>
        </is>
      </c>
      <c r="Q693" t="inlineStr"/>
      <c r="R693" s="5" t="inlineStr"/>
    </row>
    <row r="694">
      <c r="A694" t="inlineStr">
        <is>
          <t>US-G-124</t>
        </is>
      </c>
      <c r="B694" t="n">
        <v>575.653</v>
      </c>
      <c r="C694" t="inlineStr">
        <is>
          <t>Story</t>
        </is>
      </c>
      <c r="D694" s="5" t="inlineStr">
        <is>
          <t xml:space="preserve">        Departments get chargeback statements</t>
        </is>
      </c>
      <c r="E694" t="inlineStr">
        <is>
          <t>Step 3b · YukthiX Service Desk (ITSM + ESM)</t>
        </is>
      </c>
      <c r="F694" t="inlineStr">
        <is>
          <t>Service financial management</t>
        </is>
      </c>
      <c r="G694" t="inlineStr">
        <is>
          <t>New</t>
        </is>
      </c>
      <c r="I694">
        <f>IF(H694&lt;&gt;"",H694,G694)</f>
        <v/>
      </c>
      <c r="J694" t="inlineStr">
        <is>
          <t>Step 3b-3</t>
        </is>
      </c>
      <c r="K694" t="n">
        <v>3</v>
      </c>
      <c r="L694" t="n">
        <v>2</v>
      </c>
      <c r="M694" s="5" t="inlineStr">
        <is>
          <t>As a finance user, I want service costs charged to departments, so that departments see what they use.</t>
        </is>
      </c>
      <c r="N694" s="5" t="inlineStr">
        <is>
          <t>• Given catalogue and service costs, then they post to the requesting cost centre.
• Given a month, then a chargeback or showback statement is made per department.
• Given a statement, then it can be exported.</t>
        </is>
      </c>
      <c r="O694" s="5" t="inlineStr"/>
      <c r="P694" t="inlineStr">
        <is>
          <t>M14 gap check</t>
        </is>
      </c>
      <c r="Q694" t="inlineStr"/>
      <c r="R694" s="5" t="inlineStr"/>
    </row>
    <row r="695">
      <c r="A695" s="9" t="inlineStr">
        <is>
          <t>FT-G-009</t>
        </is>
      </c>
      <c r="B695" s="9" t="n">
        <v>575.725</v>
      </c>
      <c r="C695" s="9" t="inlineStr">
        <is>
          <t>Feature</t>
        </is>
      </c>
      <c r="D695" s="10" t="inlineStr">
        <is>
          <t xml:space="preserve">    Risk register</t>
        </is>
      </c>
      <c r="E695" s="9" t="inlineStr">
        <is>
          <t>Step 3b · YukthiX Service Desk (ITSM + ESM)</t>
        </is>
      </c>
      <c r="F695" s="9" t="inlineStr">
        <is>
          <t>Risk register</t>
        </is>
      </c>
      <c r="G695" s="9" t="inlineStr">
        <is>
          <t>New</t>
        </is>
      </c>
      <c r="H695" s="9" t="n"/>
      <c r="I695" s="9">
        <f>IF(H695&lt;&gt;"",H695,G695)</f>
        <v/>
      </c>
      <c r="J695" s="9" t="inlineStr">
        <is>
          <t>Step 3b-3</t>
        </is>
      </c>
      <c r="K695" s="9" t="n"/>
      <c r="L695" s="9" t="n"/>
      <c r="M695" s="10" t="inlineStr"/>
      <c r="N695" s="10" t="inlineStr"/>
      <c r="O695" s="10" t="inlineStr"/>
      <c r="P695" s="9" t="inlineStr">
        <is>
          <t>M14 gap check</t>
        </is>
      </c>
      <c r="Q695" s="9" t="inlineStr"/>
      <c r="R695" s="10" t="inlineStr"/>
      <c r="S695" s="9" t="n"/>
    </row>
    <row r="696">
      <c r="A696" t="inlineStr">
        <is>
          <t>US-G-125</t>
        </is>
      </c>
      <c r="B696" t="n">
        <v>575.726</v>
      </c>
      <c r="C696" t="inlineStr">
        <is>
          <t>Story</t>
        </is>
      </c>
      <c r="D696" s="5" t="inlineStr">
        <is>
          <t xml:space="preserve">        Risk owner keeps a risk register</t>
        </is>
      </c>
      <c r="E696" t="inlineStr">
        <is>
          <t>Step 3b · YukthiX Service Desk (ITSM + ESM)</t>
        </is>
      </c>
      <c r="F696" t="inlineStr">
        <is>
          <t>Risk register</t>
        </is>
      </c>
      <c r="G696" t="inlineStr">
        <is>
          <t>New</t>
        </is>
      </c>
      <c r="I696">
        <f>IF(H696&lt;&gt;"",H696,G696)</f>
        <v/>
      </c>
      <c r="J696" t="inlineStr">
        <is>
          <t>Step 3b-3</t>
        </is>
      </c>
      <c r="K696" t="n">
        <v>3</v>
      </c>
      <c r="L696" t="n">
        <v>2</v>
      </c>
      <c r="M696" s="5" t="inlineStr">
        <is>
          <t>As a risk owner, I want a risk register linked to services, so that risks are managed.</t>
        </is>
      </c>
      <c r="N696" s="5" t="inlineStr">
        <is>
          <t>• Given a risk, then it has likelihood, impact, owner, treatment and review date.
• Given links, then it connects to services, changes, problems, assets and vendors.
• Given a review date, then the owner is reminded.</t>
        </is>
      </c>
      <c r="O696" s="5" t="inlineStr"/>
      <c r="P696" t="inlineStr">
        <is>
          <t>M14 gap check</t>
        </is>
      </c>
      <c r="Q696" t="inlineStr"/>
      <c r="R696" s="5" t="inlineStr"/>
    </row>
    <row r="697">
      <c r="A697" s="9" t="inlineStr">
        <is>
          <t>FT-G-010</t>
        </is>
      </c>
      <c r="B697" s="9" t="n">
        <v>575.8</v>
      </c>
      <c r="C697" s="9" t="inlineStr">
        <is>
          <t>Feature</t>
        </is>
      </c>
      <c r="D697" s="10" t="inlineStr">
        <is>
          <t xml:space="preserve">    Client billing and profitability</t>
        </is>
      </c>
      <c r="E697" s="9" t="inlineStr">
        <is>
          <t>Step 3b · YukthiX Service Desk (ITSM + ESM)</t>
        </is>
      </c>
      <c r="F697" s="9" t="inlineStr">
        <is>
          <t>Client billing and profitability</t>
        </is>
      </c>
      <c r="G697" s="9" t="inlineStr">
        <is>
          <t>New</t>
        </is>
      </c>
      <c r="H697" s="9" t="n"/>
      <c r="I697" s="9">
        <f>IF(H697&lt;&gt;"",H697,G697)</f>
        <v/>
      </c>
      <c r="J697" s="9" t="inlineStr">
        <is>
          <t>Step 3b-3</t>
        </is>
      </c>
      <c r="K697" s="9" t="n"/>
      <c r="L697" s="9" t="n"/>
      <c r="M697" s="10" t="inlineStr"/>
      <c r="N697" s="10" t="inlineStr"/>
      <c r="O697" s="10" t="inlineStr"/>
      <c r="P697" s="9" t="inlineStr">
        <is>
          <t>M14 gap check</t>
        </is>
      </c>
      <c r="Q697" s="9" t="inlineStr"/>
      <c r="R697" s="10" t="inlineStr"/>
      <c r="S697" s="9" t="n"/>
    </row>
    <row r="698">
      <c r="A698" t="inlineStr">
        <is>
          <t>US-G-126</t>
        </is>
      </c>
      <c r="B698" t="n">
        <v>575.801</v>
      </c>
      <c r="C698" t="inlineStr">
        <is>
          <t>Story</t>
        </is>
      </c>
      <c r="D698" s="5" t="inlineStr">
        <is>
          <t xml:space="preserve">        Billing runs turn contracts and time into invoices</t>
        </is>
      </c>
      <c r="E698" t="inlineStr">
        <is>
          <t>Step 3b · YukthiX Service Desk (ITSM + ESM)</t>
        </is>
      </c>
      <c r="F698" t="inlineStr">
        <is>
          <t>Client billing and profitability</t>
        </is>
      </c>
      <c r="G698" t="inlineStr">
        <is>
          <t>New</t>
        </is>
      </c>
      <c r="I698">
        <f>IF(H698&lt;&gt;"",H698,G698)</f>
        <v/>
      </c>
      <c r="J698" t="inlineStr">
        <is>
          <t>Step 3b-3</t>
        </is>
      </c>
      <c r="K698" t="n">
        <v>8</v>
      </c>
      <c r="L698" t="n">
        <v>2</v>
      </c>
      <c r="M698" s="5" t="inlineStr">
        <is>
          <t>As a billing user, I want invoice batches from contracts and time, so that clients are billed on time.</t>
        </is>
      </c>
      <c r="N698" s="5" t="inlineStr">
        <is>
          <t>• Given a billing run, then contracts, time, expenses and parts become invoice batches.
• Given a batch, then it is reviewed and approved before export.
• Given Tally, Zoho Books, QuickBooks or Xero, then invoices export or sync.
• Given recurring contracts, then recurring invoices are made.</t>
        </is>
      </c>
      <c r="O698" s="5" t="inlineStr"/>
      <c r="P698" t="inlineStr">
        <is>
          <t>M14 gap check</t>
        </is>
      </c>
      <c r="Q698" t="inlineStr"/>
      <c r="R698" s="5" t="inlineStr"/>
    </row>
    <row r="699">
      <c r="A699" t="inlineStr">
        <is>
          <t>US-G-127</t>
        </is>
      </c>
      <c r="B699" t="n">
        <v>575.802</v>
      </c>
      <c r="C699" t="inlineStr">
        <is>
          <t>Story</t>
        </is>
      </c>
      <c r="D699" s="5" t="inlineStr">
        <is>
          <t xml:space="preserve">        Client sees contract balance, time and invoices in the portal</t>
        </is>
      </c>
      <c r="E699" t="inlineStr">
        <is>
          <t>Step 3b · YukthiX Service Desk (ITSM + ESM)</t>
        </is>
      </c>
      <c r="F699" t="inlineStr">
        <is>
          <t>Client billing and profitability</t>
        </is>
      </c>
      <c r="G699" t="inlineStr">
        <is>
          <t>New</t>
        </is>
      </c>
      <c r="I699">
        <f>IF(H699&lt;&gt;"",H699,G699)</f>
        <v/>
      </c>
      <c r="J699" t="inlineStr">
        <is>
          <t>Step 3b-3</t>
        </is>
      </c>
      <c r="K699" t="n">
        <v>3</v>
      </c>
      <c r="L699" t="n">
        <v>2</v>
      </c>
      <c r="M699" s="5" t="inlineStr">
        <is>
          <t>As a client admin, I want to see our balance and invoices, so that we trust the bill.</t>
        </is>
      </c>
      <c r="N699" s="5" t="inlineStr">
        <is>
          <t>• Given the portal, then contract balance is shown.
• Given time used, then each entry links to its ticket.
• Given invoices, then history with line detail is shown.</t>
        </is>
      </c>
      <c r="O699" s="5" t="inlineStr"/>
      <c r="P699" t="inlineStr">
        <is>
          <t>M14 gap check</t>
        </is>
      </c>
      <c r="Q699" t="inlineStr"/>
      <c r="R699" s="5" t="inlineStr"/>
    </row>
    <row r="700">
      <c r="A700" t="inlineStr">
        <is>
          <t>US-G-128</t>
        </is>
      </c>
      <c r="B700" t="n">
        <v>575.803</v>
      </c>
      <c r="C700" t="inlineStr">
        <is>
          <t>Story</t>
        </is>
      </c>
      <c r="D700" s="5" t="inlineStr">
        <is>
          <t xml:space="preserve">        Agents log parts and expenses</t>
        </is>
      </c>
      <c r="E700" t="inlineStr">
        <is>
          <t>Step 3b · YukthiX Service Desk (ITSM + ESM)</t>
        </is>
      </c>
      <c r="F700" t="inlineStr">
        <is>
          <t>Client billing and profitability</t>
        </is>
      </c>
      <c r="G700" t="inlineStr">
        <is>
          <t>New</t>
        </is>
      </c>
      <c r="I700">
        <f>IF(H700&lt;&gt;"",H700,G700)</f>
        <v/>
      </c>
      <c r="J700" t="inlineStr">
        <is>
          <t>Step 3b-3</t>
        </is>
      </c>
      <c r="K700" t="n">
        <v>3</v>
      </c>
      <c r="L700" t="n">
        <v>3</v>
      </c>
      <c r="M700" s="5" t="inlineStr">
        <is>
          <t>As an agent, I want to log parts and expenses on tickets, so that they are billed.</t>
        </is>
      </c>
      <c r="N700" s="5" t="inlineStr">
        <is>
          <t>• Given a product, part or expense, then it is logged with cost and sell price.
• Given billing, then it is included.
• Given stock items, then stock goes down.</t>
        </is>
      </c>
      <c r="O700" s="5" t="inlineStr"/>
      <c r="P700" t="inlineStr">
        <is>
          <t>M14 gap check</t>
        </is>
      </c>
      <c r="Q700" t="inlineStr"/>
      <c r="R700" s="5" t="inlineStr"/>
    </row>
    <row r="701">
      <c r="A701" t="inlineStr">
        <is>
          <t>US-G-129</t>
        </is>
      </c>
      <c r="B701" t="n">
        <v>575.804</v>
      </c>
      <c r="C701" t="inlineStr">
        <is>
          <t>Story</t>
        </is>
      </c>
      <c r="D701" s="5" t="inlineStr">
        <is>
          <t xml:space="preserve">        Owner sees profitability per client</t>
        </is>
      </c>
      <c r="E701" t="inlineStr">
        <is>
          <t>Step 3b · YukthiX Service Desk (ITSM + ESM)</t>
        </is>
      </c>
      <c r="F701" t="inlineStr">
        <is>
          <t>Client billing and profitability</t>
        </is>
      </c>
      <c r="G701" t="inlineStr">
        <is>
          <t>New</t>
        </is>
      </c>
      <c r="I701">
        <f>IF(H701&lt;&gt;"",H701,G701)</f>
        <v/>
      </c>
      <c r="J701" t="inlineStr">
        <is>
          <t>Step 3b-3</t>
        </is>
      </c>
      <c r="K701" t="n">
        <v>3</v>
      </c>
      <c r="L701" t="n">
        <v>2</v>
      </c>
      <c r="M701" s="5" t="inlineStr">
        <is>
          <t>As an MSP owner, I want profit per client, contract and agent, so that I price well.</t>
        </is>
      </c>
      <c r="N701" s="5" t="inlineStr">
        <is>
          <t>• Given revenue and cost of time and materials, then profit and effective hourly rate are shown.
• Given the dashboard, then unbilled hours, billing status, CSAT and SLA per client are shown.
• Given a period, then it can be exported.</t>
        </is>
      </c>
      <c r="O701" s="5" t="inlineStr"/>
      <c r="P701" t="inlineStr">
        <is>
          <t>M14 gap check</t>
        </is>
      </c>
      <c r="Q701" t="inlineStr"/>
      <c r="R701" s="5" t="inlineStr"/>
    </row>
    <row r="702">
      <c r="A702" s="9" t="inlineStr">
        <is>
          <t>FT-G-011</t>
        </is>
      </c>
      <c r="B702" s="9" t="n">
        <v>575.875</v>
      </c>
      <c r="C702" s="9" t="inlineStr">
        <is>
          <t>Feature</t>
        </is>
      </c>
      <c r="D702" s="10" t="inlineStr">
        <is>
          <t xml:space="preserve">    Ticket archive</t>
        </is>
      </c>
      <c r="E702" s="9" t="inlineStr">
        <is>
          <t>Step 3b · YukthiX Service Desk (ITSM + ESM)</t>
        </is>
      </c>
      <c r="F702" s="9" t="inlineStr">
        <is>
          <t>Ticket archive</t>
        </is>
      </c>
      <c r="G702" s="9" t="inlineStr">
        <is>
          <t>New</t>
        </is>
      </c>
      <c r="H702" s="9" t="n"/>
      <c r="I702" s="9">
        <f>IF(H702&lt;&gt;"",H702,G702)</f>
        <v/>
      </c>
      <c r="J702" s="9" t="inlineStr">
        <is>
          <t>Step 3b-3</t>
        </is>
      </c>
      <c r="K702" s="9" t="n"/>
      <c r="L702" s="9" t="n"/>
      <c r="M702" s="10" t="inlineStr"/>
      <c r="N702" s="10" t="inlineStr"/>
      <c r="O702" s="10" t="inlineStr"/>
      <c r="P702" s="9" t="inlineStr">
        <is>
          <t>M14 gap check</t>
        </is>
      </c>
      <c r="Q702" s="9" t="inlineStr"/>
      <c r="R702" s="10" t="inlineStr"/>
      <c r="S702" s="9" t="n"/>
    </row>
    <row r="703">
      <c r="A703" t="inlineStr">
        <is>
          <t>US-G-130</t>
        </is>
      </c>
      <c r="B703" t="n">
        <v>575.876</v>
      </c>
      <c r="C703" t="inlineStr">
        <is>
          <t>Story</t>
        </is>
      </c>
      <c r="D703" s="5" t="inlineStr">
        <is>
          <t xml:space="preserve">        Old closed tickets move to a searchable archive</t>
        </is>
      </c>
      <c r="E703" t="inlineStr">
        <is>
          <t>Step 3b · YukthiX Service Desk (ITSM + ESM)</t>
        </is>
      </c>
      <c r="F703" t="inlineStr">
        <is>
          <t>Ticket archive</t>
        </is>
      </c>
      <c r="G703" t="inlineStr">
        <is>
          <t>New</t>
        </is>
      </c>
      <c r="I703">
        <f>IF(H703&lt;&gt;"",H703,G703)</f>
        <v/>
      </c>
      <c r="J703" t="inlineStr">
        <is>
          <t>Step 3b-3</t>
        </is>
      </c>
      <c r="K703" t="n">
        <v>3</v>
      </c>
      <c r="L703" t="n">
        <v>3</v>
      </c>
      <c r="M703" s="5" t="inlineStr">
        <is>
          <t>As a desk admin, I want old tickets archived, so that the desk stays fast.</t>
        </is>
      </c>
      <c r="N703" s="5" t="inlineStr">
        <is>
          <t>• Given closed tickets older than N months, then they move to a read-only archive on a schedule.
• Given search and reports, then archived tickets can still be found.
• Given retention rules, then they still apply to the archive.</t>
        </is>
      </c>
      <c r="O703" s="5" t="inlineStr"/>
      <c r="P703" t="inlineStr">
        <is>
          <t>M14 gap check</t>
        </is>
      </c>
      <c r="Q703" t="inlineStr"/>
      <c r="R703" s="5" t="inlineStr"/>
    </row>
    <row r="704">
      <c r="A704" s="9" t="inlineStr">
        <is>
          <t>FT-B-038</t>
        </is>
      </c>
      <c r="B704" s="9" t="n">
        <v>576</v>
      </c>
      <c r="C704" s="9" t="inlineStr">
        <is>
          <t>Feature</t>
        </is>
      </c>
      <c r="D704" s="10" t="inlineStr">
        <is>
          <t xml:space="preserve">    Monitoring and event management</t>
        </is>
      </c>
      <c r="E704" s="9" t="inlineStr">
        <is>
          <t>Step 3b · YukthiX Service Desk (ITSM + ESM)</t>
        </is>
      </c>
      <c r="F704" s="9" t="inlineStr">
        <is>
          <t>Monitoring and event management</t>
        </is>
      </c>
      <c r="G704" s="9" t="inlineStr">
        <is>
          <t>New</t>
        </is>
      </c>
      <c r="H704" s="9" t="n"/>
      <c r="I704" s="9">
        <f>IF(H704&lt;&gt;"",H704,G704)</f>
        <v/>
      </c>
      <c r="J704" s="9" t="inlineStr">
        <is>
          <t>Step 3b-4</t>
        </is>
      </c>
      <c r="K704" s="9" t="n"/>
      <c r="L704" s="9" t="n"/>
      <c r="M704" s="10" t="inlineStr"/>
      <c r="N704" s="10" t="inlineStr"/>
      <c r="O704" s="10" t="inlineStr"/>
      <c r="P704" s="9" t="inlineStr">
        <is>
          <t>M14 §12</t>
        </is>
      </c>
      <c r="Q704" s="9" t="inlineStr"/>
      <c r="R704" s="10" t="inlineStr"/>
      <c r="S704" s="9" t="n"/>
    </row>
    <row r="705">
      <c r="A705" t="inlineStr">
        <is>
          <t>US-B-160</t>
        </is>
      </c>
      <c r="B705" t="n">
        <v>576</v>
      </c>
      <c r="C705" t="inlineStr">
        <is>
          <t>Story</t>
        </is>
      </c>
      <c r="D705" s="5" t="inlineStr">
        <is>
          <t xml:space="preserve">        Monitoring alerts create and close incidents</t>
        </is>
      </c>
      <c r="E705" t="inlineStr">
        <is>
          <t>Step 3b · YukthiX Service Desk (ITSM + ESM)</t>
        </is>
      </c>
      <c r="F705" t="inlineStr">
        <is>
          <t>Monitoring and event management</t>
        </is>
      </c>
      <c r="G705" t="inlineStr">
        <is>
          <t>New</t>
        </is>
      </c>
      <c r="I705">
        <f>IF(H705&lt;&gt;"",H705,G705)</f>
        <v/>
      </c>
      <c r="J705" t="inlineStr">
        <is>
          <t>Step 3b-4</t>
        </is>
      </c>
      <c r="K705" t="n">
        <v>8</v>
      </c>
      <c r="L705" t="n">
        <v>1</v>
      </c>
      <c r="M705" s="5" t="inlineStr">
        <is>
          <t>As an on-call engineer, I want alerts from monitoring tools to become incidents, so that nothing is missed.</t>
        </is>
      </c>
      <c r="N705" s="5" t="inlineStr">
        <is>
          <t>• Given webhooks from Prometheus / Grafana, Datadog, Azure Monitor, CloudWatch or uptime tools, then alerts are received and checked.
• Given repeated or related alerts, then they are de-duplicated and grouped into one incident.
• Given a recovery alert, then the incident closes automatically with a note.</t>
        </is>
      </c>
      <c r="O705" s="5" t="inlineStr"/>
      <c r="P705" t="inlineStr">
        <is>
          <t>M14 §12</t>
        </is>
      </c>
      <c r="Q705" t="inlineStr">
        <is>
          <t>US-B-131</t>
        </is>
      </c>
      <c r="R705" s="5" t="inlineStr"/>
    </row>
    <row r="706">
      <c r="A706" t="inlineStr">
        <is>
          <t>US-G-131</t>
        </is>
      </c>
      <c r="B706" t="n">
        <v>576.062</v>
      </c>
      <c r="C706" t="inlineStr">
        <is>
          <t>Story</t>
        </is>
      </c>
      <c r="D706" s="5" t="inlineStr">
        <is>
          <t xml:space="preserve">        Event rules map, correlate and suppress alerts</t>
        </is>
      </c>
      <c r="E706" t="inlineStr">
        <is>
          <t>Step 3b · YukthiX Service Desk (ITSM + ESM)</t>
        </is>
      </c>
      <c r="F706" t="inlineStr">
        <is>
          <t>Monitoring and event management</t>
        </is>
      </c>
      <c r="G706" t="inlineStr">
        <is>
          <t>New</t>
        </is>
      </c>
      <c r="I706">
        <f>IF(H706&lt;&gt;"",H706,G706)</f>
        <v/>
      </c>
      <c r="J706" t="inlineStr">
        <is>
          <t>Step 3b-4</t>
        </is>
      </c>
      <c r="K706" t="n">
        <v>5</v>
      </c>
      <c r="L706" t="n">
        <v>2</v>
      </c>
      <c r="M706" s="5" t="inlineStr">
        <is>
          <t>As an on-call engineer, I want smart event rules, so that I get one incident, not a storm.</t>
        </is>
      </c>
      <c r="N706" s="5" t="inlineStr">
        <is>
          <t>• Given payload fields, then they map to incident fields and CIs.
• Given CI topology, then related alerts group under one root alert.
• Given classification and severity mapping, then information events do not page.
• Given maintenance windows from the change calendar, then alerts are muted.</t>
        </is>
      </c>
      <c r="O706" s="5" t="inlineStr"/>
      <c r="P706" t="inlineStr">
        <is>
          <t>M14 gap check</t>
        </is>
      </c>
      <c r="Q706" t="inlineStr">
        <is>
          <t>US-B-160</t>
        </is>
      </c>
      <c r="R706" s="5" t="inlineStr"/>
    </row>
    <row r="707">
      <c r="A707" t="inlineStr">
        <is>
          <t>US-G-132</t>
        </is>
      </c>
      <c r="B707" t="n">
        <v>576.125</v>
      </c>
      <c r="C707" t="inlineStr">
        <is>
          <t>Story</t>
        </is>
      </c>
      <c r="D707" s="5" t="inlineStr">
        <is>
          <t xml:space="preserve">        Heartbeat and simple uptime checks raise alerts</t>
        </is>
      </c>
      <c r="E707" t="inlineStr">
        <is>
          <t>Step 3b · YukthiX Service Desk (ITSM + ESM)</t>
        </is>
      </c>
      <c r="F707" t="inlineStr">
        <is>
          <t>Monitoring and event management</t>
        </is>
      </c>
      <c r="G707" t="inlineStr">
        <is>
          <t>New</t>
        </is>
      </c>
      <c r="I707">
        <f>IF(H707&lt;&gt;"",H707,G707)</f>
        <v/>
      </c>
      <c r="J707" t="inlineStr">
        <is>
          <t>Step 3b-4</t>
        </is>
      </c>
      <c r="K707" t="n">
        <v>3</v>
      </c>
      <c r="L707" t="n">
        <v>2</v>
      </c>
      <c r="M707" s="5" t="inlineStr">
        <is>
          <t>As an IT lead, I want basic checks without a monitoring tool, so that we hear about downtime.</t>
        </is>
      </c>
      <c r="N707" s="5" t="inlineStr">
        <is>
          <t>• Given a heartbeat, when the ping does not arrive on time, then an alert is raised.
• Given HTTP, ping or TLS-expiry checks, then they run from our side and alert on failure.
• Given results, then they feed availability.</t>
        </is>
      </c>
      <c r="O707" s="5" t="inlineStr"/>
      <c r="P707" t="inlineStr">
        <is>
          <t>M14 gap check</t>
        </is>
      </c>
      <c r="Q707" t="inlineStr"/>
      <c r="R707" s="5" t="inlineStr"/>
    </row>
    <row r="708">
      <c r="A708" t="inlineStr">
        <is>
          <t>US-G-133</t>
        </is>
      </c>
      <c r="B708" t="n">
        <v>576.188</v>
      </c>
      <c r="C708" t="inlineStr">
        <is>
          <t>Story</t>
        </is>
      </c>
      <c r="D708" s="5" t="inlineStr">
        <is>
          <t xml:space="preserve">        Service health tiles and many alert sources</t>
        </is>
      </c>
      <c r="E708" t="inlineStr">
        <is>
          <t>Step 3b · YukthiX Service Desk (ITSM + ESM)</t>
        </is>
      </c>
      <c r="F708" t="inlineStr">
        <is>
          <t>Monitoring and event management</t>
        </is>
      </c>
      <c r="G708" t="inlineStr">
        <is>
          <t>New</t>
        </is>
      </c>
      <c r="I708">
        <f>IF(H708&lt;&gt;"",H708,G708)</f>
        <v/>
      </c>
      <c r="J708" t="inlineStr">
        <is>
          <t>Step 3b-4</t>
        </is>
      </c>
      <c r="K708" t="n">
        <v>5</v>
      </c>
      <c r="L708" t="n">
        <v>3</v>
      </c>
      <c r="M708" s="5" t="inlineStr">
        <is>
          <t>As an IT lead, I want health tiles and more alert sources, so that I see service state at a glance.</t>
        </is>
      </c>
      <c r="N708" s="5" t="inlineStr">
        <is>
          <t>• Given a service, then a tile combines open alerts, incidents and changes.
• Given tile state, then it can update the status page.
• Given a catalogue of ready alert integrations and email-to-alert, then most tools connect without code.</t>
        </is>
      </c>
      <c r="O708" s="5" t="inlineStr"/>
      <c r="P708" t="inlineStr">
        <is>
          <t>M14 gap check</t>
        </is>
      </c>
      <c r="Q708" t="inlineStr"/>
      <c r="R708" s="5" t="inlineStr"/>
    </row>
    <row r="709">
      <c r="A709" t="inlineStr">
        <is>
          <t>US-G-134</t>
        </is>
      </c>
      <c r="B709" t="n">
        <v>576.25</v>
      </c>
      <c r="C709" t="inlineStr">
        <is>
          <t>Story</t>
        </is>
      </c>
      <c r="D709" s="5" t="inlineStr">
        <is>
          <t xml:space="preserve">        Log anomalies raise alerts</t>
        </is>
      </c>
      <c r="E709" t="inlineStr">
        <is>
          <t>Step 3b · YukthiX Service Desk (ITSM + ESM)</t>
        </is>
      </c>
      <c r="F709" t="inlineStr">
        <is>
          <t>Monitoring and event management</t>
        </is>
      </c>
      <c r="G709" t="inlineStr">
        <is>
          <t>New</t>
        </is>
      </c>
      <c r="I709">
        <f>IF(H709&lt;&gt;"",H709,G709)</f>
        <v/>
      </c>
      <c r="J709" t="inlineStr">
        <is>
          <t>Step 3b-4</t>
        </is>
      </c>
      <c r="K709" t="n">
        <v>5</v>
      </c>
      <c r="L709" t="n">
        <v>3</v>
      </c>
      <c r="M709" s="5" t="inlineStr">
        <is>
          <t>As an IT lead, I want alerts on unusual logs, so that we catch problems early.</t>
        </is>
      </c>
      <c r="N709" s="5" t="inlineStr">
        <is>
          <t>• Given logs sent to the desk, then unusual patterns raise alerts.
• Given an alert, then it can create an incident.
• Given retention, then raw logs are kept only for the set days.</t>
        </is>
      </c>
      <c r="O709" s="5" t="inlineStr"/>
      <c r="P709" t="inlineStr">
        <is>
          <t>M14 gap check</t>
        </is>
      </c>
      <c r="Q709" t="inlineStr"/>
      <c r="R709" s="5" t="inlineStr"/>
    </row>
    <row r="710">
      <c r="A710" t="inlineStr">
        <is>
          <t>US-G-135</t>
        </is>
      </c>
      <c r="B710" t="n">
        <v>576.312</v>
      </c>
      <c r="C710" t="inlineStr">
        <is>
          <t>Story</t>
        </is>
      </c>
      <c r="D710" s="5" t="inlineStr">
        <is>
          <t xml:space="preserve">        IT sees digital experience scores from read-only data</t>
        </is>
      </c>
      <c r="E710" t="inlineStr">
        <is>
          <t>Step 3b · YukthiX Service Desk (ITSM + ESM)</t>
        </is>
      </c>
      <c r="F710" t="inlineStr">
        <is>
          <t>Monitoring and event management</t>
        </is>
      </c>
      <c r="G710" t="inlineStr">
        <is>
          <t>New</t>
        </is>
      </c>
      <c r="I710">
        <f>IF(H710&lt;&gt;"",H710,G710)</f>
        <v/>
      </c>
      <c r="J710" t="inlineStr">
        <is>
          <t>Step 3b-4</t>
        </is>
      </c>
      <c r="K710" t="n">
        <v>5</v>
      </c>
      <c r="L710" t="n">
        <v>3</v>
      </c>
      <c r="M710" s="5" t="inlineStr">
        <is>
          <t>As an IT lead, I want device experience scores, so that we fix slow devices before people complain.</t>
        </is>
      </c>
      <c r="N710" s="5" t="inlineStr">
        <is>
          <t>• Given osquery read-only data (boot time, crashes, disk, battery), then each device and department gets a score.
• Given a falling score, then a proactive ticket is created.
• Given pulse surveys, then employee mood is added.
• Given privacy, then no personal files or browsing data are read (Q3).</t>
        </is>
      </c>
      <c r="O710" s="5" t="inlineStr"/>
      <c r="P710" t="inlineStr">
        <is>
          <t>M14 gap check</t>
        </is>
      </c>
      <c r="Q710" t="inlineStr">
        <is>
          <t>US-B-150</t>
        </is>
      </c>
      <c r="R710" s="5" t="inlineStr"/>
    </row>
    <row r="711">
      <c r="A711" t="inlineStr">
        <is>
          <t>US-G-136</t>
        </is>
      </c>
      <c r="B711" t="n">
        <v>576.375</v>
      </c>
      <c r="C711" t="inlineStr">
        <is>
          <t>Story</t>
        </is>
      </c>
      <c r="D711" s="5" t="inlineStr">
        <is>
          <t xml:space="preserve">        RMM devices and alerts flow into the desk</t>
        </is>
      </c>
      <c r="E711" t="inlineStr">
        <is>
          <t>Step 3b · YukthiX Service Desk (ITSM + ESM)</t>
        </is>
      </c>
      <c r="F711" t="inlineStr">
        <is>
          <t>Monitoring and event management</t>
        </is>
      </c>
      <c r="G711" t="inlineStr">
        <is>
          <t>New</t>
        </is>
      </c>
      <c r="I711">
        <f>IF(H711&lt;&gt;"",H711,G711)</f>
        <v/>
      </c>
      <c r="J711" t="inlineStr">
        <is>
          <t>Step 3b-4</t>
        </is>
      </c>
      <c r="K711" t="n">
        <v>5</v>
      </c>
      <c r="L711" t="n">
        <v>2</v>
      </c>
      <c r="M711" s="5" t="inlineStr">
        <is>
          <t>As an IT admin, I want RMM data in the desk, so that all device issues are in one place.</t>
        </is>
      </c>
      <c r="N711" s="5" t="inlineStr">
        <is>
          <t>• Given NinjaOne, Datto RMM or N-able, then devices import as assets.
• Given RMM alerts, then they become tickets with the device linked.
• Given actions, then they stay in the RMM tool; YukthiX sends no commands (Q4).</t>
        </is>
      </c>
      <c r="O711" s="5" t="inlineStr"/>
      <c r="P711" t="inlineStr">
        <is>
          <t>M14 gap check</t>
        </is>
      </c>
      <c r="Q711" t="inlineStr"/>
      <c r="R711" s="5" t="inlineStr"/>
    </row>
    <row r="712">
      <c r="A712" t="inlineStr">
        <is>
          <t>US-G-137</t>
        </is>
      </c>
      <c r="B712" t="n">
        <v>576.438</v>
      </c>
      <c r="C712" t="inlineStr">
        <is>
          <t>Story</t>
        </is>
      </c>
      <c r="D712" s="5" t="inlineStr">
        <is>
          <t xml:space="preserve">        Capacity trends and plans per service</t>
        </is>
      </c>
      <c r="E712" t="inlineStr">
        <is>
          <t>Step 3b · YukthiX Service Desk (ITSM + ESM)</t>
        </is>
      </c>
      <c r="F712" t="inlineStr">
        <is>
          <t>Monitoring and event management</t>
        </is>
      </c>
      <c r="G712" t="inlineStr">
        <is>
          <t>New</t>
        </is>
      </c>
      <c r="I712">
        <f>IF(H712&lt;&gt;"",H712,G712)</f>
        <v/>
      </c>
      <c r="J712" t="inlineStr">
        <is>
          <t>Step 3b-4</t>
        </is>
      </c>
      <c r="K712" t="n">
        <v>5</v>
      </c>
      <c r="L712" t="n">
        <v>3</v>
      </c>
      <c r="M712" s="5" t="inlineStr">
        <is>
          <t>As a capacity manager, I want capacity trends, so that we add capacity in time.</t>
        </is>
      </c>
      <c r="N712" s="5" t="inlineStr">
        <is>
          <t>• Given monitoring metrics, then thresholds and trends per CI or service are shown.
• Given a breach of a threshold, then an alert is raised.
• Given capacity plans, then they are kept with forecasts.</t>
        </is>
      </c>
      <c r="O712" s="5" t="inlineStr"/>
      <c r="P712" t="inlineStr">
        <is>
          <t>M14 gap check</t>
        </is>
      </c>
      <c r="Q712" t="inlineStr"/>
      <c r="R712" s="5" t="inlineStr"/>
    </row>
    <row r="713">
      <c r="A713" s="9" t="inlineStr">
        <is>
          <t>FT-B-039</t>
        </is>
      </c>
      <c r="B713" s="9" t="n">
        <v>577</v>
      </c>
      <c r="C713" s="9" t="inlineStr">
        <is>
          <t>Feature</t>
        </is>
      </c>
      <c r="D713" s="10" t="inlineStr">
        <is>
          <t xml:space="preserve">    On-call and escalation</t>
        </is>
      </c>
      <c r="E713" s="9" t="inlineStr">
        <is>
          <t>Step 3b · YukthiX Service Desk (ITSM + ESM)</t>
        </is>
      </c>
      <c r="F713" s="9" t="inlineStr">
        <is>
          <t>On-call and escalation</t>
        </is>
      </c>
      <c r="G713" s="9" t="inlineStr">
        <is>
          <t>New</t>
        </is>
      </c>
      <c r="H713" s="9" t="n"/>
      <c r="I713" s="9">
        <f>IF(H713&lt;&gt;"",H713,G713)</f>
        <v/>
      </c>
      <c r="J713" s="9" t="inlineStr">
        <is>
          <t>Step 3b-4</t>
        </is>
      </c>
      <c r="K713" s="9" t="n"/>
      <c r="L713" s="9" t="n"/>
      <c r="M713" s="10" t="inlineStr"/>
      <c r="N713" s="10" t="inlineStr"/>
      <c r="O713" s="10" t="inlineStr"/>
      <c r="P713" s="9" t="inlineStr">
        <is>
          <t>M14 §13, P04</t>
        </is>
      </c>
      <c r="Q713" s="9" t="inlineStr"/>
      <c r="R713" s="10" t="inlineStr"/>
      <c r="S713" s="9" t="n"/>
    </row>
    <row r="714">
      <c r="A714" t="inlineStr">
        <is>
          <t>US-B-161</t>
        </is>
      </c>
      <c r="B714" t="n">
        <v>577</v>
      </c>
      <c r="C714" t="inlineStr">
        <is>
          <t>Story</t>
        </is>
      </c>
      <c r="D714" s="5" t="inlineStr">
        <is>
          <t xml:space="preserve">        Team lead sets on-call schedules and rotations</t>
        </is>
      </c>
      <c r="E714" t="inlineStr">
        <is>
          <t>Step 3b · YukthiX Service Desk (ITSM + ESM)</t>
        </is>
      </c>
      <c r="F714" t="inlineStr">
        <is>
          <t>On-call and escalation</t>
        </is>
      </c>
      <c r="G714" t="inlineStr">
        <is>
          <t>New</t>
        </is>
      </c>
      <c r="I714">
        <f>IF(H714&lt;&gt;"",H714,G714)</f>
        <v/>
      </c>
      <c r="J714" t="inlineStr">
        <is>
          <t>Step 3b-4</t>
        </is>
      </c>
      <c r="K714" t="n">
        <v>5</v>
      </c>
      <c r="L714" t="n">
        <v>1</v>
      </c>
      <c r="M714" s="5" t="inlineStr">
        <is>
          <t>As a team lead, I want on-call rotations, so that someone is always responsible.</t>
        </is>
      </c>
      <c r="N714" s="5" t="inlineStr">
        <is>
          <t>• Given a schedule, then rotations, hand-over times and overrides can be set.
• Given now, then the console shows who is on call for each team.
• Given a holiday or leave, then an override can hand the shift to a colleague.</t>
        </is>
      </c>
      <c r="O714" s="5" t="inlineStr"/>
      <c r="P714" t="inlineStr">
        <is>
          <t>M14 §13, P04</t>
        </is>
      </c>
      <c r="Q714" t="inlineStr">
        <is>
          <t>US-B-112</t>
        </is>
      </c>
      <c r="R714" s="5" t="inlineStr"/>
    </row>
    <row r="715">
      <c r="A715" t="inlineStr">
        <is>
          <t>US-B-162</t>
        </is>
      </c>
      <c r="B715" t="n">
        <v>578</v>
      </c>
      <c r="C715" t="inlineStr">
        <is>
          <t>Story</t>
        </is>
      </c>
      <c r="D715" s="5" t="inlineStr">
        <is>
          <t xml:space="preserve">        On-call engineer is paged and acknowledges</t>
        </is>
      </c>
      <c r="E715" t="inlineStr">
        <is>
          <t>Step 3b · YukthiX Service Desk (ITSM + ESM)</t>
        </is>
      </c>
      <c r="F715" t="inlineStr">
        <is>
          <t>On-call and escalation</t>
        </is>
      </c>
      <c r="G715" t="inlineStr">
        <is>
          <t>New</t>
        </is>
      </c>
      <c r="I715">
        <f>IF(H715&lt;&gt;"",H715,G715)</f>
        <v/>
      </c>
      <c r="J715" t="inlineStr">
        <is>
          <t>Step 3b-4</t>
        </is>
      </c>
      <c r="K715" t="n">
        <v>5</v>
      </c>
      <c r="L715" t="n">
        <v>1</v>
      </c>
      <c r="M715" s="5" t="inlineStr">
        <is>
          <t>As an on-call engineer, I want to be paged by SMS, call or push, so that I wake up for real problems.</t>
        </is>
      </c>
      <c r="N715" s="5" t="inlineStr">
        <is>
          <t>• Given an urgent incident, then the on-call person is paged by SMS, call or push through P04.
• Given no acknowledgement in the set time, then the escalation policy pages the next level.
• Given acknowledgement, then the time is recorded for MTTA.</t>
        </is>
      </c>
      <c r="O715" s="5" t="inlineStr"/>
      <c r="P715" t="inlineStr">
        <is>
          <t>M14 §13, P04</t>
        </is>
      </c>
      <c r="Q715" t="inlineStr">
        <is>
          <t>US-B-161, US-B-160</t>
        </is>
      </c>
      <c r="R715" s="5" t="inlineStr"/>
    </row>
    <row r="716">
      <c r="A716" t="inlineStr">
        <is>
          <t>US-G-138</t>
        </is>
      </c>
      <c r="B716" t="n">
        <v>578.083</v>
      </c>
      <c r="C716" t="inlineStr">
        <is>
          <t>Story</t>
        </is>
      </c>
      <c r="D716" s="5" t="inlineStr">
        <is>
          <t xml:space="preserve">        On-call links with PagerDuty, Opsgenie or Squadcast</t>
        </is>
      </c>
      <c r="E716" t="inlineStr">
        <is>
          <t>Step 3b · YukthiX Service Desk (ITSM + ESM)</t>
        </is>
      </c>
      <c r="F716" t="inlineStr">
        <is>
          <t>On-call and escalation</t>
        </is>
      </c>
      <c r="G716" t="inlineStr">
        <is>
          <t>New</t>
        </is>
      </c>
      <c r="I716">
        <f>IF(H716&lt;&gt;"",H716,G716)</f>
        <v/>
      </c>
      <c r="J716" t="inlineStr">
        <is>
          <t>Step 3b-4</t>
        </is>
      </c>
      <c r="K716" t="n">
        <v>5</v>
      </c>
      <c r="L716" t="n">
        <v>2</v>
      </c>
      <c r="M716" s="5" t="inlineStr">
        <is>
          <t>As an on-call engineer, I want our current on-call tool linked, so that we keep it while using the desk.</t>
        </is>
      </c>
      <c r="N716" s="5" t="inlineStr">
        <is>
          <t>• Given a link, then tickets create and resolve alerts there.
• Given acknowledgement there, then it syncs back.
• Given the link is off, then our own paging is used.</t>
        </is>
      </c>
      <c r="O716" s="5" t="inlineStr"/>
      <c r="P716" t="inlineStr">
        <is>
          <t>M14 gap check</t>
        </is>
      </c>
      <c r="Q716" t="inlineStr"/>
      <c r="R716" s="5" t="inlineStr"/>
    </row>
    <row r="717">
      <c r="A717" t="inlineStr">
        <is>
          <t>US-G-139</t>
        </is>
      </c>
      <c r="B717" t="n">
        <v>578.167</v>
      </c>
      <c r="C717" t="inlineStr">
        <is>
          <t>Story</t>
        </is>
      </c>
      <c r="D717" s="5" t="inlineStr">
        <is>
          <t xml:space="preserve">        On-call overrides come from approved leave</t>
        </is>
      </c>
      <c r="E717" t="inlineStr">
        <is>
          <t>Step 3b · YukthiX Service Desk (ITSM + ESM)</t>
        </is>
      </c>
      <c r="F717" t="inlineStr">
        <is>
          <t>On-call and escalation</t>
        </is>
      </c>
      <c r="G717" t="inlineStr">
        <is>
          <t>New</t>
        </is>
      </c>
      <c r="I717">
        <f>IF(H717&lt;&gt;"",H717,G717)</f>
        <v/>
      </c>
      <c r="J717" t="inlineStr">
        <is>
          <t>Step 3b-4</t>
        </is>
      </c>
      <c r="K717" t="n">
        <v>3</v>
      </c>
      <c r="L717" t="n">
        <v>2</v>
      </c>
      <c r="M717" s="5" t="inlineStr">
        <is>
          <t>As a team lead, I want leave turned into overrides, so that no shift is left empty.</t>
        </is>
      </c>
      <c r="N717" s="5" t="inlineStr">
        <is>
          <t>• Given approved leave in YukthiX HR, then an override is proposed for that shift.
• Given a gap in coverage, then the lead is warned before it happens.
• Given the override, then it needs the colleague's acceptance.</t>
        </is>
      </c>
      <c r="O717" s="5" t="inlineStr"/>
      <c r="P717" t="inlineStr">
        <is>
          <t>M14 gap check</t>
        </is>
      </c>
      <c r="Q717" t="inlineStr">
        <is>
          <t>US-B-161</t>
        </is>
      </c>
      <c r="R717" s="5" t="inlineStr"/>
    </row>
    <row r="718">
      <c r="A718" t="inlineStr">
        <is>
          <t>US-G-140</t>
        </is>
      </c>
      <c r="B718" t="n">
        <v>578.25</v>
      </c>
      <c r="C718" t="inlineStr">
        <is>
          <t>Story</t>
        </is>
      </c>
      <c r="D718" s="5" t="inlineStr">
        <is>
          <t xml:space="preserve">        Phone calls ring whoever is on call</t>
        </is>
      </c>
      <c r="E718" t="inlineStr">
        <is>
          <t>Step 3b · YukthiX Service Desk (ITSM + ESM)</t>
        </is>
      </c>
      <c r="F718" t="inlineStr">
        <is>
          <t>On-call and escalation</t>
        </is>
      </c>
      <c r="G718" t="inlineStr">
        <is>
          <t>New</t>
        </is>
      </c>
      <c r="I718">
        <f>IF(H718&lt;&gt;"",H718,G718)</f>
        <v/>
      </c>
      <c r="J718" t="inlineStr">
        <is>
          <t>Step 3b-4</t>
        </is>
      </c>
      <c r="K718" t="n">
        <v>3</v>
      </c>
      <c r="L718" t="n">
        <v>3</v>
      </c>
      <c r="M718" s="5" t="inlineStr">
        <is>
          <t>As a caller, I want one number that reaches on-call, so that urgent issues reach a person.</t>
        </is>
      </c>
      <c r="N718" s="5" t="inlineStr">
        <is>
          <t>• Given the number, then it rings the on-call person now.
• Given no answer, then voicemail becomes an alert.
• Given escalation, then the next level is called.</t>
        </is>
      </c>
      <c r="O718" s="5" t="inlineStr"/>
      <c r="P718" t="inlineStr">
        <is>
          <t>M14 gap check</t>
        </is>
      </c>
      <c r="Q718" t="inlineStr"/>
      <c r="R718" s="5" t="inlineStr"/>
    </row>
    <row r="719">
      <c r="A719" t="inlineStr">
        <is>
          <t>US-G-141</t>
        </is>
      </c>
      <c r="B719" t="n">
        <v>578.333</v>
      </c>
      <c r="C719" t="inlineStr">
        <is>
          <t>Story</t>
        </is>
      </c>
      <c r="D719" s="5" t="inlineStr">
        <is>
          <t xml:space="preserve">        On-call people set paging rules and see load</t>
        </is>
      </c>
      <c r="E719" t="inlineStr">
        <is>
          <t>Step 3b · YukthiX Service Desk (ITSM + ESM)</t>
        </is>
      </c>
      <c r="F719" t="inlineStr">
        <is>
          <t>On-call and escalation</t>
        </is>
      </c>
      <c r="G719" t="inlineStr">
        <is>
          <t>New</t>
        </is>
      </c>
      <c r="I719">
        <f>IF(H719&lt;&gt;"",H719,G719)</f>
        <v/>
      </c>
      <c r="J719" t="inlineStr">
        <is>
          <t>Step 3b-4</t>
        </is>
      </c>
      <c r="K719" t="n">
        <v>5</v>
      </c>
      <c r="L719" t="n">
        <v>2</v>
      </c>
      <c r="M719" s="5" t="inlineStr">
        <is>
          <t>As an on-call engineer, I want my own paging rules, so that I am paged the way I respond.</t>
        </is>
      </c>
      <c r="N719" s="5" t="inlineStr">
        <is>
          <t>• Given my rules, then I choose channel and delay per step.
• Given swaps and follow-the-sun rotations, then they are supported.
• Given reports, then pages per person and out-of-hours load are shown.</t>
        </is>
      </c>
      <c r="O719" s="5" t="inlineStr"/>
      <c r="P719" t="inlineStr">
        <is>
          <t>M14 gap check</t>
        </is>
      </c>
      <c r="Q719" t="inlineStr"/>
      <c r="R719" s="5" t="inlineStr"/>
    </row>
    <row r="720">
      <c r="A720" t="inlineStr">
        <is>
          <t>US-G-142</t>
        </is>
      </c>
      <c r="B720" t="n">
        <v>578.417</v>
      </c>
      <c r="C720" t="inlineStr">
        <is>
          <t>Story</t>
        </is>
      </c>
      <c r="D720" s="5" t="inlineStr">
        <is>
          <t xml:space="preserve">        Alerts are acknowledged from Teams or Slack</t>
        </is>
      </c>
      <c r="E720" t="inlineStr">
        <is>
          <t>Step 3b · YukthiX Service Desk (ITSM + ESM)</t>
        </is>
      </c>
      <c r="F720" t="inlineStr">
        <is>
          <t>On-call and escalation</t>
        </is>
      </c>
      <c r="G720" t="inlineStr">
        <is>
          <t>New</t>
        </is>
      </c>
      <c r="I720">
        <f>IF(H720&lt;&gt;"",H720,G720)</f>
        <v/>
      </c>
      <c r="J720" t="inlineStr">
        <is>
          <t>Step 3b-4</t>
        </is>
      </c>
      <c r="K720" t="n">
        <v>3</v>
      </c>
      <c r="L720" t="n">
        <v>2</v>
      </c>
      <c r="M720" s="5" t="inlineStr">
        <is>
          <t>As an on-call engineer, I want to act on alerts in chat, so that I respond faster.</t>
        </is>
      </c>
      <c r="N720" s="5" t="inlineStr">
        <is>
          <t>• Given an alert message, then I acknowledge, escalate or close it there.
• Given the action, then the time is recorded for MTTA.
• Given my rights, then only allowed actions show.</t>
        </is>
      </c>
      <c r="O720" s="5" t="inlineStr"/>
      <c r="P720" t="inlineStr">
        <is>
          <t>M14 gap check</t>
        </is>
      </c>
      <c r="Q720" t="inlineStr"/>
      <c r="R720" s="5" t="inlineStr"/>
    </row>
    <row r="721">
      <c r="A721" s="9" t="inlineStr">
        <is>
          <t>FT-B-040</t>
        </is>
      </c>
      <c r="B721" s="9" t="n">
        <v>579</v>
      </c>
      <c r="C721" s="9" t="inlineStr">
        <is>
          <t>Feature</t>
        </is>
      </c>
      <c r="D721" s="10" t="inlineStr">
        <is>
          <t xml:space="preserve">    Status pages for companies</t>
        </is>
      </c>
      <c r="E721" s="9" t="inlineStr">
        <is>
          <t>Step 3b · YukthiX Service Desk (ITSM + ESM)</t>
        </is>
      </c>
      <c r="F721" s="9" t="inlineStr">
        <is>
          <t>Status pages for companies</t>
        </is>
      </c>
      <c r="G721" s="9" t="inlineStr">
        <is>
          <t>New</t>
        </is>
      </c>
      <c r="H721" s="9" t="n"/>
      <c r="I721" s="9">
        <f>IF(H721&lt;&gt;"",H721,G721)</f>
        <v/>
      </c>
      <c r="J721" s="9" t="inlineStr">
        <is>
          <t>Step 3b-4</t>
        </is>
      </c>
      <c r="K721" s="9" t="n"/>
      <c r="L721" s="9" t="n"/>
      <c r="M721" s="10" t="inlineStr"/>
      <c r="N721" s="10" t="inlineStr"/>
      <c r="O721" s="10" t="inlineStr">
        <is>
          <t>YX-GRO-09</t>
        </is>
      </c>
      <c r="P721" s="9" t="inlineStr">
        <is>
          <t>M14 §14, P20 YX-GRO-09</t>
        </is>
      </c>
      <c r="Q721" s="9" t="inlineStr"/>
      <c r="R721" s="10" t="inlineStr"/>
      <c r="S721" s="9" t="n"/>
    </row>
    <row r="722">
      <c r="A722" t="inlineStr">
        <is>
          <t>US-B-163</t>
        </is>
      </c>
      <c r="B722" t="n">
        <v>579</v>
      </c>
      <c r="C722" t="inlineStr">
        <is>
          <t>Story</t>
        </is>
      </c>
      <c r="D722" s="5" t="inlineStr">
        <is>
          <t xml:space="preserve">        Company publishes its own status pages</t>
        </is>
      </c>
      <c r="E722" t="inlineStr">
        <is>
          <t>Step 3b · YukthiX Service Desk (ITSM + ESM)</t>
        </is>
      </c>
      <c r="F722" t="inlineStr">
        <is>
          <t>Status pages for companies</t>
        </is>
      </c>
      <c r="G722" t="inlineStr">
        <is>
          <t>New</t>
        </is>
      </c>
      <c r="I722">
        <f>IF(H722&lt;&gt;"",H722,G722)</f>
        <v/>
      </c>
      <c r="J722" t="inlineStr">
        <is>
          <t>Step 3b-4</t>
        </is>
      </c>
      <c r="K722" t="n">
        <v>5</v>
      </c>
      <c r="L722" t="n">
        <v>1</v>
      </c>
      <c r="M722" s="5" t="inlineStr">
        <is>
          <t>As a company IT lead, I want public and private status pages, so that our users see service health.</t>
        </is>
      </c>
      <c r="N722" s="5" t="inlineStr">
        <is>
          <t>• Given components, then the company can publish public or private (signed-in) status pages using the same engine as the YukthiX status page (YX-GRO-09).
• Given an incident, then updates post to the page and subscribers are notified.
• Given subscribers, then sign-up uses double opt-in and one-click unsubscribe.</t>
        </is>
      </c>
      <c r="O722" s="5" t="inlineStr">
        <is>
          <t>YX-GRO-09</t>
        </is>
      </c>
      <c r="P722" t="inlineStr">
        <is>
          <t>M14 §14, P20 YX-GRO-09</t>
        </is>
      </c>
      <c r="Q722" t="inlineStr">
        <is>
          <t>US-B-059, US-B-160</t>
        </is>
      </c>
      <c r="R722" s="5" t="inlineStr"/>
    </row>
    <row r="723">
      <c r="A723" s="9" t="inlineStr">
        <is>
          <t>FT-B-041</t>
        </is>
      </c>
      <c r="B723" s="9" t="n">
        <v>580</v>
      </c>
      <c r="C723" s="9" t="inlineStr">
        <is>
          <t>Feature</t>
        </is>
      </c>
      <c r="D723" s="10" t="inlineStr">
        <is>
          <t xml:space="preserve">    Major incident</t>
        </is>
      </c>
      <c r="E723" s="9" t="inlineStr">
        <is>
          <t>Step 3b · YukthiX Service Desk (ITSM + ESM)</t>
        </is>
      </c>
      <c r="F723" s="9" t="inlineStr">
        <is>
          <t>Major incident</t>
        </is>
      </c>
      <c r="G723" s="9" t="inlineStr">
        <is>
          <t>New</t>
        </is>
      </c>
      <c r="H723" s="9" t="n"/>
      <c r="I723" s="9">
        <f>IF(H723&lt;&gt;"",H723,G723)</f>
        <v/>
      </c>
      <c r="J723" s="9" t="inlineStr">
        <is>
          <t>Step 3b-4</t>
        </is>
      </c>
      <c r="K723" s="9" t="n"/>
      <c r="L723" s="9" t="n"/>
      <c r="M723" s="10" t="inlineStr"/>
      <c r="N723" s="10" t="inlineStr"/>
      <c r="O723" s="10" t="inlineStr"/>
      <c r="P723" s="9" t="inlineStr">
        <is>
          <t>M14 §1</t>
        </is>
      </c>
      <c r="Q723" s="9" t="inlineStr"/>
      <c r="R723" s="10" t="inlineStr"/>
      <c r="S723" s="9" t="n"/>
    </row>
    <row r="724">
      <c r="A724" t="inlineStr">
        <is>
          <t>US-B-164</t>
        </is>
      </c>
      <c r="B724" t="n">
        <v>580</v>
      </c>
      <c r="C724" t="inlineStr">
        <is>
          <t>Story</t>
        </is>
      </c>
      <c r="D724" s="5" t="inlineStr">
        <is>
          <t xml:space="preserve">        Lead declares a major incident with a war-room</t>
        </is>
      </c>
      <c r="E724" t="inlineStr">
        <is>
          <t>Step 3b · YukthiX Service Desk (ITSM + ESM)</t>
        </is>
      </c>
      <c r="F724" t="inlineStr">
        <is>
          <t>Major incident</t>
        </is>
      </c>
      <c r="G724" t="inlineStr">
        <is>
          <t>New</t>
        </is>
      </c>
      <c r="I724">
        <f>IF(H724&lt;&gt;"",H724,G724)</f>
        <v/>
      </c>
      <c r="J724" t="inlineStr">
        <is>
          <t>Step 3b-4</t>
        </is>
      </c>
      <c r="K724" t="n">
        <v>5</v>
      </c>
      <c r="L724" t="n">
        <v>1</v>
      </c>
      <c r="M724" s="5" t="inlineStr">
        <is>
          <t>As an incident manager, I want to declare a major incident, so that the right people work together at once.</t>
        </is>
      </c>
      <c r="N724" s="5" t="inlineStr">
        <is>
          <t>• Given an incident, when the manager declares it major, then a war-room (bridge) is opened and key people are paged.
• Given stakeholder updates, then reminders go on the set schedule until resolved.
• Given the incident, then all linked tickets show a banner.</t>
        </is>
      </c>
      <c r="O724" s="5" t="inlineStr"/>
      <c r="P724" t="inlineStr">
        <is>
          <t>M14 §1</t>
        </is>
      </c>
      <c r="Q724" t="inlineStr">
        <is>
          <t>US-B-162</t>
        </is>
      </c>
      <c r="R724" s="5" t="inlineStr"/>
    </row>
    <row r="725">
      <c r="A725" t="inlineStr">
        <is>
          <t>US-B-165</t>
        </is>
      </c>
      <c r="B725" t="n">
        <v>581</v>
      </c>
      <c r="C725" t="inlineStr">
        <is>
          <t>Story</t>
        </is>
      </c>
      <c r="D725" s="5" t="inlineStr">
        <is>
          <t xml:space="preserve">        Team writes a post-incident review</t>
        </is>
      </c>
      <c r="E725" t="inlineStr">
        <is>
          <t>Step 3b · YukthiX Service Desk (ITSM + ESM)</t>
        </is>
      </c>
      <c r="F725" t="inlineStr">
        <is>
          <t>Major incident</t>
        </is>
      </c>
      <c r="G725" t="inlineStr">
        <is>
          <t>New</t>
        </is>
      </c>
      <c r="I725">
        <f>IF(H725&lt;&gt;"",H725,G725)</f>
        <v/>
      </c>
      <c r="J725" t="inlineStr">
        <is>
          <t>Step 3b-4</t>
        </is>
      </c>
      <c r="K725" t="n">
        <v>3</v>
      </c>
      <c r="L725" t="n">
        <v>1</v>
      </c>
      <c r="M725" s="5" t="inlineStr">
        <is>
          <t>As an incident manager, I want a review after a major incident, so that we prevent it next time.</t>
        </is>
      </c>
      <c r="N725" s="5" t="inlineStr">
        <is>
          <t>• Given a resolved major incident, then a review task is created with timeline, cause, fix and actions.
• Given actions, then each has an owner and a due date and can become a problem record.
• Given the review, then it can be shared with customers as a post-incident summary.</t>
        </is>
      </c>
      <c r="O725" s="5" t="inlineStr"/>
      <c r="P725" t="inlineStr">
        <is>
          <t>M14 §1</t>
        </is>
      </c>
      <c r="Q725" t="inlineStr">
        <is>
          <t>US-B-164</t>
        </is>
      </c>
      <c r="R725" s="5" t="inlineStr"/>
    </row>
    <row r="726">
      <c r="A726" t="inlineStr">
        <is>
          <t>US-G-143</t>
        </is>
      </c>
      <c r="B726" t="n">
        <v>581.083</v>
      </c>
      <c r="C726" t="inlineStr">
        <is>
          <t>Story</t>
        </is>
      </c>
      <c r="D726" s="5" t="inlineStr">
        <is>
          <t xml:space="preserve">        Agents propose major incidents and use a workbench</t>
        </is>
      </c>
      <c r="E726" t="inlineStr">
        <is>
          <t>Step 3b · YukthiX Service Desk (ITSM + ESM)</t>
        </is>
      </c>
      <c r="F726" t="inlineStr">
        <is>
          <t>Major incident</t>
        </is>
      </c>
      <c r="G726" t="inlineStr">
        <is>
          <t>New</t>
        </is>
      </c>
      <c r="I726">
        <f>IF(H726&lt;&gt;"",H726,G726)</f>
        <v/>
      </c>
      <c r="J726" t="inlineStr">
        <is>
          <t>Step 3b-4</t>
        </is>
      </c>
      <c r="K726" t="n">
        <v>5</v>
      </c>
      <c r="L726" t="n">
        <v>2</v>
      </c>
      <c r="M726" s="5" t="inlineStr">
        <is>
          <t>As an incident manager, I want a proposal step and a workbench, so that major incidents are run in order.</t>
        </is>
      </c>
      <c r="N726" s="5" t="inlineStr">
        <is>
          <t>• Given an agent proposal, then a manager accepts or rejects it.
• Given the workbench, then it has timeline, task board and child incidents.
• Given a communication plan, then audiences, channels and schedule are set.</t>
        </is>
      </c>
      <c r="O726" s="5" t="inlineStr"/>
      <c r="P726" t="inlineStr">
        <is>
          <t>M14 gap check</t>
        </is>
      </c>
      <c r="Q726" t="inlineStr">
        <is>
          <t>US-B-164</t>
        </is>
      </c>
      <c r="R726" s="5" t="inlineStr"/>
    </row>
    <row r="727">
      <c r="A727" t="inlineStr">
        <is>
          <t>US-G-144</t>
        </is>
      </c>
      <c r="B727" t="n">
        <v>581.167</v>
      </c>
      <c r="C727" t="inlineStr">
        <is>
          <t>Story</t>
        </is>
      </c>
      <c r="D727" s="5" t="inlineStr">
        <is>
          <t xml:space="preserve">        Incident templates set responders and checklists</t>
        </is>
      </c>
      <c r="E727" t="inlineStr">
        <is>
          <t>Step 3b · YukthiX Service Desk (ITSM + ESM)</t>
        </is>
      </c>
      <c r="F727" t="inlineStr">
        <is>
          <t>Major incident</t>
        </is>
      </c>
      <c r="G727" t="inlineStr">
        <is>
          <t>New</t>
        </is>
      </c>
      <c r="I727">
        <f>IF(H727&lt;&gt;"",H727,G727)</f>
        <v/>
      </c>
      <c r="J727" t="inlineStr">
        <is>
          <t>Step 3b-4</t>
        </is>
      </c>
      <c r="K727" t="n">
        <v>3</v>
      </c>
      <c r="L727" t="n">
        <v>2</v>
      </c>
      <c r="M727" s="5" t="inlineStr">
        <is>
          <t>As an incident manager, I want templates per incident type, so that we start fast.</t>
        </is>
      </c>
      <c r="N727" s="5" t="inlineStr">
        <is>
          <t>• Given a type, then responders, channel, bridge, stakeholders and checklist are set in advance.
• Given declaration, then the template applies by itself.
• Given changes to a template, then they are versioned.</t>
        </is>
      </c>
      <c r="O727" s="5" t="inlineStr"/>
      <c r="P727" t="inlineStr">
        <is>
          <t>M14 gap check</t>
        </is>
      </c>
      <c r="Q727" t="inlineStr"/>
      <c r="R727" s="5" t="inlineStr"/>
    </row>
    <row r="728">
      <c r="A728" t="inlineStr">
        <is>
          <t>US-G-145</t>
        </is>
      </c>
      <c r="B728" t="n">
        <v>581.25</v>
      </c>
      <c r="C728" t="inlineStr">
        <is>
          <t>Story</t>
        </is>
      </c>
      <c r="D728" s="5" t="inlineStr">
        <is>
          <t xml:space="preserve">        Incident timeline is built automatically</t>
        </is>
      </c>
      <c r="E728" t="inlineStr">
        <is>
          <t>Step 3b · YukthiX Service Desk (ITSM + ESM)</t>
        </is>
      </c>
      <c r="F728" t="inlineStr">
        <is>
          <t>Major incident</t>
        </is>
      </c>
      <c r="G728" t="inlineStr">
        <is>
          <t>New</t>
        </is>
      </c>
      <c r="I728">
        <f>IF(H728&lt;&gt;"",H728,G728)</f>
        <v/>
      </c>
      <c r="J728" t="inlineStr">
        <is>
          <t>Step 3b-4</t>
        </is>
      </c>
      <c r="K728" t="n">
        <v>5</v>
      </c>
      <c r="L728" t="n">
        <v>2</v>
      </c>
      <c r="M728" s="5" t="inlineStr">
        <is>
          <t>As an incident manager, I want an automatic timeline, so that the review is easy to write.</t>
        </is>
      </c>
      <c r="N728" s="5" t="inlineStr">
        <is>
          <t>• Given alerts, status changes, chat, pages and recent changes, then they form a timeline.
• Given the review, then it starts from the timeline.
• Given edits, then the timeline keeps the original entries.</t>
        </is>
      </c>
      <c r="O728" s="5" t="inlineStr"/>
      <c r="P728" t="inlineStr">
        <is>
          <t>M14 gap check</t>
        </is>
      </c>
      <c r="Q728" t="inlineStr">
        <is>
          <t>US-B-165</t>
        </is>
      </c>
      <c r="R728" s="5" t="inlineStr"/>
    </row>
    <row r="729">
      <c r="A729" t="inlineStr">
        <is>
          <t>US-G-146</t>
        </is>
      </c>
      <c r="B729" t="n">
        <v>581.333</v>
      </c>
      <c r="C729" t="inlineStr">
        <is>
          <t>Story</t>
        </is>
      </c>
      <c r="D729" s="5" t="inlineStr">
        <is>
          <t xml:space="preserve">        One click opens a channel and a bridge</t>
        </is>
      </c>
      <c r="E729" t="inlineStr">
        <is>
          <t>Step 3b · YukthiX Service Desk (ITSM + ESM)</t>
        </is>
      </c>
      <c r="F729" t="inlineStr">
        <is>
          <t>Major incident</t>
        </is>
      </c>
      <c r="G729" t="inlineStr">
        <is>
          <t>New</t>
        </is>
      </c>
      <c r="I729">
        <f>IF(H729&lt;&gt;"",H729,G729)</f>
        <v/>
      </c>
      <c r="J729" t="inlineStr">
        <is>
          <t>Step 3b-4</t>
        </is>
      </c>
      <c r="K729" t="n">
        <v>3</v>
      </c>
      <c r="L729" t="n">
        <v>2</v>
      </c>
      <c r="M729" s="5" t="inlineStr">
        <is>
          <t>As an incident manager, I want a channel and bridge in one click, so that responders gather quickly.</t>
        </is>
      </c>
      <c r="N729" s="5" t="inlineStr">
        <is>
          <t>• Given an incident, then a Teams / Slack channel and Zoom, Teams or Meet bridge are created.
• Given responders, then they are invited.
• Given the chat, then it is copied back to the ticket.</t>
        </is>
      </c>
      <c r="O729" s="5" t="inlineStr"/>
      <c r="P729" t="inlineStr">
        <is>
          <t>M14 gap check</t>
        </is>
      </c>
      <c r="Q729" t="inlineStr"/>
      <c r="R729" s="5" t="inlineStr"/>
    </row>
    <row r="730">
      <c r="A730" t="inlineStr">
        <is>
          <t>US-G-147</t>
        </is>
      </c>
      <c r="B730" t="n">
        <v>581.417</v>
      </c>
      <c r="C730" t="inlineStr">
        <is>
          <t>Story</t>
        </is>
      </c>
      <c r="D730" s="5" t="inlineStr">
        <is>
          <t xml:space="preserve">        Responders see 'what changed' and swarm with experts</t>
        </is>
      </c>
      <c r="E730" t="inlineStr">
        <is>
          <t>Step 3b · YukthiX Service Desk (ITSM + ESM)</t>
        </is>
      </c>
      <c r="F730" t="inlineStr">
        <is>
          <t>Major incident</t>
        </is>
      </c>
      <c r="G730" t="inlineStr">
        <is>
          <t>New</t>
        </is>
      </c>
      <c r="I730">
        <f>IF(H730&lt;&gt;"",H730,G730)</f>
        <v/>
      </c>
      <c r="J730" t="inlineStr">
        <is>
          <t>Step 3b-4</t>
        </is>
      </c>
      <c r="K730" t="n">
        <v>5</v>
      </c>
      <c r="L730" t="n">
        <v>2</v>
      </c>
      <c r="M730" s="5" t="inlineStr">
        <is>
          <t>As an incident manager, I want recent changes and experts suggested, so that the cause is found fast.</t>
        </is>
      </c>
      <c r="N730" s="5" t="inlineStr">
        <is>
          <t>• Given affected services and CIs, then recent changes, deployments and commits are listed.
• Given any ticket, then experts are suggested from past similar tickets and skills.
• Given a swarm, then a linked Teams or Slack conversation opens with them.</t>
        </is>
      </c>
      <c r="O730" s="5" t="inlineStr"/>
      <c r="P730" t="inlineStr">
        <is>
          <t>M14 gap check</t>
        </is>
      </c>
      <c r="Q730" t="inlineStr"/>
      <c r="R730" s="5" t="inlineStr"/>
    </row>
    <row r="731">
      <c r="A731" s="9" t="inlineStr">
        <is>
          <t>FT-B-042</t>
        </is>
      </c>
      <c r="B731" s="9" t="n">
        <v>582</v>
      </c>
      <c r="C731" s="9" t="inlineStr">
        <is>
          <t>Feature</t>
        </is>
      </c>
      <c r="D731" s="10" t="inlineStr">
        <is>
          <t xml:space="preserve">    AI assistance</t>
        </is>
      </c>
      <c r="E731" s="9" t="inlineStr">
        <is>
          <t>Step 3b · YukthiX Service Desk (ITSM + ESM)</t>
        </is>
      </c>
      <c r="F731" s="9" t="inlineStr">
        <is>
          <t>AI assistance</t>
        </is>
      </c>
      <c r="G731" s="9" t="inlineStr">
        <is>
          <t>New</t>
        </is>
      </c>
      <c r="H731" s="9" t="n"/>
      <c r="I731" s="9">
        <f>IF(H731&lt;&gt;"",H731,G731)</f>
        <v/>
      </c>
      <c r="J731" s="9" t="inlineStr">
        <is>
          <t>Step 3b-4</t>
        </is>
      </c>
      <c r="K731" s="9" t="n"/>
      <c r="L731" s="9" t="n"/>
      <c r="M731" s="10" t="inlineStr"/>
      <c r="N731" s="10" t="inlineStr"/>
      <c r="O731" s="10" t="inlineStr">
        <is>
          <t>YX-HD-03, YX-HD-04</t>
        </is>
      </c>
      <c r="P731" s="9" t="inlineStr">
        <is>
          <t>M14 §11, P10</t>
        </is>
      </c>
      <c r="Q731" s="9" t="inlineStr"/>
      <c r="R731" s="10" t="inlineStr"/>
      <c r="S731" s="9" t="n"/>
    </row>
    <row r="732">
      <c r="A732" t="inlineStr">
        <is>
          <t>US-B-166</t>
        </is>
      </c>
      <c r="B732" t="n">
        <v>582</v>
      </c>
      <c r="C732" t="inlineStr">
        <is>
          <t>Story</t>
        </is>
      </c>
      <c r="D732" s="5" t="inlineStr">
        <is>
          <t xml:space="preserve">        AI suggests category, routing and duplicates</t>
        </is>
      </c>
      <c r="E732" t="inlineStr">
        <is>
          <t>Step 3b · YukthiX Service Desk (ITSM + ESM)</t>
        </is>
      </c>
      <c r="F732" t="inlineStr">
        <is>
          <t>AI assistance</t>
        </is>
      </c>
      <c r="G732" t="inlineStr">
        <is>
          <t>New</t>
        </is>
      </c>
      <c r="I732">
        <f>IF(H732&lt;&gt;"",H732,G732)</f>
        <v/>
      </c>
      <c r="J732" t="inlineStr">
        <is>
          <t>Step 3b-4</t>
        </is>
      </c>
      <c r="K732" t="n">
        <v>5</v>
      </c>
      <c r="L732" t="n">
        <v>1</v>
      </c>
      <c r="M732" s="5" t="inlineStr">
        <is>
          <t>As a team lead, I want AI to categorise and route new tickets, so that agents start work sooner.</t>
        </is>
      </c>
      <c r="N732" s="5" t="inlineStr">
        <is>
          <t>• Given a new ticket, then AI suggests category, priority and queue with a confidence level.
• Given low confidence, then the ticket goes to manual triage.
• Given a likely duplicate, then the agent is shown the matching ticket.</t>
        </is>
      </c>
      <c r="O732" s="5" t="inlineStr"/>
      <c r="P732" t="inlineStr">
        <is>
          <t>M14 §11, P10</t>
        </is>
      </c>
      <c r="Q732" t="inlineStr">
        <is>
          <t>US-B-087</t>
        </is>
      </c>
      <c r="R732" s="5" t="inlineStr"/>
    </row>
    <row r="733">
      <c r="A733" t="inlineStr">
        <is>
          <t>US-B-167</t>
        </is>
      </c>
      <c r="B733" t="n">
        <v>583</v>
      </c>
      <c r="C733" t="inlineStr">
        <is>
          <t>Story</t>
        </is>
      </c>
      <c r="D733" s="5" t="inlineStr">
        <is>
          <t xml:space="preserve">        AI suggests replies, articles and summaries</t>
        </is>
      </c>
      <c r="E733" t="inlineStr">
        <is>
          <t>Step 3b · YukthiX Service Desk (ITSM + ESM)</t>
        </is>
      </c>
      <c r="F733" t="inlineStr">
        <is>
          <t>AI assistance</t>
        </is>
      </c>
      <c r="G733" t="inlineStr">
        <is>
          <t>New</t>
        </is>
      </c>
      <c r="I733">
        <f>IF(H733&lt;&gt;"",H733,G733)</f>
        <v/>
      </c>
      <c r="J733" t="inlineStr">
        <is>
          <t>Step 3b-4</t>
        </is>
      </c>
      <c r="K733" t="n">
        <v>5</v>
      </c>
      <c r="L733" t="n">
        <v>1</v>
      </c>
      <c r="M733" s="5" t="inlineStr">
        <is>
          <t>As an agent, I want suggested replies, article links and a summary, so that I answer faster.</t>
        </is>
      </c>
      <c r="N733" s="5" t="inlineStr">
        <is>
          <t>• Given a ticket, then AI offers a draft reply and related articles; the agent must review before sending.
• Given a long ticket, then a short summary is shown.
• Given sentiment or urgency signals, then the ticket is flagged.
• Given sensitive categories, then AI uses only data the agent may already see (YX-HD-03).</t>
        </is>
      </c>
      <c r="O733" s="5" t="inlineStr">
        <is>
          <t>YX-HD-03</t>
        </is>
      </c>
      <c r="P733" t="inlineStr">
        <is>
          <t>M14 §11, P10</t>
        </is>
      </c>
      <c r="Q733" t="inlineStr">
        <is>
          <t>US-B-166, US-B-104</t>
        </is>
      </c>
      <c r="R733" s="5" t="inlineStr"/>
    </row>
    <row r="734">
      <c r="A734" t="inlineStr">
        <is>
          <t>US-B-168</t>
        </is>
      </c>
      <c r="B734" t="n">
        <v>584</v>
      </c>
      <c r="C734" t="inlineStr">
        <is>
          <t>Story</t>
        </is>
      </c>
      <c r="D734" s="5" t="inlineStr">
        <is>
          <t xml:space="preserve">        Virtual agent answers from the knowledge base</t>
        </is>
      </c>
      <c r="E734" t="inlineStr">
        <is>
          <t>Step 3b · YukthiX Service Desk (ITSM + ESM)</t>
        </is>
      </c>
      <c r="F734" t="inlineStr">
        <is>
          <t>AI assistance</t>
        </is>
      </c>
      <c r="G734" t="inlineStr">
        <is>
          <t>New</t>
        </is>
      </c>
      <c r="I734">
        <f>IF(H734&lt;&gt;"",H734,G734)</f>
        <v/>
      </c>
      <c r="J734" t="inlineStr">
        <is>
          <t>Step 3b-4</t>
        </is>
      </c>
      <c r="K734" t="n">
        <v>8</v>
      </c>
      <c r="L734" t="n">
        <v>1</v>
      </c>
      <c r="M734" s="5" t="inlineStr">
        <is>
          <t>As an employee, I want a virtual agent that answers from articles and policies, so that I get help at any time.</t>
        </is>
      </c>
      <c r="N734" s="5" t="inlineStr">
        <is>
          <t>• Given a question, then the virtual agent answers from published articles and policies with links.
• Given it cannot answer, then it raises a ticket with the conversation.
• Given an answer that solves it, then it counts as deflected (YX-HD-04).</t>
        </is>
      </c>
      <c r="O734" s="5" t="inlineStr">
        <is>
          <t>YX-HD-04</t>
        </is>
      </c>
      <c r="P734" t="inlineStr">
        <is>
          <t>M14 §11, P10</t>
        </is>
      </c>
      <c r="Q734" t="inlineStr">
        <is>
          <t>US-B-167</t>
        </is>
      </c>
      <c r="R734" s="5" t="inlineStr"/>
    </row>
    <row r="735">
      <c r="A735" t="inlineStr">
        <is>
          <t>US-G-148</t>
        </is>
      </c>
      <c r="B735" t="n">
        <v>584.025</v>
      </c>
      <c r="C735" t="inlineStr">
        <is>
          <t>Story</t>
        </is>
      </c>
      <c r="D735" s="5" t="inlineStr">
        <is>
          <t xml:space="preserve">        AI drafts resolution notes and hand-over summaries</t>
        </is>
      </c>
      <c r="E735" t="inlineStr">
        <is>
          <t>Step 3b · YukthiX Service Desk (ITSM + ESM)</t>
        </is>
      </c>
      <c r="F735" t="inlineStr">
        <is>
          <t>AI assistance</t>
        </is>
      </c>
      <c r="G735" t="inlineStr">
        <is>
          <t>New</t>
        </is>
      </c>
      <c r="I735">
        <f>IF(H735&lt;&gt;"",H735,G735)</f>
        <v/>
      </c>
      <c r="J735" t="inlineStr">
        <is>
          <t>Step 3b-4</t>
        </is>
      </c>
      <c r="K735" t="n">
        <v>5</v>
      </c>
      <c r="L735" t="n">
        <v>1</v>
      </c>
      <c r="M735" s="5" t="inlineStr">
        <is>
          <t>As an agent, I want AI help to solve and write up, so that I save time.</t>
        </is>
      </c>
      <c r="N735" s="5" t="inlineStr">
        <is>
          <t>• Given a ticket, then similar solved tickets, problems and articles are shown with their steps.
• Given resolve, then AI drafts resolution notes for me to edit.
• Given a reassignment, then a short summary is added.
• Given sensitive tickets, then AI uses only data I may see (YX-HD-03).</t>
        </is>
      </c>
      <c r="O735" s="5" t="inlineStr">
        <is>
          <t>YX-HD-03</t>
        </is>
      </c>
      <c r="P735" t="inlineStr">
        <is>
          <t>M14 gap check</t>
        </is>
      </c>
      <c r="Q735" t="inlineStr">
        <is>
          <t>US-B-167</t>
        </is>
      </c>
      <c r="R735" s="5" t="inlineStr"/>
    </row>
    <row r="736">
      <c r="A736" t="inlineStr">
        <is>
          <t>US-G-149</t>
        </is>
      </c>
      <c r="B736" t="n">
        <v>584.05</v>
      </c>
      <c r="C736" t="inlineStr">
        <is>
          <t>Story</t>
        </is>
      </c>
      <c r="D736" s="5" t="inlineStr">
        <is>
          <t xml:space="preserve">        AI helps agents and requesters write</t>
        </is>
      </c>
      <c r="E736" t="inlineStr">
        <is>
          <t>Step 3b · YukthiX Service Desk (ITSM + ESM)</t>
        </is>
      </c>
      <c r="F736" t="inlineStr">
        <is>
          <t>AI assistance</t>
        </is>
      </c>
      <c r="G736" t="inlineStr">
        <is>
          <t>New</t>
        </is>
      </c>
      <c r="I736">
        <f>IF(H736&lt;&gt;"",H736,G736)</f>
        <v/>
      </c>
      <c r="J736" t="inlineStr">
        <is>
          <t>Step 3b-4</t>
        </is>
      </c>
      <c r="K736" t="n">
        <v>3</v>
      </c>
      <c r="L736" t="n">
        <v>2</v>
      </c>
      <c r="M736" s="5" t="inlineStr">
        <is>
          <t>As an agent, I want help with tone and wording, so that messages are clear.</t>
        </is>
      </c>
      <c r="N736" s="5" t="inlineStr">
        <is>
          <t>• Given the reply box, then AI can change tone, shorten, expand and fix grammar; my text is kept until I accept.
• Given a requester typing a short phrase, then AI suggests a clear description and asks for missing details.
• Given AI text, then it is marked as AI-assisted in the audit.</t>
        </is>
      </c>
      <c r="O736" s="5" t="inlineStr"/>
      <c r="P736" t="inlineStr">
        <is>
          <t>M14 gap check</t>
        </is>
      </c>
      <c r="Q736" t="inlineStr"/>
      <c r="R736" s="5" t="inlineStr"/>
    </row>
    <row r="737">
      <c r="A737" t="inlineStr">
        <is>
          <t>US-G-150</t>
        </is>
      </c>
      <c r="B737" t="n">
        <v>584.075</v>
      </c>
      <c r="C737" t="inlineStr">
        <is>
          <t>Story</t>
        </is>
      </c>
      <c r="D737" s="5" t="inlineStr">
        <is>
          <t xml:space="preserve">        Virtual agent completes tasks</t>
        </is>
      </c>
      <c r="E737" t="inlineStr">
        <is>
          <t>Step 3b · YukthiX Service Desk (ITSM + ESM)</t>
        </is>
      </c>
      <c r="F737" t="inlineStr">
        <is>
          <t>AI assistance</t>
        </is>
      </c>
      <c r="G737" t="inlineStr">
        <is>
          <t>New</t>
        </is>
      </c>
      <c r="I737">
        <f>IF(H737&lt;&gt;"",H737,G737)</f>
        <v/>
      </c>
      <c r="J737" t="inlineStr">
        <is>
          <t>Step 3b-4</t>
        </is>
      </c>
      <c r="K737" t="n">
        <v>8</v>
      </c>
      <c r="L737" t="n">
        <v>1</v>
      </c>
      <c r="M737" s="5" t="inlineStr">
        <is>
          <t>As an employee, I want the bot to do simple tasks, so that I get things done any time.</t>
        </is>
      </c>
      <c r="N737" s="5" t="inlineStr">
        <is>
          <t>• Given topics, then the bot checks ticket status, raises catalogue requests with form slots and handles approvals.
• Given a no-code flow builder, then admins build guided decision trees with API steps.
• Given every channel (portal, widget, email, Teams, Slack), then the same topics work.
• Given the setting, then the bot can be the first way into the portal with forms as fallback.
• Given identity actions (password reset), then they wait for the founder decision.</t>
        </is>
      </c>
      <c r="O737" s="5" t="inlineStr"/>
      <c r="P737" t="inlineStr">
        <is>
          <t>M14 gap check</t>
        </is>
      </c>
      <c r="Q737" t="inlineStr">
        <is>
          <t>US-B-168</t>
        </is>
      </c>
      <c r="R737" s="5" t="inlineStr"/>
    </row>
    <row r="738">
      <c r="A738" t="inlineStr">
        <is>
          <t>US-G-151</t>
        </is>
      </c>
      <c r="B738" t="n">
        <v>584.1</v>
      </c>
      <c r="C738" t="inlineStr">
        <is>
          <t>Story</t>
        </is>
      </c>
      <c r="D738" s="5" t="inlineStr">
        <is>
          <t xml:space="preserve">        AI answers new emails at once</t>
        </is>
      </c>
      <c r="E738" t="inlineStr">
        <is>
          <t>Step 3b · YukthiX Service Desk (ITSM + ESM)</t>
        </is>
      </c>
      <c r="F738" t="inlineStr">
        <is>
          <t>AI assistance</t>
        </is>
      </c>
      <c r="G738" t="inlineStr">
        <is>
          <t>New</t>
        </is>
      </c>
      <c r="I738">
        <f>IF(H738&lt;&gt;"",H738,G738)</f>
        <v/>
      </c>
      <c r="J738" t="inlineStr">
        <is>
          <t>Step 3b-4</t>
        </is>
      </c>
      <c r="K738" t="n">
        <v>3</v>
      </c>
      <c r="L738" t="n">
        <v>2</v>
      </c>
      <c r="M738" s="5" t="inlineStr">
        <is>
          <t>As a requester, I want an instant answer to my email, so that simple issues are solved at once.</t>
        </is>
      </c>
      <c r="N738" s="5" t="inlineStr">
        <is>
          <t>• Given a new email, then AI replies from KB and policies.
• Given 'this solved it', then the ticket closes as deflected (YX-HD-04).
• Given 'still need help', then it goes to an agent.</t>
        </is>
      </c>
      <c r="O738" s="5" t="inlineStr">
        <is>
          <t>YX-HD-04</t>
        </is>
      </c>
      <c r="P738" t="inlineStr">
        <is>
          <t>M14 gap check</t>
        </is>
      </c>
      <c r="Q738" t="inlineStr"/>
      <c r="R738" s="5" t="inlineStr"/>
    </row>
    <row r="739">
      <c r="A739" t="inlineStr">
        <is>
          <t>US-G-152</t>
        </is>
      </c>
      <c r="B739" t="n">
        <v>584.125</v>
      </c>
      <c r="C739" t="inlineStr">
        <is>
          <t>Story</t>
        </is>
      </c>
      <c r="D739" s="5" t="inlineStr">
        <is>
          <t xml:space="preserve">        Admin builds AI agents with guardrails</t>
        </is>
      </c>
      <c r="E739" t="inlineStr">
        <is>
          <t>Step 3b · YukthiX Service Desk (ITSM + ESM)</t>
        </is>
      </c>
      <c r="F739" t="inlineStr">
        <is>
          <t>AI assistance</t>
        </is>
      </c>
      <c r="G739" t="inlineStr">
        <is>
          <t>New</t>
        </is>
      </c>
      <c r="I739">
        <f>IF(H739&lt;&gt;"",H739,G739)</f>
        <v/>
      </c>
      <c r="J739" t="inlineStr">
        <is>
          <t>Step 3b-4</t>
        </is>
      </c>
      <c r="K739" t="n">
        <v>13</v>
      </c>
      <c r="L739" t="n">
        <v>2</v>
      </c>
      <c r="M739" s="5" t="inlineStr">
        <is>
          <t>As a desk admin, I want AI agents for repeat work, so that routine steps are done for us.</t>
        </is>
      </c>
      <c r="N739" s="5" t="inlineStr">
        <is>
          <t>• Given the studio, then an AI agent chains steps and approved connector actions.
• Given guardrails, then each agent has allowed data, actions and limits.
• Given a step that changes data, then a human approves it unless set as safe.
• Given every action, then it is logged; no action ever runs on devices (Q4).</t>
        </is>
      </c>
      <c r="O739" s="5" t="inlineStr"/>
      <c r="P739" t="inlineStr">
        <is>
          <t>M14 gap check</t>
        </is>
      </c>
      <c r="Q739" t="inlineStr"/>
      <c r="R739" s="5" t="inlineStr"/>
    </row>
    <row r="740">
      <c r="A740" t="inlineStr">
        <is>
          <t>US-G-153</t>
        </is>
      </c>
      <c r="B740" t="n">
        <v>584.15</v>
      </c>
      <c r="C740" t="inlineStr">
        <is>
          <t>Story</t>
        </is>
      </c>
      <c r="D740" s="5" t="inlineStr">
        <is>
          <t xml:space="preserve">        Admin controls AI in one hub</t>
        </is>
      </c>
      <c r="E740" t="inlineStr">
        <is>
          <t>Step 3b · YukthiX Service Desk (ITSM + ESM)</t>
        </is>
      </c>
      <c r="F740" t="inlineStr">
        <is>
          <t>AI assistance</t>
        </is>
      </c>
      <c r="G740" t="inlineStr">
        <is>
          <t>New</t>
        </is>
      </c>
      <c r="I740">
        <f>IF(H740&lt;&gt;"",H740,G740)</f>
        <v/>
      </c>
      <c r="J740" t="inlineStr">
        <is>
          <t>Step 3b-4</t>
        </is>
      </c>
      <c r="K740" t="n">
        <v>8</v>
      </c>
      <c r="L740" t="n">
        <v>1</v>
      </c>
      <c r="M740" s="5" t="inlineStr">
        <is>
          <t>As a desk admin, I want one place to control AI, so that AI is safe and worth it.</t>
        </is>
      </c>
      <c r="N740" s="5" t="inlineStr">
        <is>
          <t>• Given each AI skill, then it can be switched on or off per desk.
• Given provider settings, then we choose the provider or bring our own key.
• Given usage, then cost, accuracy, accepted and rejected suggestions, deflection and time saved are shown.
• Given bot answers, then admins see sources, rate and correct them and see unanswered questions.</t>
        </is>
      </c>
      <c r="O740" s="5" t="inlineStr"/>
      <c r="P740" t="inlineStr">
        <is>
          <t>M14 gap check</t>
        </is>
      </c>
      <c r="Q740" t="inlineStr">
        <is>
          <t>US-E-287</t>
        </is>
      </c>
      <c r="R740" s="5" t="inlineStr"/>
    </row>
    <row r="741">
      <c r="A741" t="inlineStr">
        <is>
          <t>US-G-154</t>
        </is>
      </c>
      <c r="B741" t="n">
        <v>584.175</v>
      </c>
      <c r="C741" t="inlineStr">
        <is>
          <t>Story</t>
        </is>
      </c>
      <c r="D741" s="5" t="inlineStr">
        <is>
          <t xml:space="preserve">        Lead asks data questions in plain language</t>
        </is>
      </c>
      <c r="E741" t="inlineStr">
        <is>
          <t>Step 3b · YukthiX Service Desk (ITSM + ESM)</t>
        </is>
      </c>
      <c r="F741" t="inlineStr">
        <is>
          <t>AI assistance</t>
        </is>
      </c>
      <c r="G741" t="inlineStr">
        <is>
          <t>New</t>
        </is>
      </c>
      <c r="I741">
        <f>IF(H741&lt;&gt;"",H741,G741)</f>
        <v/>
      </c>
      <c r="J741" t="inlineStr">
        <is>
          <t>Step 3b-4</t>
        </is>
      </c>
      <c r="K741" t="n">
        <v>8</v>
      </c>
      <c r="L741" t="n">
        <v>2</v>
      </c>
      <c r="M741" s="5" t="inlineStr">
        <is>
          <t>As a team lead, I want to ask questions about our data, so that I get insight without building reports.</t>
        </is>
      </c>
      <c r="N741" s="5" t="inlineStr">
        <is>
          <t>• Given a question like 'P1 breaches by team last month', then a chart is shown.
• Given unusual volume or topics, then an anomaly alert goes out.
• Given trends, then likely causes and suggested problems are shown.
• Given my rights, then answers use only data I may see.</t>
        </is>
      </c>
      <c r="O741" s="5" t="inlineStr"/>
      <c r="P741" t="inlineStr">
        <is>
          <t>M14 gap check</t>
        </is>
      </c>
      <c r="Q741" t="inlineStr"/>
      <c r="R741" s="5" t="inlineStr"/>
    </row>
    <row r="742">
      <c r="A742" t="inlineStr">
        <is>
          <t>US-G-155</t>
        </is>
      </c>
      <c r="B742" t="n">
        <v>584.2</v>
      </c>
      <c r="C742" t="inlineStr">
        <is>
          <t>Story</t>
        </is>
      </c>
      <c r="D742" s="5" t="inlineStr">
        <is>
          <t xml:space="preserve">        Desk uses process mining and its own trained models</t>
        </is>
      </c>
      <c r="E742" t="inlineStr">
        <is>
          <t>Step 3b · YukthiX Service Desk (ITSM + ESM)</t>
        </is>
      </c>
      <c r="F742" t="inlineStr">
        <is>
          <t>AI assistance</t>
        </is>
      </c>
      <c r="G742" t="inlineStr">
        <is>
          <t>New</t>
        </is>
      </c>
      <c r="I742">
        <f>IF(H742&lt;&gt;"",H742,G742)</f>
        <v/>
      </c>
      <c r="J742" t="inlineStr">
        <is>
          <t>Step 3b-4</t>
        </is>
      </c>
      <c r="K742" t="n">
        <v>8</v>
      </c>
      <c r="L742" t="n">
        <v>3</v>
      </c>
      <c r="M742" s="5" t="inlineStr">
        <is>
          <t>As a desk admin, I want models trained on our history, so that routing and flow get better.</t>
        </is>
      </c>
      <c r="N742" s="5" t="inlineStr">
        <is>
          <t>• Given event history, then the real ticket flow, loops and bottlenecks are shown.
• Given our history, then classification models can be trained and retrained on a schedule.
• Given a model, then its accuracy is shown before it is used.</t>
        </is>
      </c>
      <c r="O742" s="5" t="inlineStr"/>
      <c r="P742" t="inlineStr">
        <is>
          <t>M14 gap check</t>
        </is>
      </c>
      <c r="Q742" t="inlineStr"/>
      <c r="R742" s="5" t="inlineStr"/>
    </row>
    <row r="743">
      <c r="A743" t="inlineStr">
        <is>
          <t>US-G-156</t>
        </is>
      </c>
      <c r="B743" t="n">
        <v>584.225</v>
      </c>
      <c r="C743" t="inlineStr">
        <is>
          <t>Story</t>
        </is>
      </c>
      <c r="D743" s="5" t="inlineStr">
        <is>
          <t xml:space="preserve">        AI finds topics and sentiment trends</t>
        </is>
      </c>
      <c r="E743" t="inlineStr">
        <is>
          <t>Step 3b · YukthiX Service Desk (ITSM + ESM)</t>
        </is>
      </c>
      <c r="F743" t="inlineStr">
        <is>
          <t>AI assistance</t>
        </is>
      </c>
      <c r="G743" t="inlineStr">
        <is>
          <t>New</t>
        </is>
      </c>
      <c r="I743">
        <f>IF(H743&lt;&gt;"",H743,G743)</f>
        <v/>
      </c>
      <c r="J743" t="inlineStr">
        <is>
          <t>Step 3b-4</t>
        </is>
      </c>
      <c r="K743" t="n">
        <v>3</v>
      </c>
      <c r="L743" t="n">
        <v>3</v>
      </c>
      <c r="M743" s="5" t="inlineStr">
        <is>
          <t>As a team lead, I want topics and mood trends, so that I see what bothers people.</t>
        </is>
      </c>
      <c r="N743" s="5" t="inlineStr">
        <is>
          <t>• Given tickets, then topics are extracted and tagged.
• Given tickets and survey comments, then sentiment trends show by desk, category and location.
• Given a sudden change, then the lead is told.</t>
        </is>
      </c>
      <c r="O743" s="5" t="inlineStr"/>
      <c r="P743" t="inlineStr">
        <is>
          <t>M14 gap check</t>
        </is>
      </c>
      <c r="Q743" t="inlineStr"/>
      <c r="R743" s="5" t="inlineStr"/>
    </row>
    <row r="744">
      <c r="A744" t="inlineStr">
        <is>
          <t>US-G-157</t>
        </is>
      </c>
      <c r="B744" t="n">
        <v>584.25</v>
      </c>
      <c r="C744" t="inlineStr">
        <is>
          <t>Story</t>
        </is>
      </c>
      <c r="D744" s="5" t="inlineStr">
        <is>
          <t xml:space="preserve">        AI suggests the next step from written procedures</t>
        </is>
      </c>
      <c r="E744" t="inlineStr">
        <is>
          <t>Step 3b · YukthiX Service Desk (ITSM + ESM)</t>
        </is>
      </c>
      <c r="F744" t="inlineStr">
        <is>
          <t>AI assistance</t>
        </is>
      </c>
      <c r="G744" t="inlineStr">
        <is>
          <t>New</t>
        </is>
      </c>
      <c r="I744">
        <f>IF(H744&lt;&gt;"",H744,G744)</f>
        <v/>
      </c>
      <c r="J744" t="inlineStr">
        <is>
          <t>Step 3b-4</t>
        </is>
      </c>
      <c r="K744" t="n">
        <v>5</v>
      </c>
      <c r="L744" t="n">
        <v>2</v>
      </c>
      <c r="M744" s="5" t="inlineStr">
        <is>
          <t>As an agent, I want AI to follow our procedure, so that I do not miss steps.</t>
        </is>
      </c>
      <c r="N744" s="5" t="inlineStr">
        <is>
          <t>• Given steps written by admins for a ticket type, then AI proposes the next reply or action.
• Given a proposal, then I approve before it runs.
• Given a run, then it is logged.</t>
        </is>
      </c>
      <c r="O744" s="5" t="inlineStr"/>
      <c r="P744" t="inlineStr">
        <is>
          <t>M14 gap check</t>
        </is>
      </c>
      <c r="Q744" t="inlineStr"/>
      <c r="R744" s="5" t="inlineStr"/>
    </row>
    <row r="745">
      <c r="A745" t="inlineStr">
        <is>
          <t>US-G-158</t>
        </is>
      </c>
      <c r="B745" t="n">
        <v>584.275</v>
      </c>
      <c r="C745" t="inlineStr">
        <is>
          <t>Story</t>
        </is>
      </c>
      <c r="D745" s="5" t="inlineStr">
        <is>
          <t xml:space="preserve">        Admin copilot reviews set-up and drafts rules</t>
        </is>
      </c>
      <c r="E745" t="inlineStr">
        <is>
          <t>Step 3b · YukthiX Service Desk (ITSM + ESM)</t>
        </is>
      </c>
      <c r="F745" t="inlineStr">
        <is>
          <t>AI assistance</t>
        </is>
      </c>
      <c r="G745" t="inlineStr">
        <is>
          <t>New</t>
        </is>
      </c>
      <c r="I745">
        <f>IF(H745&lt;&gt;"",H745,G745)</f>
        <v/>
      </c>
      <c r="J745" t="inlineStr">
        <is>
          <t>Step 3b-4</t>
        </is>
      </c>
      <c r="K745" t="n">
        <v>5</v>
      </c>
      <c r="L745" t="n">
        <v>3</v>
      </c>
      <c r="M745" s="5" t="inlineStr">
        <is>
          <t>As a desk admin, I want AI to check our set-up, so that the desk is set up well.</t>
        </is>
      </c>
      <c r="N745" s="5" t="inlineStr">
        <is>
          <t>• Given rules, views and routing, then AI suggests fixes.
• Given a plain-language request, then AI drafts a rule as a draft only.
• Given a draft, then it runs a dry run before saving.</t>
        </is>
      </c>
      <c r="O745" s="5" t="inlineStr"/>
      <c r="P745" t="inlineStr">
        <is>
          <t>M14 gap check</t>
        </is>
      </c>
      <c r="Q745" t="inlineStr"/>
      <c r="R745" s="5" t="inlineStr"/>
    </row>
    <row r="746">
      <c r="A746" t="inlineStr">
        <is>
          <t>US-G-159</t>
        </is>
      </c>
      <c r="B746" t="n">
        <v>584.3</v>
      </c>
      <c r="C746" t="inlineStr">
        <is>
          <t>Story</t>
        </is>
      </c>
      <c r="D746" s="5" t="inlineStr">
        <is>
          <t xml:space="preserve">        Operations AI groups alerts and drafts updates</t>
        </is>
      </c>
      <c r="E746" t="inlineStr">
        <is>
          <t>Step 3b · YukthiX Service Desk (ITSM + ESM)</t>
        </is>
      </c>
      <c r="F746" t="inlineStr">
        <is>
          <t>AI assistance</t>
        </is>
      </c>
      <c r="G746" t="inlineStr">
        <is>
          <t>New</t>
        </is>
      </c>
      <c r="I746">
        <f>IF(H746&lt;&gt;"",H746,G746)</f>
        <v/>
      </c>
      <c r="J746" t="inlineStr">
        <is>
          <t>Step 3b-4</t>
        </is>
      </c>
      <c r="K746" t="n">
        <v>5</v>
      </c>
      <c r="L746" t="n">
        <v>2</v>
      </c>
      <c r="M746" s="5" t="inlineStr">
        <is>
          <t>As an incident manager, I want AI help in incidents, so that I focus on the fix.</t>
        </is>
      </c>
      <c r="N746" s="5" t="inlineStr">
        <is>
          <t>• Given related alerts, then AI groups them.
• Given an incident, then responders and similar past incidents are suggested.
• Given stakeholder updates and the review, then AI drafts them for approval.</t>
        </is>
      </c>
      <c r="O746" s="5" t="inlineStr"/>
      <c r="P746" t="inlineStr">
        <is>
          <t>M14 gap check</t>
        </is>
      </c>
      <c r="Q746" t="inlineStr"/>
      <c r="R746" s="5" t="inlineStr"/>
    </row>
    <row r="747">
      <c r="A747" t="inlineStr">
        <is>
          <t>US-G-160</t>
        </is>
      </c>
      <c r="B747" t="n">
        <v>584.325</v>
      </c>
      <c r="C747" t="inlineStr">
        <is>
          <t>Story</t>
        </is>
      </c>
      <c r="D747" s="5" t="inlineStr">
        <is>
          <t xml:space="preserve">        Agent searches queues in plain language</t>
        </is>
      </c>
      <c r="E747" t="inlineStr">
        <is>
          <t>Step 3b · YukthiX Service Desk (ITSM + ESM)</t>
        </is>
      </c>
      <c r="F747" t="inlineStr">
        <is>
          <t>AI assistance</t>
        </is>
      </c>
      <c r="G747" t="inlineStr">
        <is>
          <t>New</t>
        </is>
      </c>
      <c r="I747">
        <f>IF(H747&lt;&gt;"",H747,G747)</f>
        <v/>
      </c>
      <c r="J747" t="inlineStr">
        <is>
          <t>Step 3b-4</t>
        </is>
      </c>
      <c r="K747" t="n">
        <v>2</v>
      </c>
      <c r="L747" t="n">
        <v>3</v>
      </c>
      <c r="M747" s="5" t="inlineStr">
        <is>
          <t>As an agent, I want to type 'open VPN tickets from Pune this week', so that I find tickets fast.</t>
        </is>
      </c>
      <c r="N747" s="5" t="inlineStr">
        <is>
          <t>• Given plain words, then they become filters shown to me.
• Given the filters, then I can save them as a view.
• Given my rights, then results respect them.</t>
        </is>
      </c>
      <c r="O747" s="5" t="inlineStr"/>
      <c r="P747" t="inlineStr">
        <is>
          <t>M14 gap check</t>
        </is>
      </c>
      <c r="Q747" t="inlineStr"/>
      <c r="R747" s="5" t="inlineStr"/>
    </row>
    <row r="748">
      <c r="A748" t="inlineStr">
        <is>
          <t>US-G-161</t>
        </is>
      </c>
      <c r="B748" t="n">
        <v>584.35</v>
      </c>
      <c r="C748" t="inlineStr">
        <is>
          <t>Story</t>
        </is>
      </c>
      <c r="D748" s="5" t="inlineStr">
        <is>
          <t xml:space="preserve">        Tickets and chats are translated both ways</t>
        </is>
      </c>
      <c r="E748" t="inlineStr">
        <is>
          <t>Step 3b · YukthiX Service Desk (ITSM + ESM)</t>
        </is>
      </c>
      <c r="F748" t="inlineStr">
        <is>
          <t>AI assistance</t>
        </is>
      </c>
      <c r="G748" t="inlineStr">
        <is>
          <t>New</t>
        </is>
      </c>
      <c r="I748">
        <f>IF(H748&lt;&gt;"",H748,G748)</f>
        <v/>
      </c>
      <c r="J748" t="inlineStr">
        <is>
          <t>Step 3b-4</t>
        </is>
      </c>
      <c r="K748" t="n">
        <v>5</v>
      </c>
      <c r="L748" t="n">
        <v>2</v>
      </c>
      <c r="M748" s="5" t="inlineStr">
        <is>
          <t>As an agent, I want live translation, so that requesters can write in Hindi, Telugu or Tamil.</t>
        </is>
      </c>
      <c r="N748" s="5" t="inlineStr">
        <is>
          <t>• Given a message, then it is translated to the reader's language.
• Given my reply, then it is translated back.
• Given translation, then the original text is kept.</t>
        </is>
      </c>
      <c r="O748" s="5" t="inlineStr"/>
      <c r="P748" t="inlineStr">
        <is>
          <t>M14 gap check</t>
        </is>
      </c>
      <c r="Q748" t="inlineStr"/>
      <c r="R748" s="5" t="inlineStr"/>
    </row>
    <row r="749">
      <c r="A749" t="inlineStr">
        <is>
          <t>US-G-162</t>
        </is>
      </c>
      <c r="B749" t="n">
        <v>584.375</v>
      </c>
      <c r="C749" t="inlineStr">
        <is>
          <t>Story</t>
        </is>
      </c>
      <c r="D749" s="5" t="inlineStr">
        <is>
          <t xml:space="preserve">        Search and AI answer from outside knowledge sources</t>
        </is>
      </c>
      <c r="E749" t="inlineStr">
        <is>
          <t>Step 3b · YukthiX Service Desk (ITSM + ESM)</t>
        </is>
      </c>
      <c r="F749" t="inlineStr">
        <is>
          <t>AI assistance</t>
        </is>
      </c>
      <c r="G749" t="inlineStr">
        <is>
          <t>New</t>
        </is>
      </c>
      <c r="I749">
        <f>IF(H749&lt;&gt;"",H749,G749)</f>
        <v/>
      </c>
      <c r="J749" t="inlineStr">
        <is>
          <t>Step 3b-4</t>
        </is>
      </c>
      <c r="K749" t="n">
        <v>8</v>
      </c>
      <c r="L749" t="n">
        <v>1</v>
      </c>
      <c r="M749" s="5" t="inlineStr">
        <is>
          <t>As an employee, I want answers from SharePoint, Confluence, Drive and Notion, so that I find everything in one place.</t>
        </is>
      </c>
      <c r="N749" s="5" t="inlineStr">
        <is>
          <t>• Given connected sources, then portal, agent and AI search include them without copying content into our KB.
• Given source permissions, then I see only what I may see there.
• Given a source removed, then its index is deleted.</t>
        </is>
      </c>
      <c r="O749" s="5" t="inlineStr"/>
      <c r="P749" t="inlineStr">
        <is>
          <t>M14 gap check</t>
        </is>
      </c>
      <c r="Q749" t="inlineStr"/>
      <c r="R749" s="5" t="inlineStr"/>
    </row>
    <row r="750">
      <c r="A750" t="inlineStr">
        <is>
          <t>US-G-163</t>
        </is>
      </c>
      <c r="B750" t="n">
        <v>584.4</v>
      </c>
      <c r="C750" t="inlineStr">
        <is>
          <t>Story</t>
        </is>
      </c>
      <c r="D750" s="5" t="inlineStr">
        <is>
          <t xml:space="preserve">        AI drafts articles and finds gaps</t>
        </is>
      </c>
      <c r="E750" t="inlineStr">
        <is>
          <t>Step 3b · YukthiX Service Desk (ITSM + ESM)</t>
        </is>
      </c>
      <c r="F750" t="inlineStr">
        <is>
          <t>AI assistance</t>
        </is>
      </c>
      <c r="G750" t="inlineStr">
        <is>
          <t>New</t>
        </is>
      </c>
      <c r="I750">
        <f>IF(H750&lt;&gt;"",H750,G750)</f>
        <v/>
      </c>
      <c r="J750" t="inlineStr">
        <is>
          <t>Step 3b-4</t>
        </is>
      </c>
      <c r="K750" t="n">
        <v>5</v>
      </c>
      <c r="L750" t="n">
        <v>2</v>
      </c>
      <c r="M750" s="5" t="inlineStr">
        <is>
          <t>As a knowledge lead, I want AI article drafts, so that the KB grows from real tickets.</t>
        </is>
      </c>
      <c r="N750" s="5" t="inlineStr">
        <is>
          <t>• Given a cluster of solved tickets, then AI drafts a step-by-step article.
• Given unanswered topics, then AI suggests new or out-of-date articles.
• Given a draft, then it follows the normal review flow and has no personal data.</t>
        </is>
      </c>
      <c r="O750" s="5" t="inlineStr"/>
      <c r="P750" t="inlineStr">
        <is>
          <t>M14 gap check</t>
        </is>
      </c>
      <c r="Q750" t="inlineStr"/>
      <c r="R750" s="5" t="inlineStr"/>
    </row>
    <row r="751">
      <c r="A751" t="inlineStr">
        <is>
          <t>US-G-164</t>
        </is>
      </c>
      <c r="B751" t="n">
        <v>584.425</v>
      </c>
      <c r="C751" t="inlineStr">
        <is>
          <t>Story</t>
        </is>
      </c>
      <c r="D751" s="5" t="inlineStr">
        <is>
          <t xml:space="preserve">        AI builds a catalogue item from a procedure</t>
        </is>
      </c>
      <c r="E751" t="inlineStr">
        <is>
          <t>Step 3b · YukthiX Service Desk (ITSM + ESM)</t>
        </is>
      </c>
      <c r="F751" t="inlineStr">
        <is>
          <t>AI assistance</t>
        </is>
      </c>
      <c r="G751" t="inlineStr">
        <is>
          <t>New</t>
        </is>
      </c>
      <c r="I751">
        <f>IF(H751&lt;&gt;"",H751,G751)</f>
        <v/>
      </c>
      <c r="J751" t="inlineStr">
        <is>
          <t>Step 3b-4</t>
        </is>
      </c>
      <c r="K751" t="n">
        <v>3</v>
      </c>
      <c r="L751" t="n">
        <v>3</v>
      </c>
      <c r="M751" s="5" t="inlineStr">
        <is>
          <t>As a desk admin, I want a catalogue item drafted from our SOP, so that set-up is fast.</t>
        </is>
      </c>
      <c r="N751" s="5" t="inlineStr">
        <is>
          <t>• Given an uploaded PDF or Word SOP or text, then AI drafts the item, form and workflow.
• Given the draft, then I edit or replace steps.
• Given publish, then normal checks apply.</t>
        </is>
      </c>
      <c r="O751" s="5" t="inlineStr"/>
      <c r="P751" t="inlineStr">
        <is>
          <t>M14 gap check</t>
        </is>
      </c>
      <c r="Q751" t="inlineStr"/>
      <c r="R751" s="5" t="inlineStr"/>
    </row>
    <row r="752">
      <c r="A752" t="inlineStr">
        <is>
          <t>US-G-165</t>
        </is>
      </c>
      <c r="B752" t="n">
        <v>584.45</v>
      </c>
      <c r="C752" t="inlineStr">
        <is>
          <t>Story</t>
        </is>
      </c>
      <c r="D752" s="5" t="inlineStr">
        <is>
          <t xml:space="preserve">        AI flags unusual devices</t>
        </is>
      </c>
      <c r="E752" t="inlineStr">
        <is>
          <t>Step 3b · YukthiX Service Desk (ITSM + ESM)</t>
        </is>
      </c>
      <c r="F752" t="inlineStr">
        <is>
          <t>AI assistance</t>
        </is>
      </c>
      <c r="G752" t="inlineStr">
        <is>
          <t>New</t>
        </is>
      </c>
      <c r="I752">
        <f>IF(H752&lt;&gt;"",H752,G752)</f>
        <v/>
      </c>
      <c r="J752" t="inlineStr">
        <is>
          <t>Step 3b-4</t>
        </is>
      </c>
      <c r="K752" t="n">
        <v>3</v>
      </c>
      <c r="L752" t="n">
        <v>3</v>
      </c>
      <c r="M752" s="5" t="inlineStr">
        <is>
          <t>As an IT admin, I want AI to spot idle or failing devices, so that we reuse or fix them.</t>
        </is>
      </c>
      <c r="N752" s="5" t="inlineStr">
        <is>
          <t>• Given read-only device data, then idle, failing or overused devices are flagged.
• Given a flag, then a ticket can be raised.
• Given false flags, then admins can dismiss them.</t>
        </is>
      </c>
      <c r="O752" s="5" t="inlineStr"/>
      <c r="P752" t="inlineStr">
        <is>
          <t>M14 gap check</t>
        </is>
      </c>
      <c r="Q752" t="inlineStr"/>
      <c r="R752" s="5" t="inlineStr"/>
    </row>
    <row r="753">
      <c r="A753" t="inlineStr">
        <is>
          <t>US-G-166</t>
        </is>
      </c>
      <c r="B753" t="n">
        <v>584.475</v>
      </c>
      <c r="C753" t="inlineStr">
        <is>
          <t>Story</t>
        </is>
      </c>
      <c r="D753" s="5" t="inlineStr">
        <is>
          <t xml:space="preserve">        AI predicts change risk</t>
        </is>
      </c>
      <c r="E753" t="inlineStr">
        <is>
          <t>Step 3b · YukthiX Service Desk (ITSM + ESM)</t>
        </is>
      </c>
      <c r="F753" t="inlineStr">
        <is>
          <t>AI assistance</t>
        </is>
      </c>
      <c r="G753" t="inlineStr">
        <is>
          <t>New</t>
        </is>
      </c>
      <c r="I753">
        <f>IF(H753&lt;&gt;"",H753,G753)</f>
        <v/>
      </c>
      <c r="J753" t="inlineStr">
        <is>
          <t>Step 3b-4</t>
        </is>
      </c>
      <c r="K753" t="n">
        <v>5</v>
      </c>
      <c r="L753" t="n">
        <v>2</v>
      </c>
      <c r="M753" s="5" t="inlineStr">
        <is>
          <t>As a change manager, I want a risk prediction from history, so that risky changes get more care.</t>
        </is>
      </c>
      <c r="N753" s="5" t="inlineStr">
        <is>
          <t>• Given past changes on similar CIs and their incidents, then a predicted risk and reasons are shown.
• Given the questionnaire score, then both are shown side by side.
• Given a high prediction, then more approvers can be required.</t>
        </is>
      </c>
      <c r="O753" s="5" t="inlineStr"/>
      <c r="P753" t="inlineStr">
        <is>
          <t>M14 gap check</t>
        </is>
      </c>
      <c r="Q753" t="inlineStr"/>
      <c r="R753" s="5" t="inlineStr"/>
    </row>
    <row r="754">
      <c r="A754" s="9" t="inlineStr">
        <is>
          <t>FT-B-043</t>
        </is>
      </c>
      <c r="B754" s="9" t="n">
        <v>585</v>
      </c>
      <c r="C754" s="9" t="inlineStr">
        <is>
          <t>Feature</t>
        </is>
      </c>
      <c r="D754" s="10" t="inlineStr">
        <is>
          <t xml:space="preserve">    Projects and tasks</t>
        </is>
      </c>
      <c r="E754" s="9" t="inlineStr">
        <is>
          <t>Step 3b · YukthiX Service Desk (ITSM + ESM)</t>
        </is>
      </c>
      <c r="F754" s="9" t="inlineStr">
        <is>
          <t>Projects and tasks</t>
        </is>
      </c>
      <c r="G754" s="9" t="inlineStr">
        <is>
          <t>New</t>
        </is>
      </c>
      <c r="H754" s="9" t="n"/>
      <c r="I754" s="9">
        <f>IF(H754&lt;&gt;"",H754,G754)</f>
        <v/>
      </c>
      <c r="J754" s="9" t="inlineStr">
        <is>
          <t>Step 3b-4</t>
        </is>
      </c>
      <c r="K754" s="9" t="n"/>
      <c r="L754" s="9" t="n"/>
      <c r="M754" s="10" t="inlineStr"/>
      <c r="N754" s="10" t="inlineStr"/>
      <c r="O754" s="10" t="inlineStr"/>
      <c r="P754" s="9" t="inlineStr">
        <is>
          <t>M14 §16</t>
        </is>
      </c>
      <c r="Q754" s="9" t="inlineStr"/>
      <c r="R754" s="10" t="inlineStr"/>
      <c r="S754" s="9" t="n"/>
    </row>
    <row r="755">
      <c r="A755" t="inlineStr">
        <is>
          <t>US-B-169</t>
        </is>
      </c>
      <c r="B755" t="n">
        <v>585</v>
      </c>
      <c r="C755" t="inlineStr">
        <is>
          <t>Story</t>
        </is>
      </c>
      <c r="D755" s="5" t="inlineStr">
        <is>
          <t xml:space="preserve">        IT lead runs simple projects and tasks</t>
        </is>
      </c>
      <c r="E755" t="inlineStr">
        <is>
          <t>Step 3b · YukthiX Service Desk (ITSM + ESM)</t>
        </is>
      </c>
      <c r="F755" t="inlineStr">
        <is>
          <t>Projects and tasks</t>
        </is>
      </c>
      <c r="G755" t="inlineStr">
        <is>
          <t>New</t>
        </is>
      </c>
      <c r="I755">
        <f>IF(H755&lt;&gt;"",H755,G755)</f>
        <v/>
      </c>
      <c r="J755" t="inlineStr">
        <is>
          <t>Step 3b-4</t>
        </is>
      </c>
      <c r="K755" t="n">
        <v>5</v>
      </c>
      <c r="L755" t="n">
        <v>2</v>
      </c>
      <c r="M755" s="5" t="inlineStr">
        <is>
          <t>As an IT lead, I want simple projects and tasks for work that is not a ticket, so that all IT work is in one place.</t>
        </is>
      </c>
      <c r="N755" s="5" t="inlineStr">
        <is>
          <t>• Given a project, then it has tasks with owners, due dates and status.
• Given a company with M12, then projects link to it instead of duplicating.
• Given a ticket that turns into larger work, then it can be linked to a project task.</t>
        </is>
      </c>
      <c r="O755" s="5" t="inlineStr"/>
      <c r="P755" t="inlineStr">
        <is>
          <t>M14 §16</t>
        </is>
      </c>
      <c r="Q755" t="inlineStr">
        <is>
          <t>US-B-112</t>
        </is>
      </c>
      <c r="R755" s="5" t="inlineStr"/>
    </row>
    <row r="756">
      <c r="A756" t="inlineStr">
        <is>
          <t>US-G-167</t>
        </is>
      </c>
      <c r="B756" t="n">
        <v>585.125</v>
      </c>
      <c r="C756" t="inlineStr">
        <is>
          <t>Story</t>
        </is>
      </c>
      <c r="D756" s="5" t="inlineStr">
        <is>
          <t xml:space="preserve">        IT lead manages demand</t>
        </is>
      </c>
      <c r="E756" t="inlineStr">
        <is>
          <t>Step 3b · YukthiX Service Desk (ITSM + ESM)</t>
        </is>
      </c>
      <c r="F756" t="inlineStr">
        <is>
          <t>Projects and tasks</t>
        </is>
      </c>
      <c r="G756" t="inlineStr">
        <is>
          <t>New</t>
        </is>
      </c>
      <c r="I756">
        <f>IF(H756&lt;&gt;"",H756,G756)</f>
        <v/>
      </c>
      <c r="J756" t="inlineStr">
        <is>
          <t>Step 3b-4</t>
        </is>
      </c>
      <c r="K756" t="n">
        <v>3</v>
      </c>
      <c r="L756" t="n">
        <v>3</v>
      </c>
      <c r="M756" s="5" t="inlineStr">
        <is>
          <t>As an IT lead, I want ideas scored and turned into work, so that we work on what matters.</t>
        </is>
      </c>
      <c r="N756" s="5" t="inlineStr">
        <is>
          <t>• Given an idea or business request, then it is scored on value, cost and risk.
• Given approval, then it becomes a project, change or enhancement.
• Given the list, then it is ranked by score.</t>
        </is>
      </c>
      <c r="O756" s="5" t="inlineStr"/>
      <c r="P756" t="inlineStr">
        <is>
          <t>M14 gap check</t>
        </is>
      </c>
      <c r="Q756" t="inlineStr"/>
      <c r="R756" s="5" t="inlineStr"/>
    </row>
    <row r="757">
      <c r="A757" t="inlineStr">
        <is>
          <t>US-G-168</t>
        </is>
      </c>
      <c r="B757" t="n">
        <v>585.25</v>
      </c>
      <c r="C757" t="inlineStr">
        <is>
          <t>Story</t>
        </is>
      </c>
      <c r="D757" s="5" t="inlineStr">
        <is>
          <t xml:space="preserve">        IT lead runs fuller projects</t>
        </is>
      </c>
      <c r="E757" t="inlineStr">
        <is>
          <t>Step 3b · YukthiX Service Desk (ITSM + ESM)</t>
        </is>
      </c>
      <c r="F757" t="inlineStr">
        <is>
          <t>Projects and tasks</t>
        </is>
      </c>
      <c r="G757" t="inlineStr">
        <is>
          <t>New</t>
        </is>
      </c>
      <c r="I757">
        <f>IF(H757&lt;&gt;"",H757,G757)</f>
        <v/>
      </c>
      <c r="J757" t="inlineStr">
        <is>
          <t>Step 3b-4</t>
        </is>
      </c>
      <c r="K757" t="n">
        <v>8</v>
      </c>
      <c r="L757" t="n">
        <v>3</v>
      </c>
      <c r="M757" s="5" t="inlineStr">
        <is>
          <t>As an IT lead, I want Gantt, board and milestones, so that bigger IT work is planned.</t>
        </is>
      </c>
      <c r="N757" s="5" t="inlineStr">
        <is>
          <t>• Given a project, then Gantt, board, milestones and dependencies are available.
• Given people, then resource load and timesheets are shown.
• Given a company with M12, then projects link to M12 instead (as in US-B-169).</t>
        </is>
      </c>
      <c r="O757" s="5" t="inlineStr"/>
      <c r="P757" t="inlineStr">
        <is>
          <t>M14 gap check</t>
        </is>
      </c>
      <c r="Q757" t="inlineStr">
        <is>
          <t>US-B-169</t>
        </is>
      </c>
      <c r="R757" s="5" t="inlineStr"/>
    </row>
    <row r="758">
      <c r="A758" t="inlineStr">
        <is>
          <t>US-G-169</t>
        </is>
      </c>
      <c r="B758" t="n">
        <v>585.375</v>
      </c>
      <c r="C758" t="inlineStr">
        <is>
          <t>Story</t>
        </is>
      </c>
      <c r="D758" s="5" t="inlineStr">
        <is>
          <t xml:space="preserve">        Engineering keeps a catalogue of software components</t>
        </is>
      </c>
      <c r="E758" t="inlineStr">
        <is>
          <t>Step 3b · YukthiX Service Desk (ITSM + ESM)</t>
        </is>
      </c>
      <c r="F758" t="inlineStr">
        <is>
          <t>Projects and tasks</t>
        </is>
      </c>
      <c r="G758" t="inlineStr">
        <is>
          <t>New</t>
        </is>
      </c>
      <c r="I758">
        <f>IF(H758&lt;&gt;"",H758,G758)</f>
        <v/>
      </c>
      <c r="J758" t="inlineStr">
        <is>
          <t>Step 3b-4</t>
        </is>
      </c>
      <c r="K758" t="n">
        <v>5</v>
      </c>
      <c r="L758" t="n">
        <v>3</v>
      </c>
      <c r="M758" s="5" t="inlineStr">
        <is>
          <t>As an engineering lead, I want a catalogue of our services and APIs, so that we know who owns what.</t>
        </is>
      </c>
      <c r="N758" s="5" t="inlineStr">
        <is>
          <t>• Given a component, then it links to its repository and owner.
• Given scorecards, then health and security checks are shown.
• Given deployments, then delivery metrics (DORA) are shown.</t>
        </is>
      </c>
      <c r="O758" s="5" t="inlineStr"/>
      <c r="P758" t="inlineStr">
        <is>
          <t>M14 gap check</t>
        </is>
      </c>
      <c r="Q758" t="inlineStr"/>
      <c r="R758" s="5" t="inlineStr"/>
    </row>
    <row r="759">
      <c r="A759" s="9" t="inlineStr">
        <is>
          <t>FT-B-044</t>
        </is>
      </c>
      <c r="B759" s="9" t="n">
        <v>586</v>
      </c>
      <c r="C759" s="9" t="inlineStr">
        <is>
          <t>Feature</t>
        </is>
      </c>
      <c r="D759" s="10" t="inlineStr">
        <is>
          <t xml:space="preserve">    Facilities booking and visitors</t>
        </is>
      </c>
      <c r="E759" s="9" t="inlineStr">
        <is>
          <t>Step 3b · YukthiX Service Desk (ITSM + ESM)</t>
        </is>
      </c>
      <c r="F759" s="9" t="inlineStr">
        <is>
          <t>Facilities booking and visitors</t>
        </is>
      </c>
      <c r="G759" s="9" t="inlineStr">
        <is>
          <t>New</t>
        </is>
      </c>
      <c r="H759" s="9" t="n"/>
      <c r="I759" s="9">
        <f>IF(H759&lt;&gt;"",H759,G759)</f>
        <v/>
      </c>
      <c r="J759" s="9" t="inlineStr">
        <is>
          <t>Step 3b-4</t>
        </is>
      </c>
      <c r="K759" s="9" t="n"/>
      <c r="L759" s="9" t="n"/>
      <c r="M759" s="10" t="inlineStr"/>
      <c r="N759" s="10" t="inlineStr"/>
      <c r="O759" s="10" t="inlineStr"/>
      <c r="P759" s="9" t="inlineStr">
        <is>
          <t>M14 §17</t>
        </is>
      </c>
      <c r="Q759" s="9" t="inlineStr"/>
      <c r="R759" s="10" t="inlineStr"/>
      <c r="S759" s="9" t="n"/>
    </row>
    <row r="760">
      <c r="A760" t="inlineStr">
        <is>
          <t>US-B-170</t>
        </is>
      </c>
      <c r="B760" t="n">
        <v>586</v>
      </c>
      <c r="C760" t="inlineStr">
        <is>
          <t>Story</t>
        </is>
      </c>
      <c r="D760" s="5" t="inlineStr">
        <is>
          <t xml:space="preserve">        Employee books a room or desk</t>
        </is>
      </c>
      <c r="E760" t="inlineStr">
        <is>
          <t>Step 3b · YukthiX Service Desk (ITSM + ESM)</t>
        </is>
      </c>
      <c r="F760" t="inlineStr">
        <is>
          <t>Facilities booking and visitors</t>
        </is>
      </c>
      <c r="G760" t="inlineStr">
        <is>
          <t>New</t>
        </is>
      </c>
      <c r="I760">
        <f>IF(H760&lt;&gt;"",H760,G760)</f>
        <v/>
      </c>
      <c r="J760" t="inlineStr">
        <is>
          <t>Step 3b-4</t>
        </is>
      </c>
      <c r="K760" t="n">
        <v>5</v>
      </c>
      <c r="L760" t="n">
        <v>2</v>
      </c>
      <c r="M760" s="5" t="inlineStr">
        <is>
          <t>As an employee, I want to book a room or desk, so that I have a place to work or meet.</t>
        </is>
      </c>
      <c r="N760" s="5" t="inlineStr">
        <is>
          <t>• Given rooms and desks per location, then employees can book free slots.
• Given a clash, then the second booking is refused.
• Given a no-show, then the booking is released after the set time.</t>
        </is>
      </c>
      <c r="O760" s="5" t="inlineStr"/>
      <c r="P760" t="inlineStr">
        <is>
          <t>M14 §17</t>
        </is>
      </c>
      <c r="Q760" t="inlineStr">
        <is>
          <t>US-B-128</t>
        </is>
      </c>
      <c r="R760" s="5" t="inlineStr"/>
    </row>
    <row r="761">
      <c r="A761" t="inlineStr">
        <is>
          <t>US-B-171</t>
        </is>
      </c>
      <c r="B761" t="n">
        <v>587</v>
      </c>
      <c r="C761" t="inlineStr">
        <is>
          <t>Story</t>
        </is>
      </c>
      <c r="D761" s="5" t="inlineStr">
        <is>
          <t xml:space="preserve">        Employee requests a visitor pass or maintenance</t>
        </is>
      </c>
      <c r="E761" t="inlineStr">
        <is>
          <t>Step 3b · YukthiX Service Desk (ITSM + ESM)</t>
        </is>
      </c>
      <c r="F761" t="inlineStr">
        <is>
          <t>Facilities booking and visitors</t>
        </is>
      </c>
      <c r="G761" t="inlineStr">
        <is>
          <t>New</t>
        </is>
      </c>
      <c r="I761">
        <f>IF(H761&lt;&gt;"",H761,G761)</f>
        <v/>
      </c>
      <c r="J761" t="inlineStr">
        <is>
          <t>Step 3b-4</t>
        </is>
      </c>
      <c r="K761" t="n">
        <v>3</v>
      </c>
      <c r="L761" t="n">
        <v>2</v>
      </c>
      <c r="M761" s="5" t="inlineStr">
        <is>
          <t>As an employee, I want to request a visitor pass or a repair, so that the facilities team acts.</t>
        </is>
      </c>
      <c r="N761" s="5" t="inlineStr">
        <is>
          <t>• Given a visitor request, then the facilities desk gets it with visitor name and time.
• Given a maintenance request, then it becomes a facilities ticket with location.
• Given a visitor pass, then the host is told when the visitor arrives.</t>
        </is>
      </c>
      <c r="O761" s="5" t="inlineStr"/>
      <c r="P761" t="inlineStr">
        <is>
          <t>M14 §17</t>
        </is>
      </c>
      <c r="Q761" t="inlineStr">
        <is>
          <t>US-B-128</t>
        </is>
      </c>
      <c r="R761" s="5" t="inlineStr"/>
    </row>
    <row r="762">
      <c r="A762" t="inlineStr">
        <is>
          <t>US-G-170</t>
        </is>
      </c>
      <c r="B762" t="n">
        <v>587.071</v>
      </c>
      <c r="C762" t="inlineStr">
        <is>
          <t>Story</t>
        </is>
      </c>
      <c r="D762" s="5" t="inlineStr">
        <is>
          <t xml:space="preserve">        Facilities runs preventive maintenance</t>
        </is>
      </c>
      <c r="E762" t="inlineStr">
        <is>
          <t>Step 3b · YukthiX Service Desk (ITSM + ESM)</t>
        </is>
      </c>
      <c r="F762" t="inlineStr">
        <is>
          <t>Facilities booking and visitors</t>
        </is>
      </c>
      <c r="G762" t="inlineStr">
        <is>
          <t>New</t>
        </is>
      </c>
      <c r="I762">
        <f>IF(H762&lt;&gt;"",H762,G762)</f>
        <v/>
      </c>
      <c r="J762" t="inlineStr">
        <is>
          <t>Step 3b-4</t>
        </is>
      </c>
      <c r="K762" t="n">
        <v>5</v>
      </c>
      <c r="L762" t="n">
        <v>2</v>
      </c>
      <c r="M762" s="5" t="inlineStr">
        <is>
          <t>As a facilities manager, I want planned maintenance work orders, so that equipment does not fail.</t>
        </is>
      </c>
      <c r="N762" s="5" t="inlineStr">
        <is>
          <t>• Given DG sets, ACs, lifts or fire systems, then schedules create work orders per AMC visit.
• Given mobile, then technicians complete checklists and record meter readings.
• Given a missed visit, then it is flagged.</t>
        </is>
      </c>
      <c r="O762" s="5" t="inlineStr"/>
      <c r="P762" t="inlineStr">
        <is>
          <t>M14 gap check</t>
        </is>
      </c>
      <c r="Q762" t="inlineStr"/>
      <c r="R762" s="5" t="inlineStr"/>
    </row>
    <row r="763">
      <c r="A763" t="inlineStr">
        <is>
          <t>US-G-171</t>
        </is>
      </c>
      <c r="B763" t="n">
        <v>587.143</v>
      </c>
      <c r="C763" t="inlineStr">
        <is>
          <t>Story</t>
        </is>
      </c>
      <c r="D763" s="5" t="inlineStr">
        <is>
          <t xml:space="preserve">        Dispatcher books technicians to sites</t>
        </is>
      </c>
      <c r="E763" t="inlineStr">
        <is>
          <t>Step 3b · YukthiX Service Desk (ITSM + ESM)</t>
        </is>
      </c>
      <c r="F763" t="inlineStr">
        <is>
          <t>Facilities booking and visitors</t>
        </is>
      </c>
      <c r="G763" t="inlineStr">
        <is>
          <t>New</t>
        </is>
      </c>
      <c r="I763">
        <f>IF(H763&lt;&gt;"",H763,G763)</f>
        <v/>
      </c>
      <c r="J763" t="inlineStr">
        <is>
          <t>Step 3b-4</t>
        </is>
      </c>
      <c r="K763" t="n">
        <v>5</v>
      </c>
      <c r="L763" t="n">
        <v>2</v>
      </c>
      <c r="M763" s="5" t="inlineStr">
        <is>
          <t>As a dispatcher, I want a dispatch board, so that visits are planned well.</t>
        </is>
      </c>
      <c r="N763" s="5" t="inlineStr">
        <is>
          <t>• Given skill, place and travel time, then technicians are booked into slots.
• Given the board, then availability and load show.
• Given a visit, then parts used and customer sign-off are recorded on mobile.</t>
        </is>
      </c>
      <c r="O763" s="5" t="inlineStr"/>
      <c r="P763" t="inlineStr">
        <is>
          <t>M14 gap check</t>
        </is>
      </c>
      <c r="Q763" t="inlineStr"/>
      <c r="R763" s="5" t="inlineStr"/>
    </row>
    <row r="764">
      <c r="A764" t="inlineStr">
        <is>
          <t>US-G-172</t>
        </is>
      </c>
      <c r="B764" t="n">
        <v>587.2140000000001</v>
      </c>
      <c r="C764" t="inlineStr">
        <is>
          <t>Story</t>
        </is>
      </c>
      <c r="D764" s="5" t="inlineStr">
        <is>
          <t xml:space="preserve">        Facilities manages spaces and floor plans</t>
        </is>
      </c>
      <c r="E764" t="inlineStr">
        <is>
          <t>Step 3b · YukthiX Service Desk (ITSM + ESM)</t>
        </is>
      </c>
      <c r="F764" t="inlineStr">
        <is>
          <t>Facilities booking and visitors</t>
        </is>
      </c>
      <c r="G764" t="inlineStr">
        <is>
          <t>New</t>
        </is>
      </c>
      <c r="I764">
        <f>IF(H764&lt;&gt;"",H764,G764)</f>
        <v/>
      </c>
      <c r="J764" t="inlineStr">
        <is>
          <t>Step 3b-4</t>
        </is>
      </c>
      <c r="K764" t="n">
        <v>8</v>
      </c>
      <c r="L764" t="n">
        <v>2</v>
      </c>
      <c r="M764" s="5" t="inlineStr">
        <is>
          <t>As a facilities manager, I want buildings, floors and spaces, so that we use space well.</t>
        </is>
      </c>
      <c r="N764" s="5" t="inlineStr">
        <is>
          <t>• Given sites, buildings, floors and rooms, then area, capacity and amenities are kept.
• Given floor plans, then desks and rooms show on the map.
• Given move requests, then they create tasks; occupancy reports are shown.</t>
        </is>
      </c>
      <c r="O764" s="5" t="inlineStr"/>
      <c r="P764" t="inlineStr">
        <is>
          <t>M14 gap check</t>
        </is>
      </c>
      <c r="Q764" t="inlineStr"/>
      <c r="R764" s="5" t="inlineStr"/>
    </row>
    <row r="765">
      <c r="A765" t="inlineStr">
        <is>
          <t>US-G-173</t>
        </is>
      </c>
      <c r="B765" t="n">
        <v>587.2859999999999</v>
      </c>
      <c r="C765" t="inlineStr">
        <is>
          <t>Story</t>
        </is>
      </c>
      <c r="D765" s="5" t="inlineStr">
        <is>
          <t xml:space="preserve">        Room bookings order catering and AV</t>
        </is>
      </c>
      <c r="E765" t="inlineStr">
        <is>
          <t>Step 3b · YukthiX Service Desk (ITSM + ESM)</t>
        </is>
      </c>
      <c r="F765" t="inlineStr">
        <is>
          <t>Facilities booking and visitors</t>
        </is>
      </c>
      <c r="G765" t="inlineStr">
        <is>
          <t>New</t>
        </is>
      </c>
      <c r="I765">
        <f>IF(H765&lt;&gt;"",H765,G765)</f>
        <v/>
      </c>
      <c r="J765" t="inlineStr">
        <is>
          <t>Step 3b-4</t>
        </is>
      </c>
      <c r="K765" t="n">
        <v>3</v>
      </c>
      <c r="L765" t="n">
        <v>3</v>
      </c>
      <c r="M765" s="5" t="inlineStr">
        <is>
          <t>As an employee, I want to add services to a booking, so that the room is ready.</t>
        </is>
      </c>
      <c r="N765" s="5" t="inlineStr">
        <is>
          <t>• Given a booking, then catering, AV and set-up can be added.
• Given services, then tasks go to the right teams.
• Given a cancelled booking, then its tasks are cancelled.</t>
        </is>
      </c>
      <c r="O765" s="5" t="inlineStr"/>
      <c r="P765" t="inlineStr">
        <is>
          <t>M14 gap check</t>
        </is>
      </c>
      <c r="Q765" t="inlineStr">
        <is>
          <t>US-B-170</t>
        </is>
      </c>
      <c r="R765" s="5" t="inlineStr"/>
    </row>
    <row r="766">
      <c r="A766" t="inlineStr">
        <is>
          <t>US-G-174</t>
        </is>
      </c>
      <c r="B766" t="n">
        <v>587.357</v>
      </c>
      <c r="C766" t="inlineStr">
        <is>
          <t>Story</t>
        </is>
      </c>
      <c r="D766" s="5" t="inlineStr">
        <is>
          <t xml:space="preserve">        Reception checks visitors in and out</t>
        </is>
      </c>
      <c r="E766" t="inlineStr">
        <is>
          <t>Step 3b · YukthiX Service Desk (ITSM + ESM)</t>
        </is>
      </c>
      <c r="F766" t="inlineStr">
        <is>
          <t>Facilities booking and visitors</t>
        </is>
      </c>
      <c r="G766" t="inlineStr">
        <is>
          <t>New</t>
        </is>
      </c>
      <c r="I766">
        <f>IF(H766&lt;&gt;"",H766,G766)</f>
        <v/>
      </c>
      <c r="J766" t="inlineStr">
        <is>
          <t>Step 3b-4</t>
        </is>
      </c>
      <c r="K766" t="n">
        <v>3</v>
      </c>
      <c r="L766" t="n">
        <v>3</v>
      </c>
      <c r="M766" s="5" t="inlineStr">
        <is>
          <t>As a receptionist, I want a reception view, so that the front desk runs smoothly.</t>
        </is>
      </c>
      <c r="N766" s="5" t="inlineStr">
        <is>
          <t>• Given today, then expected and on-site visitors are listed.
• Given check-in, then a badge prints and the host is told.
• Given check-out, then the time is recorded.</t>
        </is>
      </c>
      <c r="O766" s="5" t="inlineStr"/>
      <c r="P766" t="inlineStr">
        <is>
          <t>M14 gap check</t>
        </is>
      </c>
      <c r="Q766" t="inlineStr">
        <is>
          <t>US-B-171</t>
        </is>
      </c>
      <c r="R766" s="5" t="inlineStr"/>
    </row>
    <row r="767">
      <c r="A767" t="inlineStr">
        <is>
          <t>US-G-175</t>
        </is>
      </c>
      <c r="B767" t="n">
        <v>587.429</v>
      </c>
      <c r="C767" t="inlineStr">
        <is>
          <t>Story</t>
        </is>
      </c>
      <c r="D767" s="5" t="inlineStr">
        <is>
          <t xml:space="preserve">        Admin manages vehicles, keys, parking and lockers</t>
        </is>
      </c>
      <c r="E767" t="inlineStr">
        <is>
          <t>Step 3b · YukthiX Service Desk (ITSM + ESM)</t>
        </is>
      </c>
      <c r="F767" t="inlineStr">
        <is>
          <t>Facilities booking and visitors</t>
        </is>
      </c>
      <c r="G767" t="inlineStr">
        <is>
          <t>New</t>
        </is>
      </c>
      <c r="I767">
        <f>IF(H767&lt;&gt;"",H767,G767)</f>
        <v/>
      </c>
      <c r="J767" t="inlineStr">
        <is>
          <t>Step 3b-4</t>
        </is>
      </c>
      <c r="K767" t="n">
        <v>5</v>
      </c>
      <c r="L767" t="n">
        <v>3</v>
      </c>
      <c r="M767" s="5" t="inlineStr">
        <is>
          <t>As an admin team member, I want vehicles and keys tracked, so that nothing is lost.</t>
        </is>
      </c>
      <c r="N767" s="5" t="inlineStr">
        <is>
          <t>• Given vehicles, then drivers, lease, mileage, service and insurance expiry are kept.
• Given keys, passes, parking and lockers, then issue, return and overdue alerts work.
• Given a lost key, then it is recorded and a replacement task made.</t>
        </is>
      </c>
      <c r="O767" s="5" t="inlineStr"/>
      <c r="P767" t="inlineStr">
        <is>
          <t>M14 gap check</t>
        </is>
      </c>
      <c r="Q767" t="inlineStr"/>
      <c r="R767" s="5" t="inlineStr"/>
    </row>
    <row r="768">
      <c r="A768" s="9" t="inlineStr">
        <is>
          <t>FT-B-045</t>
        </is>
      </c>
      <c r="B768" s="9" t="n">
        <v>588</v>
      </c>
      <c r="C768" s="9" t="inlineStr">
        <is>
          <t>Feature</t>
        </is>
      </c>
      <c r="D768" s="10" t="inlineStr">
        <is>
          <t xml:space="preserve">    Importers, sandbox and integrations</t>
        </is>
      </c>
      <c r="E768" s="9" t="inlineStr">
        <is>
          <t>Step 3b · YukthiX Service Desk (ITSM + ESM)</t>
        </is>
      </c>
      <c r="F768" s="9" t="inlineStr">
        <is>
          <t>Importers, sandbox and integrations</t>
        </is>
      </c>
      <c r="G768" s="9" t="inlineStr">
        <is>
          <t>New</t>
        </is>
      </c>
      <c r="H768" s="9" t="n"/>
      <c r="I768" s="9">
        <f>IF(H768&lt;&gt;"",H768,G768)</f>
        <v/>
      </c>
      <c r="J768" s="9" t="inlineStr">
        <is>
          <t>Step 3b-4</t>
        </is>
      </c>
      <c r="K768" s="9" t="n"/>
      <c r="L768" s="9" t="n"/>
      <c r="M768" s="10" t="inlineStr"/>
      <c r="N768" s="10" t="inlineStr"/>
      <c r="O768" s="10" t="inlineStr"/>
      <c r="P768" s="9" t="inlineStr">
        <is>
          <t>M14 §20, P15, P23</t>
        </is>
      </c>
      <c r="Q768" s="9" t="inlineStr"/>
      <c r="R768" s="10" t="inlineStr"/>
      <c r="S768" s="9" t="n"/>
    </row>
    <row r="769">
      <c r="A769" t="inlineStr">
        <is>
          <t>US-B-172</t>
        </is>
      </c>
      <c r="B769" t="n">
        <v>588</v>
      </c>
      <c r="C769" t="inlineStr">
        <is>
          <t>Story</t>
        </is>
      </c>
      <c r="D769" s="5" t="inlineStr">
        <is>
          <t xml:space="preserve">        Desk admin imports from other help desks</t>
        </is>
      </c>
      <c r="E769" t="inlineStr">
        <is>
          <t>Step 3b · YukthiX Service Desk (ITSM + ESM)</t>
        </is>
      </c>
      <c r="F769" t="inlineStr">
        <is>
          <t>Importers, sandbox and integrations</t>
        </is>
      </c>
      <c r="G769" t="inlineStr">
        <is>
          <t>New</t>
        </is>
      </c>
      <c r="I769">
        <f>IF(H769&lt;&gt;"",H769,G769)</f>
        <v/>
      </c>
      <c r="J769" t="inlineStr">
        <is>
          <t>Step 3b-4</t>
        </is>
      </c>
      <c r="K769" t="n">
        <v>8</v>
      </c>
      <c r="L769" t="n">
        <v>1</v>
      </c>
      <c r="M769" s="5" t="inlineStr">
        <is>
          <t>As a desk admin, I want to import tickets, articles and assets from Zoho Desk, Freshservice, Jira SM or CSV, so that switching is easy.</t>
        </is>
      </c>
      <c r="N769" s="5" t="inlineStr">
        <is>
          <t>• Given a source, then a dry run shows counts and errors before import.
• Given an import, then old ids are kept as references and history is preserved.
• Given a failed import, then it can be rolled back.</t>
        </is>
      </c>
      <c r="O769" s="5" t="inlineStr"/>
      <c r="P769" t="inlineStr">
        <is>
          <t>M14 §20, P15, P23</t>
        </is>
      </c>
      <c r="Q769" t="inlineStr">
        <is>
          <t>US-B-113, US-B-104, US-B-147</t>
        </is>
      </c>
      <c r="R769" s="5" t="inlineStr"/>
    </row>
    <row r="770">
      <c r="A770" t="inlineStr">
        <is>
          <t>US-B-173</t>
        </is>
      </c>
      <c r="B770" t="n">
        <v>589</v>
      </c>
      <c r="C770" t="inlineStr">
        <is>
          <t>Story</t>
        </is>
      </c>
      <c r="D770" s="5" t="inlineStr">
        <is>
          <t xml:space="preserve">        Desk admin tests configuration in a sandbox</t>
        </is>
      </c>
      <c r="E770" t="inlineStr">
        <is>
          <t>Step 3b · YukthiX Service Desk (ITSM + ESM)</t>
        </is>
      </c>
      <c r="F770" t="inlineStr">
        <is>
          <t>Importers, sandbox and integrations</t>
        </is>
      </c>
      <c r="G770" t="inlineStr">
        <is>
          <t>New</t>
        </is>
      </c>
      <c r="I770">
        <f>IF(H770&lt;&gt;"",H770,G770)</f>
        <v/>
      </c>
      <c r="J770" t="inlineStr">
        <is>
          <t>Step 3b-4</t>
        </is>
      </c>
      <c r="K770" t="n">
        <v>3</v>
      </c>
      <c r="L770" t="n">
        <v>3</v>
      </c>
      <c r="M770" s="5" t="inlineStr">
        <is>
          <t>As a desk admin, I want to try rule and form changes in a sandbox, so that live work is not broken.</t>
        </is>
      </c>
      <c r="N770" s="5" t="inlineStr">
        <is>
          <t>• Given a P15 sandbox, then desk settings can be copied and changed there.
• Given tested changes, then they can be promoted to live with an audit entry.
• Given a sandbox, then no email, SMS or WhatsApp reaches real requesters from it.</t>
        </is>
      </c>
      <c r="O770" s="5" t="inlineStr"/>
      <c r="P770" t="inlineStr">
        <is>
          <t>M14 §20, P15, P23</t>
        </is>
      </c>
      <c r="Q770" t="inlineStr">
        <is>
          <t>US-B-130</t>
        </is>
      </c>
      <c r="R770" s="5" t="inlineStr"/>
    </row>
    <row r="771">
      <c r="A771" t="inlineStr">
        <is>
          <t>US-B-174</t>
        </is>
      </c>
      <c r="B771" t="n">
        <v>590</v>
      </c>
      <c r="C771" t="inlineStr">
        <is>
          <t>Story</t>
        </is>
      </c>
      <c r="D771" s="5" t="inlineStr">
        <is>
          <t xml:space="preserve">        Desk admin connects integrations from the marketplace</t>
        </is>
      </c>
      <c r="E771" t="inlineStr">
        <is>
          <t>Step 3b · YukthiX Service Desk (ITSM + ESM)</t>
        </is>
      </c>
      <c r="F771" t="inlineStr">
        <is>
          <t>Importers, sandbox and integrations</t>
        </is>
      </c>
      <c r="G771" t="inlineStr">
        <is>
          <t>New</t>
        </is>
      </c>
      <c r="I771">
        <f>IF(H771&lt;&gt;"",H771,G771)</f>
        <v/>
      </c>
      <c r="J771" t="inlineStr">
        <is>
          <t>Step 3b-4</t>
        </is>
      </c>
      <c r="K771" t="n">
        <v>5</v>
      </c>
      <c r="L771" t="n">
        <v>2</v>
      </c>
      <c r="M771" s="5" t="inlineStr">
        <is>
          <t>As a desk admin, I want ready integrations (Teams, Slack, Google Workspace, Microsoft 365, Intune, Jamf, Jira / GitHub, monitoring), so that we connect tools in minutes.</t>
        </is>
      </c>
      <c r="N771" s="5" t="inlineStr">
        <is>
          <t>• Given the P23 marketplace, then each integration shows what data moves and can be switched on by an admin.
• Given an integration, then its secrets are stored encrypted and its errors show on the Jobs &amp; errors page.
• Given an integration switched off, then it stops at once and its stored secrets are deleted.</t>
        </is>
      </c>
      <c r="O771" s="5" t="inlineStr"/>
      <c r="P771" t="inlineStr">
        <is>
          <t>M14 §20, P15, P23</t>
        </is>
      </c>
      <c r="Q771" t="inlineStr">
        <is>
          <t>US-B-136</t>
        </is>
      </c>
      <c r="R771" s="5" t="inlineStr"/>
    </row>
    <row r="772">
      <c r="A772" t="inlineStr">
        <is>
          <t>US-G-176</t>
        </is>
      </c>
      <c r="B772" t="n">
        <v>590.056</v>
      </c>
      <c r="C772" t="inlineStr">
        <is>
          <t>Story</t>
        </is>
      </c>
      <c r="D772" s="5" t="inlineStr">
        <is>
          <t xml:space="preserve">        Admin adds sandboxed scripts and action buttons</t>
        </is>
      </c>
      <c r="E772" t="inlineStr">
        <is>
          <t>Step 3b · YukthiX Service Desk (ITSM + ESM)</t>
        </is>
      </c>
      <c r="F772" t="inlineStr">
        <is>
          <t>Importers, sandbox and integrations</t>
        </is>
      </c>
      <c r="G772" t="inlineStr">
        <is>
          <t>New</t>
        </is>
      </c>
      <c r="I772">
        <f>IF(H772&lt;&gt;"",H772,G772)</f>
        <v/>
      </c>
      <c r="J772" t="inlineStr">
        <is>
          <t>Step 3b-4</t>
        </is>
      </c>
      <c r="K772" t="n">
        <v>5</v>
      </c>
      <c r="L772" t="n">
        <v>3</v>
      </c>
      <c r="M772" s="5" t="inlineStr">
        <is>
          <t>As a desk admin, I want small scripts in rules, so that special cases are handled.</t>
        </is>
      </c>
      <c r="N772" s="5" t="inlineStr">
        <is>
          <t>• Given a script, then it runs on our servers in a sandbox with time and memory limits.
• Given an action button, then it calls an approved outside API.
• Given errors, then they show on Jobs &amp; errors; scripts can never reach devices (Q4).</t>
        </is>
      </c>
      <c r="O772" s="5" t="inlineStr"/>
      <c r="P772" t="inlineStr">
        <is>
          <t>M14 gap check</t>
        </is>
      </c>
      <c r="Q772" t="inlineStr"/>
      <c r="R772" s="5" t="inlineStr"/>
    </row>
    <row r="773">
      <c r="A773" t="inlineStr">
        <is>
          <t>US-G-177</t>
        </is>
      </c>
      <c r="B773" t="n">
        <v>590.112</v>
      </c>
      <c r="C773" t="inlineStr">
        <is>
          <t>Story</t>
        </is>
      </c>
      <c r="D773" s="5" t="inlineStr">
        <is>
          <t xml:space="preserve">        Desk works with Zapier, Make and Power Automate</t>
        </is>
      </c>
      <c r="E773" t="inlineStr">
        <is>
          <t>Step 3b · YukthiX Service Desk (ITSM + ESM)</t>
        </is>
      </c>
      <c r="F773" t="inlineStr">
        <is>
          <t>Importers, sandbox and integrations</t>
        </is>
      </c>
      <c r="G773" t="inlineStr">
        <is>
          <t>New</t>
        </is>
      </c>
      <c r="I773">
        <f>IF(H773&lt;&gt;"",H773,G773)</f>
        <v/>
      </c>
      <c r="J773" t="inlineStr">
        <is>
          <t>Step 3b-4</t>
        </is>
      </c>
      <c r="K773" t="n">
        <v>3</v>
      </c>
      <c r="L773" t="n">
        <v>2</v>
      </c>
      <c r="M773" s="5" t="inlineStr">
        <is>
          <t>As a desk admin, I want desk triggers and actions in iPaaS tools, so that we connect any app.</t>
        </is>
      </c>
      <c r="N773" s="5" t="inlineStr">
        <is>
          <t>• Given Zapier, Make, Power Automate or Workato, then desk triggers and actions are available.
• Given scopes, then they follow API key scopes (P11).
• Given failures, then they show on Jobs &amp; errors.</t>
        </is>
      </c>
      <c r="O773" s="5" t="inlineStr"/>
      <c r="P773" t="inlineStr">
        <is>
          <t>M14 gap check</t>
        </is>
      </c>
      <c r="Q773" t="inlineStr"/>
      <c r="R773" s="5" t="inlineStr"/>
    </row>
    <row r="774">
      <c r="A774" t="inlineStr">
        <is>
          <t>US-G-178</t>
        </is>
      </c>
      <c r="B774" t="n">
        <v>590.169</v>
      </c>
      <c r="C774" t="inlineStr">
        <is>
          <t>Story</t>
        </is>
      </c>
      <c r="D774" s="5" t="inlineStr">
        <is>
          <t xml:space="preserve">        Company AI assistants use the desk through MCP</t>
        </is>
      </c>
      <c r="E774" t="inlineStr">
        <is>
          <t>Step 3b · YukthiX Service Desk (ITSM + ESM)</t>
        </is>
      </c>
      <c r="F774" t="inlineStr">
        <is>
          <t>Importers, sandbox and integrations</t>
        </is>
      </c>
      <c r="G774" t="inlineStr">
        <is>
          <t>New</t>
        </is>
      </c>
      <c r="I774">
        <f>IF(H774&lt;&gt;"",H774,G774)</f>
        <v/>
      </c>
      <c r="J774" t="inlineStr">
        <is>
          <t>Step 3b-4</t>
        </is>
      </c>
      <c r="K774" t="n">
        <v>5</v>
      </c>
      <c r="L774" t="n">
        <v>2</v>
      </c>
      <c r="M774" s="5" t="inlineStr">
        <is>
          <t>As a company admin, I want our AI assistants to use desk data, so that staff work from Copilot or ChatGPT.</t>
        </is>
      </c>
      <c r="N774" s="5" t="inlineStr">
        <is>
          <t>• Given the MCP server, then assistants read and act on tickets, KB and assets under the user's rights.
• Given Copilot and ChatGPT connectors, then desk actions show there.
• Given every call, then it is audited.</t>
        </is>
      </c>
      <c r="O774" s="5" t="inlineStr"/>
      <c r="P774" t="inlineStr">
        <is>
          <t>M14 gap check</t>
        </is>
      </c>
      <c r="Q774" t="inlineStr"/>
      <c r="R774" s="5" t="inlineStr"/>
    </row>
    <row r="775">
      <c r="A775" t="inlineStr">
        <is>
          <t>US-G-179</t>
        </is>
      </c>
      <c r="B775" t="n">
        <v>590.225</v>
      </c>
      <c r="C775" t="inlineStr">
        <is>
          <t>Story</t>
        </is>
      </c>
      <c r="D775" s="5" t="inlineStr">
        <is>
          <t xml:space="preserve">        Partners build marketplace apps with an SDK</t>
        </is>
      </c>
      <c r="E775" t="inlineStr">
        <is>
          <t>Step 3b · YukthiX Service Desk (ITSM + ESM)</t>
        </is>
      </c>
      <c r="F775" t="inlineStr">
        <is>
          <t>Importers, sandbox and integrations</t>
        </is>
      </c>
      <c r="G775" t="inlineStr">
        <is>
          <t>New</t>
        </is>
      </c>
      <c r="I775">
        <f>IF(H775&lt;&gt;"",H775,G775)</f>
        <v/>
      </c>
      <c r="J775" t="inlineStr">
        <is>
          <t>Step 3b-4</t>
        </is>
      </c>
      <c r="K775" t="n">
        <v>8</v>
      </c>
      <c r="L775" t="n">
        <v>2</v>
      </c>
      <c r="M775" s="5" t="inlineStr">
        <is>
          <t>As a partner developer, I want an SDK, so that I can extend the desk.</t>
        </is>
      </c>
      <c r="N775" s="5" t="inlineStr">
        <is>
          <t>• Given the SDK, then apps show widgets in the agent UI or portal, react to events and store settings.
• Given app review, then only reviewed apps are listed.
• Given install, then the admin sees the data the app uses.</t>
        </is>
      </c>
      <c r="O775" s="5" t="inlineStr"/>
      <c r="P775" t="inlineStr">
        <is>
          <t>M14 gap check</t>
        </is>
      </c>
      <c r="Q775" t="inlineStr"/>
      <c r="R775" s="5" t="inlineStr"/>
    </row>
    <row r="776">
      <c r="A776" t="inlineStr">
        <is>
          <t>US-G-180</t>
        </is>
      </c>
      <c r="B776" t="n">
        <v>590.2809999999999</v>
      </c>
      <c r="C776" t="inlineStr">
        <is>
          <t>Story</t>
        </is>
      </c>
      <c r="D776" s="5" t="inlineStr">
        <is>
          <t xml:space="preserve">        Admin moves configuration packages between companies</t>
        </is>
      </c>
      <c r="E776" t="inlineStr">
        <is>
          <t>Step 3b · YukthiX Service Desk (ITSM + ESM)</t>
        </is>
      </c>
      <c r="F776" t="inlineStr">
        <is>
          <t>Importers, sandbox and integrations</t>
        </is>
      </c>
      <c r="G776" t="inlineStr">
        <is>
          <t>New</t>
        </is>
      </c>
      <c r="I776">
        <f>IF(H776&lt;&gt;"",H776,G776)</f>
        <v/>
      </c>
      <c r="J776" t="inlineStr">
        <is>
          <t>Step 3b-4</t>
        </is>
      </c>
      <c r="K776" t="n">
        <v>3</v>
      </c>
      <c r="L776" t="n">
        <v>3</v>
      </c>
      <c r="M776" s="5" t="inlineStr">
        <is>
          <t>As a desk admin, I want to export and import set-up, so that set-up is reused safely.</t>
        </is>
      </c>
      <c r="N776" s="5" t="inlineStr">
        <is>
          <t>• Given categories, SLAs, forms and rules, then they export as a package.
• Given import, then a diff is shown first.
• Given import, then it is audited.</t>
        </is>
      </c>
      <c r="O776" s="5" t="inlineStr"/>
      <c r="P776" t="inlineStr">
        <is>
          <t>M14 gap check</t>
        </is>
      </c>
      <c r="Q776" t="inlineStr"/>
      <c r="R776" s="5" t="inlineStr"/>
    </row>
    <row r="777">
      <c r="A777" t="inlineStr">
        <is>
          <t>US-G-181</t>
        </is>
      </c>
      <c r="B777" t="n">
        <v>590.337</v>
      </c>
      <c r="C777" t="inlineStr">
        <is>
          <t>Story</t>
        </is>
      </c>
      <c r="D777" s="5" t="inlineStr">
        <is>
          <t xml:space="preserve">        Agent works from Outlook and launches remote-support tools</t>
        </is>
      </c>
      <c r="E777" t="inlineStr">
        <is>
          <t>Step 3b · YukthiX Service Desk (ITSM + ESM)</t>
        </is>
      </c>
      <c r="F777" t="inlineStr">
        <is>
          <t>Importers, sandbox and integrations</t>
        </is>
      </c>
      <c r="G777" t="inlineStr">
        <is>
          <t>New</t>
        </is>
      </c>
      <c r="I777">
        <f>IF(H777&lt;&gt;"",H777,G777)</f>
        <v/>
      </c>
      <c r="J777" t="inlineStr">
        <is>
          <t>Step 3b-4</t>
        </is>
      </c>
      <c r="K777" t="n">
        <v>3</v>
      </c>
      <c r="L777" t="n">
        <v>2</v>
      </c>
      <c r="M777" s="5" t="inlineStr">
        <is>
          <t>As an agent, I want Outlook add-in and remote-support links, so that I stay in my tools.</t>
        </is>
      </c>
      <c r="N777" s="5" t="inlineStr">
        <is>
          <t>• Given the Outlook add-in, then I create or update tickets from a mail.
• Given the company's own TeamViewer, AnyDesk or similar, then I start a session from the ticket and link and duration are logged.
• Given the requester, then they can start one from the portal; YukthiX never controls the device (Q4).</t>
        </is>
      </c>
      <c r="O777" s="5" t="inlineStr"/>
      <c r="P777" t="inlineStr">
        <is>
          <t>M14 gap check</t>
        </is>
      </c>
      <c r="Q777" t="inlineStr"/>
      <c r="R777" s="5" t="inlineStr"/>
    </row>
    <row r="778">
      <c r="A778" t="inlineStr">
        <is>
          <t>US-G-182</t>
        </is>
      </c>
      <c r="B778" t="n">
        <v>590.394</v>
      </c>
      <c r="C778" t="inlineStr">
        <is>
          <t>Story</t>
        </is>
      </c>
      <c r="D778" s="5" t="inlineStr">
        <is>
          <t xml:space="preserve">        Employee raises a ticket with a helper app</t>
        </is>
      </c>
      <c r="E778" t="inlineStr">
        <is>
          <t>Step 3b · YukthiX Service Desk (ITSM + ESM)</t>
        </is>
      </c>
      <c r="F778" t="inlineStr">
        <is>
          <t>Importers, sandbox and integrations</t>
        </is>
      </c>
      <c r="G778" t="inlineStr">
        <is>
          <t>New</t>
        </is>
      </c>
      <c r="I778">
        <f>IF(H778&lt;&gt;"",H778,G778)</f>
        <v/>
      </c>
      <c r="J778" t="inlineStr">
        <is>
          <t>Step 3b-4</t>
        </is>
      </c>
      <c r="K778" t="n">
        <v>3</v>
      </c>
      <c r="L778" t="n">
        <v>3</v>
      </c>
      <c r="M778" s="5" t="inlineStr">
        <is>
          <t>As an employee, I want a small helper app, so that IT gets a screenshot and details.</t>
        </is>
      </c>
      <c r="N778" s="5" t="inlineStr">
        <is>
          <t>• Given the helper, then a ticket is raised with a screenshot and basic system details.
• Given what is sent, then the employee sees it before sending.
• Given the helper, then it only sends what the employee submits; it takes no commands (Q4).</t>
        </is>
      </c>
      <c r="O778" s="5" t="inlineStr"/>
      <c r="P778" t="inlineStr">
        <is>
          <t>M14 gap check</t>
        </is>
      </c>
      <c r="Q778" t="inlineStr"/>
      <c r="R778" s="5" t="inlineStr"/>
    </row>
    <row r="779">
      <c r="A779" s="9" t="inlineStr">
        <is>
          <t>FT-G-012</t>
        </is>
      </c>
      <c r="B779" s="9" t="n">
        <v>590.556</v>
      </c>
      <c r="C779" s="9" t="inlineStr">
        <is>
          <t>Feature</t>
        </is>
      </c>
      <c r="D779" s="10" t="inlineStr">
        <is>
          <t xml:space="preserve">    Telephony, social channels and walk-up</t>
        </is>
      </c>
      <c r="E779" s="9" t="inlineStr">
        <is>
          <t>Step 3b · YukthiX Service Desk (ITSM + ESM)</t>
        </is>
      </c>
      <c r="F779" s="9" t="inlineStr">
        <is>
          <t>Telephony, social channels and walk-up</t>
        </is>
      </c>
      <c r="G779" s="9" t="inlineStr">
        <is>
          <t>New</t>
        </is>
      </c>
      <c r="H779" s="9" t="n"/>
      <c r="I779" s="9">
        <f>IF(H779&lt;&gt;"",H779,G779)</f>
        <v/>
      </c>
      <c r="J779" s="9" t="inlineStr">
        <is>
          <t>Step 3b-4</t>
        </is>
      </c>
      <c r="K779" s="9" t="n"/>
      <c r="L779" s="9" t="n"/>
      <c r="M779" s="10" t="inlineStr"/>
      <c r="N779" s="10" t="inlineStr"/>
      <c r="O779" s="10" t="inlineStr"/>
      <c r="P779" s="9" t="inlineStr">
        <is>
          <t>M14 gap check</t>
        </is>
      </c>
      <c r="Q779" s="9" t="inlineStr"/>
      <c r="R779" s="10" t="inlineStr"/>
      <c r="S779" s="9" t="n"/>
    </row>
    <row r="780">
      <c r="A780" t="inlineStr">
        <is>
          <t>US-G-183</t>
        </is>
      </c>
      <c r="B780" t="n">
        <v>590.557</v>
      </c>
      <c r="C780" t="inlineStr">
        <is>
          <t>Story</t>
        </is>
      </c>
      <c r="D780" s="5" t="inlineStr">
        <is>
          <t xml:space="preserve">        Agents take calls with telephony</t>
        </is>
      </c>
      <c r="E780" t="inlineStr">
        <is>
          <t>Step 3b · YukthiX Service Desk (ITSM + ESM)</t>
        </is>
      </c>
      <c r="F780" t="inlineStr">
        <is>
          <t>Telephony, social channels and walk-up</t>
        </is>
      </c>
      <c r="G780" t="inlineStr">
        <is>
          <t>New</t>
        </is>
      </c>
      <c r="I780">
        <f>IF(H780&lt;&gt;"",H780,G780)</f>
        <v/>
      </c>
      <c r="J780" t="inlineStr">
        <is>
          <t>Step 3b-4</t>
        </is>
      </c>
      <c r="K780" t="n">
        <v>8</v>
      </c>
      <c r="L780" t="n">
        <v>2</v>
      </c>
      <c r="M780" s="5" t="inlineStr">
        <is>
          <t>As an agent, I want calls linked to tickets, so that phone support is tracked.</t>
        </is>
      </c>
      <c r="N780" s="5" t="inlineStr">
        <is>
          <t>• Given Exotel, Knowlarity or another provider, then an incoming call pops the caller and their open tickets.
• Given IVR, then callers check ticket status or leave voicemail that becomes a ticket.
• Given recordings, then they link to the ticket; click-to-call works from the ticket.</t>
        </is>
      </c>
      <c r="O780" s="5" t="inlineStr"/>
      <c r="P780" t="inlineStr">
        <is>
          <t>M14 gap check</t>
        </is>
      </c>
      <c r="Q780" t="inlineStr">
        <is>
          <t>US-B-135</t>
        </is>
      </c>
      <c r="R780" s="5" t="inlineStr"/>
    </row>
    <row r="781">
      <c r="A781" t="inlineStr">
        <is>
          <t>US-G-184</t>
        </is>
      </c>
      <c r="B781" t="n">
        <v>590.558</v>
      </c>
      <c r="C781" t="inlineStr">
        <is>
          <t>Story</t>
        </is>
      </c>
      <c r="D781" s="5" t="inlineStr">
        <is>
          <t xml:space="preserve">        Social messages become tickets</t>
        </is>
      </c>
      <c r="E781" t="inlineStr">
        <is>
          <t>Step 3b · YukthiX Service Desk (ITSM + ESM)</t>
        </is>
      </c>
      <c r="F781" t="inlineStr">
        <is>
          <t>Telephony, social channels and walk-up</t>
        </is>
      </c>
      <c r="G781" t="inlineStr">
        <is>
          <t>New</t>
        </is>
      </c>
      <c r="I781">
        <f>IF(H781&lt;&gt;"",H781,G781)</f>
        <v/>
      </c>
      <c r="J781" t="inlineStr">
        <is>
          <t>Step 3b-4</t>
        </is>
      </c>
      <c r="K781" t="n">
        <v>5</v>
      </c>
      <c r="L781" t="n">
        <v>3</v>
      </c>
      <c r="M781" s="5" t="inlineStr">
        <is>
          <t>As an agent, I want social messages as tickets, so that we answer everywhere.</t>
        </is>
      </c>
      <c r="N781" s="5" t="inlineStr">
        <is>
          <t>• Given Facebook, Instagram, X or Telegram, then messages become tickets.
• Given a reply, then it goes back on the same channel.
• Given public comments, then private data is not posted back.</t>
        </is>
      </c>
      <c r="O781" s="5" t="inlineStr"/>
      <c r="P781" t="inlineStr">
        <is>
          <t>M14 gap check</t>
        </is>
      </c>
      <c r="Q781" t="inlineStr"/>
      <c r="R781" s="5" t="inlineStr"/>
    </row>
    <row r="782">
      <c r="A782" t="inlineStr">
        <is>
          <t>US-G-185</t>
        </is>
      </c>
      <c r="B782" t="n">
        <v>590.559</v>
      </c>
      <c r="C782" t="inlineStr">
        <is>
          <t>Story</t>
        </is>
      </c>
      <c r="D782" s="5" t="inlineStr">
        <is>
          <t xml:space="preserve">        Employees use a walk-up desk and book appointments</t>
        </is>
      </c>
      <c r="E782" t="inlineStr">
        <is>
          <t>Step 3b · YukthiX Service Desk (ITSM + ESM)</t>
        </is>
      </c>
      <c r="F782" t="inlineStr">
        <is>
          <t>Telephony, social channels and walk-up</t>
        </is>
      </c>
      <c r="G782" t="inlineStr">
        <is>
          <t>New</t>
        </is>
      </c>
      <c r="I782">
        <f>IF(H782&lt;&gt;"",H782,G782)</f>
        <v/>
      </c>
      <c r="J782" t="inlineStr">
        <is>
          <t>Step 3b-4</t>
        </is>
      </c>
      <c r="K782" t="n">
        <v>5</v>
      </c>
      <c r="L782" t="n">
        <v>2</v>
      </c>
      <c r="M782" s="5" t="inlineStr">
        <is>
          <t>As an employee, I want to walk up or book a slot, so that I get face-to-face help.</t>
        </is>
      </c>
      <c r="N782" s="5" t="inlineStr">
        <is>
          <t>• Given QR or kiosk check-in, then I join the walk-up queue.
• Given a booking, then the slot syncs with Exchange or Google calendars with reminders.
• Given a visit, then it becomes an interaction, incident or request; wait times per location are shown.</t>
        </is>
      </c>
      <c r="O782" s="5" t="inlineStr"/>
      <c r="P782" t="inlineStr">
        <is>
          <t>M14 gap check</t>
        </is>
      </c>
      <c r="Q782" t="inlineStr"/>
      <c r="R782" s="5" t="inlineStr"/>
    </row>
    <row r="783">
      <c r="A783" s="9" t="inlineStr">
        <is>
          <t>FT-G-013</t>
        </is>
      </c>
      <c r="B783" s="9" t="n">
        <v>590.612</v>
      </c>
      <c r="C783" s="9" t="inlineStr">
        <is>
          <t>Feature</t>
        </is>
      </c>
      <c r="D783" s="10" t="inlineStr">
        <is>
          <t xml:space="preserve">    MSP mode and desk-to-desk exchange</t>
        </is>
      </c>
      <c r="E783" s="9" t="inlineStr">
        <is>
          <t>Step 3b · YukthiX Service Desk (ITSM + ESM)</t>
        </is>
      </c>
      <c r="F783" s="9" t="inlineStr">
        <is>
          <t>MSP mode and desk-to-desk exchange</t>
        </is>
      </c>
      <c r="G783" s="9" t="inlineStr">
        <is>
          <t>New</t>
        </is>
      </c>
      <c r="H783" s="9" t="n"/>
      <c r="I783" s="9">
        <f>IF(H783&lt;&gt;"",H783,G783)</f>
        <v/>
      </c>
      <c r="J783" s="9" t="inlineStr">
        <is>
          <t>Step 3b-4</t>
        </is>
      </c>
      <c r="K783" s="9" t="n"/>
      <c r="L783" s="9" t="n"/>
      <c r="M783" s="10" t="inlineStr"/>
      <c r="N783" s="10" t="inlineStr"/>
      <c r="O783" s="10" t="inlineStr"/>
      <c r="P783" s="9" t="inlineStr">
        <is>
          <t>M14 gap check</t>
        </is>
      </c>
      <c r="Q783" s="9" t="inlineStr"/>
      <c r="R783" s="10" t="inlineStr"/>
      <c r="S783" s="9" t="n"/>
    </row>
    <row r="784">
      <c r="A784" t="inlineStr">
        <is>
          <t>US-G-186</t>
        </is>
      </c>
      <c r="B784" t="n">
        <v>590.6130000000001</v>
      </c>
      <c r="C784" t="inlineStr">
        <is>
          <t>Story</t>
        </is>
      </c>
      <c r="D784" s="5" t="inlineStr">
        <is>
          <t xml:space="preserve">        Provider serves many client companies</t>
        </is>
      </c>
      <c r="E784" t="inlineStr">
        <is>
          <t>Step 3b · YukthiX Service Desk (ITSM + ESM)</t>
        </is>
      </c>
      <c r="F784" t="inlineStr">
        <is>
          <t>MSP mode and desk-to-desk exchange</t>
        </is>
      </c>
      <c r="G784" t="inlineStr">
        <is>
          <t>New</t>
        </is>
      </c>
      <c r="I784">
        <f>IF(H784&lt;&gt;"",H784,G784)</f>
        <v/>
      </c>
      <c r="J784" t="inlineStr">
        <is>
          <t>Step 3b-4</t>
        </is>
      </c>
      <c r="K784" t="n">
        <v>8</v>
      </c>
      <c r="L784" t="n">
        <v>2</v>
      </c>
      <c r="M784" s="5" t="inlineStr">
        <is>
          <t>As an MSP, I want one desk for many clients, so that we serve all clients from one place.</t>
        </is>
      </c>
      <c r="N784" s="5" t="inlineStr">
        <is>
          <t>• Given client companies, then each has its own portal, SLAs, KB, catalogue and branding.
• Given technicians, then they see only assigned clients, with a company filter.
• Given RLS, then each client sees only its own data.</t>
        </is>
      </c>
      <c r="O784" s="5" t="inlineStr"/>
      <c r="P784" t="inlineStr">
        <is>
          <t>M14 gap check</t>
        </is>
      </c>
      <c r="Q784" t="inlineStr"/>
      <c r="R784" s="5" t="inlineStr"/>
    </row>
    <row r="785">
      <c r="A785" t="inlineStr">
        <is>
          <t>US-G-187</t>
        </is>
      </c>
      <c r="B785" t="n">
        <v>590.614</v>
      </c>
      <c r="C785" t="inlineStr">
        <is>
          <t>Story</t>
        </is>
      </c>
      <c r="D785" s="5" t="inlineStr">
        <is>
          <t xml:space="preserve">        Desks exchange tickets with other desks</t>
        </is>
      </c>
      <c r="E785" t="inlineStr">
        <is>
          <t>Step 3b · YukthiX Service Desk (ITSM + ESM)</t>
        </is>
      </c>
      <c r="F785" t="inlineStr">
        <is>
          <t>MSP mode and desk-to-desk exchange</t>
        </is>
      </c>
      <c r="G785" t="inlineStr">
        <is>
          <t>New</t>
        </is>
      </c>
      <c r="I785">
        <f>IF(H785&lt;&gt;"",H785,G785)</f>
        <v/>
      </c>
      <c r="J785" t="inlineStr">
        <is>
          <t>Step 3b-4</t>
        </is>
      </c>
      <c r="K785" t="n">
        <v>5</v>
      </c>
      <c r="L785" t="n">
        <v>2</v>
      </c>
      <c r="M785" s="5" t="inlineStr">
        <is>
          <t>As an agent, I want two-way ticket sync with a customer or vendor desk, so that nobody retypes tickets.</t>
        </is>
      </c>
      <c r="N785" s="5" t="inlineStr">
        <is>
          <t>• Given another YukthiX desk, ServiceNow, Jira SM or Freshservice, then tickets, comments and status sync both ways.
• Given field mapping, then it is set per link.
• Given a failure, then it shows on Jobs &amp; errors.</t>
        </is>
      </c>
      <c r="O785" s="5" t="inlineStr"/>
      <c r="P785" t="inlineStr">
        <is>
          <t>M14 gap check</t>
        </is>
      </c>
      <c r="Q785" t="inlineStr"/>
      <c r="R785" s="5" t="inlineStr"/>
    </row>
    <row r="786">
      <c r="A786" t="inlineStr">
        <is>
          <t>US-G-188</t>
        </is>
      </c>
      <c r="B786" t="n">
        <v>590.615</v>
      </c>
      <c r="C786" t="inlineStr">
        <is>
          <t>Story</t>
        </is>
      </c>
      <c r="D786" s="5" t="inlineStr">
        <is>
          <t xml:space="preserve">        MSP tracks opportunities and quotes</t>
        </is>
      </c>
      <c r="E786" t="inlineStr">
        <is>
          <t>Step 3b · YukthiX Service Desk (ITSM + ESM)</t>
        </is>
      </c>
      <c r="F786" t="inlineStr">
        <is>
          <t>MSP mode and desk-to-desk exchange</t>
        </is>
      </c>
      <c r="G786" t="inlineStr">
        <is>
          <t>New</t>
        </is>
      </c>
      <c r="I786">
        <f>IF(H786&lt;&gt;"",H786,G786)</f>
        <v/>
      </c>
      <c r="J786" t="inlineStr">
        <is>
          <t>Step 3b-4</t>
        </is>
      </c>
      <c r="K786" t="n">
        <v>5</v>
      </c>
      <c r="L786" t="n">
        <v>3</v>
      </c>
      <c r="M786" s="5" t="inlineStr">
        <is>
          <t>As an account manager, I want light sales tools, so that won deals become contracts.</t>
        </is>
      </c>
      <c r="N786" s="5" t="inlineStr">
        <is>
          <t>• Given an opportunity, then quotes can be made.
• Given an accepted quote, then it becomes a contract or project.
• Given the pipeline, then value by stage is shown.</t>
        </is>
      </c>
      <c r="O786" s="5" t="inlineStr"/>
      <c r="P786" t="inlineStr">
        <is>
          <t>M14 gap check</t>
        </is>
      </c>
      <c r="Q786" t="inlineStr"/>
      <c r="R786" s="5" t="inlineStr"/>
    </row>
    <row r="787">
      <c r="A787" t="inlineStr">
        <is>
          <t>US-G-189</t>
        </is>
      </c>
      <c r="B787" t="n">
        <v>590.616</v>
      </c>
      <c r="C787" t="inlineStr">
        <is>
          <t>Story</t>
        </is>
      </c>
      <c r="D787" s="5" t="inlineStr">
        <is>
          <t xml:space="preserve">        MSP reconciles cloud subscriptions</t>
        </is>
      </c>
      <c r="E787" t="inlineStr">
        <is>
          <t>Step 3b · YukthiX Service Desk (ITSM + ESM)</t>
        </is>
      </c>
      <c r="F787" t="inlineStr">
        <is>
          <t>MSP mode and desk-to-desk exchange</t>
        </is>
      </c>
      <c r="G787" t="inlineStr">
        <is>
          <t>New</t>
        </is>
      </c>
      <c r="I787">
        <f>IF(H787&lt;&gt;"",H787,G787)</f>
        <v/>
      </c>
      <c r="J787" t="inlineStr">
        <is>
          <t>Step 3b-4</t>
        </is>
      </c>
      <c r="K787" t="n">
        <v>3</v>
      </c>
      <c r="L787" t="n">
        <v>3</v>
      </c>
      <c r="M787" s="5" t="inlineStr">
        <is>
          <t>As a billing user, I want vendor seats matched to client bills, so that we do not lose money.</t>
        </is>
      </c>
      <c r="N787" s="5" t="inlineStr">
        <is>
          <t>• Given Microsoft 365 seat counts per client, then they are compared with what is billed.
• Given a difference, then it is flagged.
• Given billing, then the corrected count is used.</t>
        </is>
      </c>
      <c r="O787" s="5" t="inlineStr"/>
      <c r="P787" t="inlineStr">
        <is>
          <t>M14 gap check</t>
        </is>
      </c>
      <c r="Q787" t="inlineStr"/>
      <c r="R787" s="5" t="inlineStr"/>
    </row>
    <row r="788">
      <c r="A788" s="9" t="inlineStr">
        <is>
          <t>FT-G-014</t>
        </is>
      </c>
      <c r="B788" s="9" t="n">
        <v>590.669</v>
      </c>
      <c r="C788" s="9" t="inlineStr">
        <is>
          <t>Feature</t>
        </is>
      </c>
      <c r="D788" s="10" t="inlineStr">
        <is>
          <t xml:space="preserve">    Security operations desk</t>
        </is>
      </c>
      <c r="E788" s="9" t="inlineStr">
        <is>
          <t>Step 3b · YukthiX Service Desk (ITSM + ESM)</t>
        </is>
      </c>
      <c r="F788" s="9" t="inlineStr">
        <is>
          <t>Security operations desk</t>
        </is>
      </c>
      <c r="G788" s="9" t="inlineStr">
        <is>
          <t>New</t>
        </is>
      </c>
      <c r="H788" s="9" t="n"/>
      <c r="I788" s="9">
        <f>IF(H788&lt;&gt;"",H788,G788)</f>
        <v/>
      </c>
      <c r="J788" s="9" t="inlineStr">
        <is>
          <t>Step 3b-4</t>
        </is>
      </c>
      <c r="K788" s="9" t="n"/>
      <c r="L788" s="9" t="n"/>
      <c r="M788" s="10" t="inlineStr"/>
      <c r="N788" s="10" t="inlineStr"/>
      <c r="O788" s="10" t="inlineStr"/>
      <c r="P788" s="9" t="inlineStr">
        <is>
          <t>M14 gap check</t>
        </is>
      </c>
      <c r="Q788" s="9" t="inlineStr"/>
      <c r="R788" s="10" t="inlineStr"/>
      <c r="S788" s="9" t="n"/>
    </row>
    <row r="789">
      <c r="A789" t="inlineStr">
        <is>
          <t>US-G-190</t>
        </is>
      </c>
      <c r="B789" t="n">
        <v>590.67</v>
      </c>
      <c r="C789" t="inlineStr">
        <is>
          <t>Story</t>
        </is>
      </c>
      <c r="D789" s="5" t="inlineStr">
        <is>
          <t xml:space="preserve">        Security team runs a restricted security incident desk</t>
        </is>
      </c>
      <c r="E789" t="inlineStr">
        <is>
          <t>Step 3b · YukthiX Service Desk (ITSM + ESM)</t>
        </is>
      </c>
      <c r="F789" t="inlineStr">
        <is>
          <t>Security operations desk</t>
        </is>
      </c>
      <c r="G789" t="inlineStr">
        <is>
          <t>New</t>
        </is>
      </c>
      <c r="I789">
        <f>IF(H789&lt;&gt;"",H789,G789)</f>
        <v/>
      </c>
      <c r="J789" t="inlineStr">
        <is>
          <t>Step 3b-4</t>
        </is>
      </c>
      <c r="K789" t="n">
        <v>5</v>
      </c>
      <c r="L789" t="n">
        <v>2</v>
      </c>
      <c r="M789" s="5" t="inlineStr">
        <is>
          <t>As a security analyst, I want a separate security incident desk, so that evidence and access are controlled.</t>
        </is>
      </c>
      <c r="N789" s="5" t="inlineStr">
        <is>
          <t>• Given a security incident, then only the security team sees it and every read is audited.
• Given evidence, then an evidence log keeps who added what and when.
• Given scanner findings (Defender, Qualys, Tenable), then they become tickets linked to CIs with fix SLAs.
• Given response playbooks, then they attach as checklists.</t>
        </is>
      </c>
      <c r="O789" s="5" t="inlineStr"/>
      <c r="P789" t="inlineStr">
        <is>
          <t>M14 gap check</t>
        </is>
      </c>
      <c r="Q789" t="inlineStr"/>
      <c r="R789" s="5" t="inlineStr"/>
    </row>
    <row r="790">
      <c r="A790" t="inlineStr">
        <is>
          <t>US-G-191</t>
        </is>
      </c>
      <c r="B790" t="n">
        <v>590.671</v>
      </c>
      <c r="C790" t="inlineStr">
        <is>
          <t>Story</t>
        </is>
      </c>
      <c r="D790" s="5" t="inlineStr">
        <is>
          <t xml:space="preserve">        Managers confirm staff access in periodic reviews</t>
        </is>
      </c>
      <c r="E790" t="inlineStr">
        <is>
          <t>Step 3b · YukthiX Service Desk (ITSM + ESM)</t>
        </is>
      </c>
      <c r="F790" t="inlineStr">
        <is>
          <t>Security operations desk</t>
        </is>
      </c>
      <c r="G790" t="inlineStr">
        <is>
          <t>New</t>
        </is>
      </c>
      <c r="I790">
        <f>IF(H790&lt;&gt;"",H790,G790)</f>
        <v/>
      </c>
      <c r="J790" t="inlineStr">
        <is>
          <t>Step 3b-4</t>
        </is>
      </c>
      <c r="K790" t="n">
        <v>3</v>
      </c>
      <c r="L790" t="n">
        <v>3</v>
      </c>
      <c r="M790" s="5" t="inlineStr">
        <is>
          <t>As a security admin, I want periodic access reviews, so that old access is removed.</t>
        </is>
      </c>
      <c r="N790" s="5" t="inlineStr">
        <is>
          <t>• Given a review cycle, then each manager gets a task listing staff app and group access.
• Given remove, then a removal request is created.
• Given the cycle, then completion is reported.</t>
        </is>
      </c>
      <c r="O790" s="5" t="inlineStr"/>
      <c r="P790" t="inlineStr">
        <is>
          <t>M14 gap check</t>
        </is>
      </c>
      <c r="Q790" t="inlineStr"/>
      <c r="R790" s="5" t="inlineStr"/>
    </row>
    <row r="791">
      <c r="A791" s="9" t="inlineStr">
        <is>
          <t>FT-G-015</t>
        </is>
      </c>
      <c r="B791" s="9" t="n">
        <v>590.725</v>
      </c>
      <c r="C791" s="9" t="inlineStr">
        <is>
          <t>Feature</t>
        </is>
      </c>
      <c r="D791" s="10" t="inlineStr">
        <is>
          <t xml:space="preserve">    Service experience, continuity and improvement</t>
        </is>
      </c>
      <c r="E791" s="9" t="inlineStr">
        <is>
          <t>Step 3b · YukthiX Service Desk (ITSM + ESM)</t>
        </is>
      </c>
      <c r="F791" s="9" t="inlineStr">
        <is>
          <t>Service experience, continuity and improvement</t>
        </is>
      </c>
      <c r="G791" s="9" t="inlineStr">
        <is>
          <t>New</t>
        </is>
      </c>
      <c r="H791" s="9" t="n"/>
      <c r="I791" s="9">
        <f>IF(H791&lt;&gt;"",H791,G791)</f>
        <v/>
      </c>
      <c r="J791" s="9" t="inlineStr">
        <is>
          <t>Step 3b-4</t>
        </is>
      </c>
      <c r="K791" s="9" t="n"/>
      <c r="L791" s="9" t="n"/>
      <c r="M791" s="10" t="inlineStr"/>
      <c r="N791" s="10" t="inlineStr"/>
      <c r="O791" s="10" t="inlineStr"/>
      <c r="P791" s="9" t="inlineStr">
        <is>
          <t>M14 gap check</t>
        </is>
      </c>
      <c r="Q791" s="9" t="inlineStr"/>
      <c r="R791" s="10" t="inlineStr"/>
      <c r="S791" s="9" t="n"/>
    </row>
    <row r="792">
      <c r="A792" t="inlineStr">
        <is>
          <t>US-G-192</t>
        </is>
      </c>
      <c r="B792" t="n">
        <v>590.726</v>
      </c>
      <c r="C792" t="inlineStr">
        <is>
          <t>Story</t>
        </is>
      </c>
      <c r="D792" s="5" t="inlineStr">
        <is>
          <t xml:space="preserve">        Lead tracks an experience score next to SLAs</t>
        </is>
      </c>
      <c r="E792" t="inlineStr">
        <is>
          <t>Step 3b · YukthiX Service Desk (ITSM + ESM)</t>
        </is>
      </c>
      <c r="F792" t="inlineStr">
        <is>
          <t>Service experience, continuity and improvement</t>
        </is>
      </c>
      <c r="G792" t="inlineStr">
        <is>
          <t>New</t>
        </is>
      </c>
      <c r="I792">
        <f>IF(H792&lt;&gt;"",H792,G792)</f>
        <v/>
      </c>
      <c r="J792" t="inlineStr">
        <is>
          <t>Step 3b-4</t>
        </is>
      </c>
      <c r="K792" t="n">
        <v>5</v>
      </c>
      <c r="L792" t="n">
        <v>2</v>
      </c>
      <c r="M792" s="5" t="inlineStr">
        <is>
          <t>As a team lead, I want an experience score, so that we measure how people feel, not only time.</t>
        </is>
      </c>
      <c r="N792" s="5" t="inlineStr">
        <is>
          <t>• Given XLA policies, then a 0–100 score combines timeliness, update frequency, CSAT, reopens and effort.
• Given reports, then the score shows per ticket, service and customer.
• Given a low score, then a follow-up can be triggered.</t>
        </is>
      </c>
      <c r="O792" s="5" t="inlineStr"/>
      <c r="P792" t="inlineStr">
        <is>
          <t>M14 gap check</t>
        </is>
      </c>
      <c r="Q792" t="inlineStr"/>
      <c r="R792" s="5" t="inlineStr"/>
    </row>
    <row r="793">
      <c r="A793" t="inlineStr">
        <is>
          <t>US-G-193</t>
        </is>
      </c>
      <c r="B793" t="n">
        <v>590.727</v>
      </c>
      <c r="C793" t="inlineStr">
        <is>
          <t>Story</t>
        </is>
      </c>
      <c r="D793" s="5" t="inlineStr">
        <is>
          <t xml:space="preserve">        Team keeps a continual improvement register</t>
        </is>
      </c>
      <c r="E793" t="inlineStr">
        <is>
          <t>Step 3b · YukthiX Service Desk (ITSM + ESM)</t>
        </is>
      </c>
      <c r="F793" t="inlineStr">
        <is>
          <t>Service experience, continuity and improvement</t>
        </is>
      </c>
      <c r="G793" t="inlineStr">
        <is>
          <t>New</t>
        </is>
      </c>
      <c r="I793">
        <f>IF(H793&lt;&gt;"",H793,G793)</f>
        <v/>
      </c>
      <c r="J793" t="inlineStr">
        <is>
          <t>Step 3b-4</t>
        </is>
      </c>
      <c r="K793" t="n">
        <v>3</v>
      </c>
      <c r="L793" t="n">
        <v>2</v>
      </c>
      <c r="M793" s="5" t="inlineStr">
        <is>
          <t>As a service owner, I want a list of improvements, so that we improve on purpose.</t>
        </is>
      </c>
      <c r="N793" s="5" t="inlineStr">
        <is>
          <t>• Given an idea from reviews, problems, surveys or staff, then it has value, effort, owner and status.
• Given an ideas portal, then users can vote.
• Given done items, then before and after KPIs are recorded.</t>
        </is>
      </c>
      <c r="O793" s="5" t="inlineStr"/>
      <c r="P793" t="inlineStr">
        <is>
          <t>M14 gap check</t>
        </is>
      </c>
      <c r="Q793" t="inlineStr"/>
      <c r="R793" s="5" t="inlineStr"/>
    </row>
    <row r="794">
      <c r="A794" t="inlineStr">
        <is>
          <t>US-G-194</t>
        </is>
      </c>
      <c r="B794" t="n">
        <v>590.728</v>
      </c>
      <c r="C794" t="inlineStr">
        <is>
          <t>Story</t>
        </is>
      </c>
      <c r="D794" s="5" t="inlineStr">
        <is>
          <t xml:space="preserve">        Service owner keeps continuity plans and DR tests</t>
        </is>
      </c>
      <c r="E794" t="inlineStr">
        <is>
          <t>Step 3b · YukthiX Service Desk (ITSM + ESM)</t>
        </is>
      </c>
      <c r="F794" t="inlineStr">
        <is>
          <t>Service experience, continuity and improvement</t>
        </is>
      </c>
      <c r="G794" t="inlineStr">
        <is>
          <t>New</t>
        </is>
      </c>
      <c r="I794">
        <f>IF(H794&lt;&gt;"",H794,G794)</f>
        <v/>
      </c>
      <c r="J794" t="inlineStr">
        <is>
          <t>Step 3b-4</t>
        </is>
      </c>
      <c r="K794" t="n">
        <v>5</v>
      </c>
      <c r="L794" t="n">
        <v>3</v>
      </c>
      <c r="M794" s="5" t="inlineStr">
        <is>
          <t>As a service owner, I want continuity plans per service, so that we recover in time.</t>
        </is>
      </c>
      <c r="N794" s="5" t="inlineStr">
        <is>
          <t>• Given a service, then RTO and RPO from a business impact analysis are kept.
• Given continuity and DR plans, then they link to services and CIs.
• Given a DR test schedule, then results are recorded and plan reviews are reminded.</t>
        </is>
      </c>
      <c r="O794" s="5" t="inlineStr"/>
      <c r="P794" t="inlineStr">
        <is>
          <t>M14 gap check</t>
        </is>
      </c>
      <c r="Q794" t="inlineStr"/>
      <c r="R794" s="5" t="inlineStr"/>
    </row>
    <row r="795">
      <c r="A795" t="inlineStr">
        <is>
          <t>US-G-195</t>
        </is>
      </c>
      <c r="B795" t="n">
        <v>590.729</v>
      </c>
      <c r="C795" t="inlineStr">
        <is>
          <t>Story</t>
        </is>
      </c>
      <c r="D795" s="5" t="inlineStr">
        <is>
          <t xml:space="preserve">        Company compares its metrics with peers</t>
        </is>
      </c>
      <c r="E795" t="inlineStr">
        <is>
          <t>Step 3b · YukthiX Service Desk (ITSM + ESM)</t>
        </is>
      </c>
      <c r="F795" t="inlineStr">
        <is>
          <t>Service experience, continuity and improvement</t>
        </is>
      </c>
      <c r="G795" t="inlineStr">
        <is>
          <t>New</t>
        </is>
      </c>
      <c r="I795">
        <f>IF(H795&lt;&gt;"",H795,G795)</f>
        <v/>
      </c>
      <c r="J795" t="inlineStr">
        <is>
          <t>Step 3b-4</t>
        </is>
      </c>
      <c r="K795" t="n">
        <v>3</v>
      </c>
      <c r="L795" t="n">
        <v>3</v>
      </c>
      <c r="M795" s="5" t="inlineStr">
        <is>
          <t>As a company admin, I want anonymous peer benchmarks, so that we know where we stand.</t>
        </is>
      </c>
      <c r="N795" s="5" t="inlineStr">
        <is>
          <t>• Given opt-in, then MTTR, CSAT and FCR are compared with peers by industry and size.
• Given a peer group under a minimum size, then no benchmark is shown.
• Given our data, then no company can be identified.</t>
        </is>
      </c>
      <c r="O795" s="5" t="inlineStr"/>
      <c r="P795" t="inlineStr">
        <is>
          <t>M14 gap check</t>
        </is>
      </c>
      <c r="Q795" t="inlineStr"/>
      <c r="R795" s="5" t="inlineStr"/>
    </row>
    <row r="796">
      <c r="A796" s="9" t="inlineStr">
        <is>
          <t>FT-G-016</t>
        </is>
      </c>
      <c r="B796" s="9" t="n">
        <v>590.7809999999999</v>
      </c>
      <c r="C796" s="9" t="inlineStr">
        <is>
          <t>Feature</t>
        </is>
      </c>
      <c r="D796" s="10" t="inlineStr">
        <is>
          <t xml:space="preserve">    Agent quality and growth</t>
        </is>
      </c>
      <c r="E796" s="9" t="inlineStr">
        <is>
          <t>Step 3b · YukthiX Service Desk (ITSM + ESM)</t>
        </is>
      </c>
      <c r="F796" s="9" t="inlineStr">
        <is>
          <t>Agent quality and growth</t>
        </is>
      </c>
      <c r="G796" s="9" t="inlineStr">
        <is>
          <t>New</t>
        </is>
      </c>
      <c r="H796" s="9" t="n"/>
      <c r="I796" s="9">
        <f>IF(H796&lt;&gt;"",H796,G796)</f>
        <v/>
      </c>
      <c r="J796" s="9" t="inlineStr">
        <is>
          <t>Step 3b-4</t>
        </is>
      </c>
      <c r="K796" s="9" t="n"/>
      <c r="L796" s="9" t="n"/>
      <c r="M796" s="10" t="inlineStr"/>
      <c r="N796" s="10" t="inlineStr"/>
      <c r="O796" s="10" t="inlineStr"/>
      <c r="P796" s="9" t="inlineStr">
        <is>
          <t>M14 gap check</t>
        </is>
      </c>
      <c r="Q796" s="9" t="inlineStr"/>
      <c r="R796" s="10" t="inlineStr"/>
      <c r="S796" s="9" t="n"/>
    </row>
    <row r="797">
      <c r="A797" t="inlineStr">
        <is>
          <t>US-G-196</t>
        </is>
      </c>
      <c r="B797" t="n">
        <v>590.782</v>
      </c>
      <c r="C797" t="inlineStr">
        <is>
          <t>Story</t>
        </is>
      </c>
      <c r="D797" s="5" t="inlineStr">
        <is>
          <t xml:space="preserve">        Reviewers score conversations and coach agents</t>
        </is>
      </c>
      <c r="E797" t="inlineStr">
        <is>
          <t>Step 3b · YukthiX Service Desk (ITSM + ESM)</t>
        </is>
      </c>
      <c r="F797" t="inlineStr">
        <is>
          <t>Agent quality and growth</t>
        </is>
      </c>
      <c r="G797" t="inlineStr">
        <is>
          <t>New</t>
        </is>
      </c>
      <c r="I797">
        <f>IF(H797&lt;&gt;"",H797,G797)</f>
        <v/>
      </c>
      <c r="J797" t="inlineStr">
        <is>
          <t>Step 3b-4</t>
        </is>
      </c>
      <c r="K797" t="n">
        <v>5</v>
      </c>
      <c r="L797" t="n">
        <v>2</v>
      </c>
      <c r="M797" s="5" t="inlineStr">
        <is>
          <t>As a quality reviewer, I want scorecards for conversations, so that service quality rises.</t>
        </is>
      </c>
      <c r="N797" s="5" t="inlineStr">
        <is>
          <t>• Given a scorecard (tone, accuracy, procedure), then I review sampled conversations.
• Given AI scoring, then all conversations get a draft score.
• Given a review, then the agent can dispute and coaching notes are kept.</t>
        </is>
      </c>
      <c r="O797" s="5" t="inlineStr"/>
      <c r="P797" t="inlineStr">
        <is>
          <t>M14 gap check</t>
        </is>
      </c>
      <c r="Q797" t="inlineStr"/>
      <c r="R797" s="5" t="inlineStr"/>
    </row>
    <row r="798">
      <c r="A798" t="inlineStr">
        <is>
          <t>US-G-197</t>
        </is>
      </c>
      <c r="B798" t="n">
        <v>590.783</v>
      </c>
      <c r="C798" t="inlineStr">
        <is>
          <t>Story</t>
        </is>
      </c>
      <c r="D798" s="5" t="inlineStr">
        <is>
          <t xml:space="preserve">        Lead keeps a skills matrix</t>
        </is>
      </c>
      <c r="E798" t="inlineStr">
        <is>
          <t>Step 3b · YukthiX Service Desk (ITSM + ESM)</t>
        </is>
      </c>
      <c r="F798" t="inlineStr">
        <is>
          <t>Agent quality and growth</t>
        </is>
      </c>
      <c r="G798" t="inlineStr">
        <is>
          <t>New</t>
        </is>
      </c>
      <c r="I798">
        <f>IF(H798&lt;&gt;"",H798,G798)</f>
        <v/>
      </c>
      <c r="J798" t="inlineStr">
        <is>
          <t>Step 3b-4</t>
        </is>
      </c>
      <c r="K798" t="n">
        <v>3</v>
      </c>
      <c r="L798" t="n">
        <v>3</v>
      </c>
      <c r="M798" s="5" t="inlineStr">
        <is>
          <t>As a team lead, I want skills with levels and training, so that routing and training fit people.</t>
        </is>
      </c>
      <c r="N798" s="5" t="inlineStr">
        <is>
          <t>• Given agents, then skills have proficiency levels and training records.
• Given skill routing, then levels can be used.
• Given gaps, then training needs are listed.</t>
        </is>
      </c>
      <c r="O798" s="5" t="inlineStr"/>
      <c r="P798" t="inlineStr">
        <is>
          <t>M14 gap check</t>
        </is>
      </c>
      <c r="Q798" t="inlineStr"/>
      <c r="R798" s="5" t="inlineStr"/>
    </row>
    <row r="799">
      <c r="A799" t="inlineStr">
        <is>
          <t>US-G-198</t>
        </is>
      </c>
      <c r="B799" t="n">
        <v>590.784</v>
      </c>
      <c r="C799" t="inlineStr">
        <is>
          <t>Story</t>
        </is>
      </c>
      <c r="D799" s="5" t="inlineStr">
        <is>
          <t xml:space="preserve">        Desk can switch on gamification</t>
        </is>
      </c>
      <c r="E799" t="inlineStr">
        <is>
          <t>Step 3b · YukthiX Service Desk (ITSM + ESM)</t>
        </is>
      </c>
      <c r="F799" t="inlineStr">
        <is>
          <t>Agent quality and growth</t>
        </is>
      </c>
      <c r="G799" t="inlineStr">
        <is>
          <t>New</t>
        </is>
      </c>
      <c r="I799">
        <f>IF(H799&lt;&gt;"",H799,G799)</f>
        <v/>
      </c>
      <c r="J799" t="inlineStr">
        <is>
          <t>Step 3b-4</t>
        </is>
      </c>
      <c r="K799" t="n">
        <v>3</v>
      </c>
      <c r="L799" t="n">
        <v>3</v>
      </c>
      <c r="M799" s="5" t="inlineStr">
        <is>
          <t>As a team lead, I want optional points and badges, so that the team stays motivated.</t>
        </is>
      </c>
      <c r="N799" s="5" t="inlineStr">
        <is>
          <t>• Given gamification on, then points come from fast resolutions and good ratings.
• Given badges, levels and leaderboards, then they are configurable.
• Given the default, then it is off.</t>
        </is>
      </c>
      <c r="O799" s="5" t="inlineStr"/>
      <c r="P799" t="inlineStr">
        <is>
          <t>M14 gap check</t>
        </is>
      </c>
      <c r="Q799" t="inlineStr"/>
      <c r="R799" s="5" t="inlineStr"/>
    </row>
    <row r="800">
      <c r="A800" s="9" t="inlineStr">
        <is>
          <t>FT-G-017</t>
        </is>
      </c>
      <c r="B800" s="9" t="n">
        <v>590.837</v>
      </c>
      <c r="C800" s="9" t="inlineStr">
        <is>
          <t>Feature</t>
        </is>
      </c>
      <c r="D800" s="10" t="inlineStr">
        <is>
          <t xml:space="preserve">    Customer health and relationships</t>
        </is>
      </c>
      <c r="E800" s="9" t="inlineStr">
        <is>
          <t>Step 3b · YukthiX Service Desk (ITSM + ESM)</t>
        </is>
      </c>
      <c r="F800" s="9" t="inlineStr">
        <is>
          <t>Customer health and relationships</t>
        </is>
      </c>
      <c r="G800" s="9" t="inlineStr">
        <is>
          <t>New</t>
        </is>
      </c>
      <c r="H800" s="9" t="n"/>
      <c r="I800" s="9">
        <f>IF(H800&lt;&gt;"",H800,G800)</f>
        <v/>
      </c>
      <c r="J800" s="9" t="inlineStr">
        <is>
          <t>Step 3b-4</t>
        </is>
      </c>
      <c r="K800" s="9" t="n"/>
      <c r="L800" s="9" t="n"/>
      <c r="M800" s="10" t="inlineStr"/>
      <c r="N800" s="10" t="inlineStr"/>
      <c r="O800" s="10" t="inlineStr"/>
      <c r="P800" s="9" t="inlineStr">
        <is>
          <t>M14 gap check</t>
        </is>
      </c>
      <c r="Q800" s="9" t="inlineStr"/>
      <c r="R800" s="10" t="inlineStr"/>
      <c r="S800" s="9" t="n"/>
    </row>
    <row r="801">
      <c r="A801" t="inlineStr">
        <is>
          <t>US-G-199</t>
        </is>
      </c>
      <c r="B801" t="n">
        <v>590.838</v>
      </c>
      <c r="C801" t="inlineStr">
        <is>
          <t>Story</t>
        </is>
      </c>
      <c r="D801" s="5" t="inlineStr">
        <is>
          <t xml:space="preserve">        Account owner runs service reviews and sees customer health</t>
        </is>
      </c>
      <c r="E801" t="inlineStr">
        <is>
          <t>Step 3b · YukthiX Service Desk (ITSM + ESM)</t>
        </is>
      </c>
      <c r="F801" t="inlineStr">
        <is>
          <t>Customer health and relationships</t>
        </is>
      </c>
      <c r="G801" t="inlineStr">
        <is>
          <t>New</t>
        </is>
      </c>
      <c r="I801">
        <f>IF(H801&lt;&gt;"",H801,G801)</f>
        <v/>
      </c>
      <c r="J801" t="inlineStr">
        <is>
          <t>Step 3b-4</t>
        </is>
      </c>
      <c r="K801" t="n">
        <v>3</v>
      </c>
      <c r="L801" t="n">
        <v>3</v>
      </c>
      <c r="M801" s="5" t="inlineStr">
        <is>
          <t>As an account owner, I want service reviews and a health view, so that customers stay happy.</t>
        </is>
      </c>
      <c r="N801" s="5" t="inlineStr">
        <is>
          <t>• Given a customer, then a health view combines tickets, SLA and CSAT.
• Given a review meeting, then a pack, actions and agreed improvements are kept.
• Given the standalone desk, then this works for its own customers.</t>
        </is>
      </c>
      <c r="O801" s="5" t="inlineStr"/>
      <c r="P801" t="inlineStr">
        <is>
          <t>M14 gap check</t>
        </is>
      </c>
      <c r="Q801" t="inlineStr"/>
      <c r="R801" s="5" t="inlineStr"/>
    </row>
    <row r="802">
      <c r="A802" t="inlineStr">
        <is>
          <t>US-G-200</t>
        </is>
      </c>
      <c r="B802" t="n">
        <v>590.8390000000001</v>
      </c>
      <c r="C802" t="inlineStr">
        <is>
          <t>Story</t>
        </is>
      </c>
      <c r="D802" s="5" t="inlineStr">
        <is>
          <t xml:space="preserve">        Support opens proactive tickets when health drops</t>
        </is>
      </c>
      <c r="E802" t="inlineStr">
        <is>
          <t>Step 3b · YukthiX Service Desk (ITSM + ESM)</t>
        </is>
      </c>
      <c r="F802" t="inlineStr">
        <is>
          <t>Customer health and relationships</t>
        </is>
      </c>
      <c r="G802" t="inlineStr">
        <is>
          <t>New</t>
        </is>
      </c>
      <c r="I802">
        <f>IF(H802&lt;&gt;"",H802,G802)</f>
        <v/>
      </c>
      <c r="J802" t="inlineStr">
        <is>
          <t>Step 3b-4</t>
        </is>
      </c>
      <c r="K802" t="n">
        <v>3</v>
      </c>
      <c r="L802" t="n">
        <v>3</v>
      </c>
      <c r="M802" s="5" t="inlineStr">
        <is>
          <t>As a YukthiX support agent, I want tickets opened when customer health drops, so that we help before they ask.</t>
        </is>
      </c>
      <c r="N802" s="5" t="inlineStr">
        <is>
          <t>• Given a failed payroll run, integration errors or repeated in-app errors, then a ticket is opened.
• Given the ticket, then the customer is told and it is linked to the signal.
• Given noise, then one ticket per signal per day at most.</t>
        </is>
      </c>
      <c r="O802" s="5" t="inlineStr"/>
      <c r="P802" t="inlineStr">
        <is>
          <t>M14 gap check</t>
        </is>
      </c>
      <c r="Q802" t="inlineStr">
        <is>
          <t>US-B-116</t>
        </is>
      </c>
      <c r="R802" s="5" t="inlineStr"/>
    </row>
    <row r="803">
      <c r="A803" t="inlineStr">
        <is>
          <t>US-G-201</t>
        </is>
      </c>
      <c r="B803" t="n">
        <v>590.84</v>
      </c>
      <c r="C803" t="inlineStr">
        <is>
          <t>Story</t>
        </is>
      </c>
      <c r="D803" s="5" t="inlineStr">
        <is>
          <t xml:space="preserve">        Agents see CRM context on customer tickets</t>
        </is>
      </c>
      <c r="E803" t="inlineStr">
        <is>
          <t>Step 3b · YukthiX Service Desk (ITSM + ESM)</t>
        </is>
      </c>
      <c r="F803" t="inlineStr">
        <is>
          <t>Customer health and relationships</t>
        </is>
      </c>
      <c r="G803" t="inlineStr">
        <is>
          <t>New</t>
        </is>
      </c>
      <c r="I803">
        <f>IF(H803&lt;&gt;"",H803,G803)</f>
        <v/>
      </c>
      <c r="J803" t="inlineStr">
        <is>
          <t>Step 3b-4</t>
        </is>
      </c>
      <c r="K803" t="n">
        <v>5</v>
      </c>
      <c r="L803" t="n">
        <v>2</v>
      </c>
      <c r="M803" s="5" t="inlineStr">
        <is>
          <t>As an agent, I want CRM data on the ticket, so that I know the customer.</t>
        </is>
      </c>
      <c r="N803" s="5" t="inlineStr">
        <is>
          <t>• Given Salesforce, HubSpot or Zoho CRM, then account, deal and contract context shows on the ticket.
• Given the link, then it is read only.
• Given the link is off, then stored tokens are deleted.</t>
        </is>
      </c>
      <c r="O803" s="5" t="inlineStr"/>
      <c r="P803" t="inlineStr">
        <is>
          <t>M14 gap check</t>
        </is>
      </c>
      <c r="Q803" t="inlineStr"/>
      <c r="R803" s="5" t="inlineStr"/>
    </row>
    <row r="804">
      <c r="A804" s="9" t="inlineStr">
        <is>
          <t>FT-G-018</t>
        </is>
      </c>
      <c r="B804" s="9" t="n">
        <v>590.894</v>
      </c>
      <c r="C804" s="9" t="inlineStr">
        <is>
          <t>Feature</t>
        </is>
      </c>
      <c r="D804" s="10" t="inlineStr">
        <is>
          <t xml:space="preserve">    Standalone platform options</t>
        </is>
      </c>
      <c r="E804" s="9" t="inlineStr">
        <is>
          <t>Step 3b · YukthiX Service Desk (ITSM + ESM)</t>
        </is>
      </c>
      <c r="F804" s="9" t="inlineStr">
        <is>
          <t>Standalone platform options</t>
        </is>
      </c>
      <c r="G804" s="9" t="inlineStr">
        <is>
          <t>New</t>
        </is>
      </c>
      <c r="H804" s="9" t="n"/>
      <c r="I804" s="9">
        <f>IF(H804&lt;&gt;"",H804,G804)</f>
        <v/>
      </c>
      <c r="J804" s="9" t="inlineStr">
        <is>
          <t>Step 3b-4</t>
        </is>
      </c>
      <c r="K804" s="9" t="n"/>
      <c r="L804" s="9" t="n"/>
      <c r="M804" s="10" t="inlineStr"/>
      <c r="N804" s="10" t="inlineStr"/>
      <c r="O804" s="10" t="inlineStr"/>
      <c r="P804" s="9" t="inlineStr">
        <is>
          <t>M14 gap check</t>
        </is>
      </c>
      <c r="Q804" s="9" t="inlineStr"/>
      <c r="R804" s="10" t="inlineStr"/>
      <c r="S804" s="9" t="n"/>
    </row>
    <row r="805">
      <c r="A805" t="inlineStr">
        <is>
          <t>US-G-202</t>
        </is>
      </c>
      <c r="B805" t="n">
        <v>590.895</v>
      </c>
      <c r="C805" t="inlineStr">
        <is>
          <t>Story</t>
        </is>
      </c>
      <c r="D805" s="5" t="inlineStr">
        <is>
          <t xml:space="preserve">        Attachments can live in the company storage</t>
        </is>
      </c>
      <c r="E805" t="inlineStr">
        <is>
          <t>Step 3b · YukthiX Service Desk (ITSM + ESM)</t>
        </is>
      </c>
      <c r="F805" t="inlineStr">
        <is>
          <t>Standalone platform options</t>
        </is>
      </c>
      <c r="G805" t="inlineStr">
        <is>
          <t>New</t>
        </is>
      </c>
      <c r="I805">
        <f>IF(H805&lt;&gt;"",H805,G805)</f>
        <v/>
      </c>
      <c r="J805" t="inlineStr">
        <is>
          <t>Step 3b-4</t>
        </is>
      </c>
      <c r="K805" t="n">
        <v>3</v>
      </c>
      <c r="L805" t="n">
        <v>3</v>
      </c>
      <c r="M805" s="5" t="inlineStr">
        <is>
          <t>As a company admin, I want attachments in our own bucket, so that we control our files.</t>
        </is>
      </c>
      <c r="N805" s="5" t="inlineStr">
        <is>
          <t>• Given an S3-compatible bucket of the company, then attachments are stored there.
• Given access failure, then admins are alerted and uploads wait.
• Given virus scan, then it still runs.</t>
        </is>
      </c>
      <c r="O805" s="5" t="inlineStr"/>
      <c r="P805" t="inlineStr">
        <is>
          <t>M14 gap check</t>
        </is>
      </c>
      <c r="Q805" t="inlineStr"/>
      <c r="R805" s="5" t="inlineStr"/>
    </row>
    <row r="806">
      <c r="A806" t="inlineStr">
        <is>
          <t>US-G-203</t>
        </is>
      </c>
      <c r="B806" t="n">
        <v>590.896</v>
      </c>
      <c r="C806" t="inlineStr">
        <is>
          <t>Story</t>
        </is>
      </c>
      <c r="D806" s="5" t="inlineStr">
        <is>
          <t xml:space="preserve">        Help centre and agent UI support more languages</t>
        </is>
      </c>
      <c r="E806" t="inlineStr">
        <is>
          <t>Step 3b · YukthiX Service Desk (ITSM + ESM)</t>
        </is>
      </c>
      <c r="F806" t="inlineStr">
        <is>
          <t>Standalone platform options</t>
        </is>
      </c>
      <c r="G806" t="inlineStr">
        <is>
          <t>New</t>
        </is>
      </c>
      <c r="I806">
        <f>IF(H806&lt;&gt;"",H806,G806)</f>
        <v/>
      </c>
      <c r="J806" t="inlineStr">
        <is>
          <t>Step 3b-4</t>
        </is>
      </c>
      <c r="K806" t="n">
        <v>5</v>
      </c>
      <c r="L806" t="n">
        <v>3</v>
      </c>
      <c r="M806" s="5" t="inlineStr">
        <is>
          <t>As a desk admin, I want more languages, so that we serve people in their language.</t>
        </is>
      </c>
      <c r="N806" s="5" t="inlineStr">
        <is>
          <t>• Given an article, then machine-translated drafts are made and need human review per language.
• Given agents, then the UI can show more languages per user.
• Given a missing translation, then the default language shows.</t>
        </is>
      </c>
      <c r="O806" s="5" t="inlineStr"/>
      <c r="P806" t="inlineStr">
        <is>
          <t>M14 gap check</t>
        </is>
      </c>
      <c r="Q806" t="inlineStr"/>
      <c r="R806" s="5" t="inlineStr"/>
    </row>
    <row r="807">
      <c r="A807" t="inlineStr">
        <is>
          <t>US-G-204</t>
        </is>
      </c>
      <c r="B807" t="n">
        <v>590.897</v>
      </c>
      <c r="C807" t="inlineStr">
        <is>
          <t>Story</t>
        </is>
      </c>
      <c r="D807" s="5" t="inlineStr">
        <is>
          <t xml:space="preserve">        Desk admin starts from an industry template pack</t>
        </is>
      </c>
      <c r="E807" t="inlineStr">
        <is>
          <t>Step 3b · YukthiX Service Desk (ITSM + ESM)</t>
        </is>
      </c>
      <c r="F807" t="inlineStr">
        <is>
          <t>Standalone platform options</t>
        </is>
      </c>
      <c r="G807" t="inlineStr">
        <is>
          <t>New</t>
        </is>
      </c>
      <c r="I807">
        <f>IF(H807&lt;&gt;"",H807,G807)</f>
        <v/>
      </c>
      <c r="J807" t="inlineStr">
        <is>
          <t>Step 3b-4</t>
        </is>
      </c>
      <c r="K807" t="n">
        <v>3</v>
      </c>
      <c r="L807" t="n">
        <v>3</v>
      </c>
      <c r="M807" s="5" t="inlineStr">
        <is>
          <t>As a desk admin, I want ready template packs, so that set-up is fast for our industry.</t>
        </is>
      </c>
      <c r="N807" s="5" t="inlineStr">
        <is>
          <t>• Given packs for schools, hospitals, factories, banks or government, then catalogues, categories and SLAs load.
• Given a loaded pack, then everything can be edited.
• Given a pack, then it loads in the sandbox first if wanted.</t>
        </is>
      </c>
      <c r="O807" s="5" t="inlineStr"/>
      <c r="P807" t="inlineStr">
        <is>
          <t>M14 gap check</t>
        </is>
      </c>
      <c r="Q807" t="inlineStr"/>
      <c r="R807" s="5" t="inlineStr"/>
    </row>
    <row r="808">
      <c r="A808" t="inlineStr">
        <is>
          <t>US-G-205</t>
        </is>
      </c>
      <c r="B808" t="n">
        <v>590.898</v>
      </c>
      <c r="C808" t="inlineStr">
        <is>
          <t>Story</t>
        </is>
      </c>
      <c r="D808" s="5" t="inlineStr">
        <is>
          <t xml:space="preserve">        Requesters help each other in a community forum</t>
        </is>
      </c>
      <c r="E808" t="inlineStr">
        <is>
          <t>Step 3b · YukthiX Service Desk (ITSM + ESM)</t>
        </is>
      </c>
      <c r="F808" t="inlineStr">
        <is>
          <t>Standalone platform options</t>
        </is>
      </c>
      <c r="G808" t="inlineStr">
        <is>
          <t>New</t>
        </is>
      </c>
      <c r="I808">
        <f>IF(H808&lt;&gt;"",H808,G808)</f>
        <v/>
      </c>
      <c r="J808" t="inlineStr">
        <is>
          <t>Step 3b-4</t>
        </is>
      </c>
      <c r="K808" t="n">
        <v>5</v>
      </c>
      <c r="L808" t="n">
        <v>3</v>
      </c>
      <c r="M808" s="5" t="inlineStr">
        <is>
          <t>As a requester, I want a community forum, so that people help each other.</t>
        </is>
      </c>
      <c r="N808" s="5" t="inlineStr">
        <is>
          <t>• Given the forum, then users post questions and others answer.
• Given moderation, then posts can be hidden and best answers marked.
• Given a good answer, then it can become an article or a post can become a ticket.</t>
        </is>
      </c>
      <c r="O808" s="5" t="inlineStr"/>
      <c r="P808" t="inlineStr">
        <is>
          <t>M14 gap check</t>
        </is>
      </c>
      <c r="Q808" t="inlineStr"/>
      <c r="R808" s="5" t="inlineStr"/>
    </row>
    <row r="809">
      <c r="A809" s="9" t="inlineStr">
        <is>
          <t>FT-G-019</t>
        </is>
      </c>
      <c r="B809" s="9" t="n">
        <v>591</v>
      </c>
      <c r="C809" s="9" t="inlineStr">
        <is>
          <t>Feature</t>
        </is>
      </c>
      <c r="D809" s="10" t="inlineStr">
        <is>
          <t xml:space="preserve">    Identity actions from approved requests (Entra ID / Google Workspace)</t>
        </is>
      </c>
      <c r="E809" s="9" t="inlineStr">
        <is>
          <t>Step 3b · YukthiX Service Desk (ITSM + ESM)</t>
        </is>
      </c>
      <c r="F809" s="9" t="inlineStr">
        <is>
          <t>Identity actions from approved requests (Entra ID / Google Workspace)</t>
        </is>
      </c>
      <c r="G809" s="9" t="inlineStr">
        <is>
          <t>New</t>
        </is>
      </c>
      <c r="H809" s="9" t="n"/>
      <c r="I809" s="9">
        <f>IF(H809&lt;&gt;"",H809,G809)</f>
        <v/>
      </c>
      <c r="J809" s="9" t="inlineStr">
        <is>
          <t>Step 3b-4</t>
        </is>
      </c>
      <c r="K809" s="9" t="n"/>
      <c r="L809" s="9" t="n">
        <v>2</v>
      </c>
      <c r="M809" s="10" t="inlineStr"/>
      <c r="N809" s="10" t="inlineStr"/>
      <c r="O809" s="10" t="inlineStr"/>
      <c r="P809" s="9" t="inlineStr">
        <is>
          <t>M14 Q7</t>
        </is>
      </c>
      <c r="Q809" s="9" t="inlineStr"/>
      <c r="R809" s="10" t="inlineStr"/>
      <c r="S809" s="9" t="n"/>
    </row>
    <row r="810">
      <c r="A810" t="inlineStr">
        <is>
          <t>US-G-206</t>
        </is>
      </c>
      <c r="B810" t="n">
        <v>591.1</v>
      </c>
      <c r="C810" t="inlineStr">
        <is>
          <t>Story</t>
        </is>
      </c>
      <c r="D810" s="5" t="inlineStr">
        <is>
          <t xml:space="preserve">        Company admin connects its identity provider with least permissions</t>
        </is>
      </c>
      <c r="E810" t="inlineStr">
        <is>
          <t>Step 3b · YukthiX Service Desk (ITSM + ESM)</t>
        </is>
      </c>
      <c r="F810" t="inlineStr">
        <is>
          <t>Identity actions from approved requests (Entra ID / Google Workspace)</t>
        </is>
      </c>
      <c r="G810" t="inlineStr">
        <is>
          <t>New</t>
        </is>
      </c>
      <c r="I810">
        <f>IF(H810&lt;&gt;"",H810,G810)</f>
        <v/>
      </c>
      <c r="J810" t="inlineStr">
        <is>
          <t>Step 3b-4</t>
        </is>
      </c>
      <c r="K810" t="n">
        <v>5</v>
      </c>
      <c r="L810" t="n">
        <v>2</v>
      </c>
      <c r="M810" s="5" t="inlineStr">
        <is>
          <t>As a company admin, I want to connect our Entra ID or Google Workspace using our own app registration, so that the desk can act on accounts only within the permissions we grant.</t>
        </is>
      </c>
      <c r="N810" s="5" t="inlineStr">
        <is>
          <t>• Given identity actions are off by default, when an admin turns them on, then step-up is required and the change is audited (M14 Q7)
• Given the connection screen, then only the company's own app registration is accepted and the requested permissions are listed one by one
• Given a permission the action list does not need, then it is not requested
• Given the connection is removed, then every identity action is disabled at once</t>
        </is>
      </c>
      <c r="O810" s="5" t="inlineStr"/>
      <c r="P810" t="inlineStr">
        <is>
          <t>M14 Q6/Q7</t>
        </is>
      </c>
      <c r="Q810" t="inlineStr"/>
      <c r="R810" s="5" t="inlineStr"/>
    </row>
    <row r="811">
      <c r="A811" t="inlineStr">
        <is>
          <t>US-G-207</t>
        </is>
      </c>
      <c r="B811" t="n">
        <v>591.2</v>
      </c>
      <c r="C811" t="inlineStr">
        <is>
          <t>Story</t>
        </is>
      </c>
      <c r="D811" s="5" t="inlineStr">
        <is>
          <t xml:space="preserve">        Password reset and account unlock after approval</t>
        </is>
      </c>
      <c r="E811" t="inlineStr">
        <is>
          <t>Step 3b · YukthiX Service Desk (ITSM + ESM)</t>
        </is>
      </c>
      <c r="F811" t="inlineStr">
        <is>
          <t>Identity actions from approved requests (Entra ID / Google Workspace)</t>
        </is>
      </c>
      <c r="G811" t="inlineStr">
        <is>
          <t>New</t>
        </is>
      </c>
      <c r="I811">
        <f>IF(H811&lt;&gt;"",H811,G811)</f>
        <v/>
      </c>
      <c r="J811" t="inlineStr">
        <is>
          <t>Step 3b-4</t>
        </is>
      </c>
      <c r="K811" t="n">
        <v>5</v>
      </c>
      <c r="L811" t="n">
        <v>2</v>
      </c>
      <c r="M811" s="5" t="inlineStr">
        <is>
          <t>As an employee, I want my locked account unlocked or password reset through an approved request, so that I get back to work without waiting for IT to do it by hand.</t>
        </is>
      </c>
      <c r="N811" s="5" t="inlineStr">
        <is>
          <t>• Given an approved unlock or reset request, when the agent confirms with step-up, then the action runs in the identity provider and the result is written on the ticket (M14 Q7)
• Given a reset, then YukthiX never sees or stores the new password; the provider sends the user its own reset flow or a one-time temporary password shown once
• Given the action fails, then the ticket shows the provider's error and nothing is retried silently
• Given any run, then the audit records who approved, who ran it, the target account and the time</t>
        </is>
      </c>
      <c r="O811" s="5" t="inlineStr"/>
      <c r="P811" t="inlineStr">
        <is>
          <t>M14 Q6/Q7</t>
        </is>
      </c>
      <c r="Q811" t="inlineStr">
        <is>
          <t>US-G-206</t>
        </is>
      </c>
      <c r="R811" s="5" t="inlineStr"/>
    </row>
    <row r="812">
      <c r="A812" t="inlineStr">
        <is>
          <t>US-G-208</t>
        </is>
      </c>
      <c r="B812" t="n">
        <v>591.3</v>
      </c>
      <c r="C812" t="inlineStr">
        <is>
          <t>Story</t>
        </is>
      </c>
      <c r="D812" s="5" t="inlineStr">
        <is>
          <t xml:space="preserve">        Create / disable users and change groups and licences from approved requests</t>
        </is>
      </c>
      <c r="E812" t="inlineStr">
        <is>
          <t>Step 3b · YukthiX Service Desk (ITSM + ESM)</t>
        </is>
      </c>
      <c r="F812" t="inlineStr">
        <is>
          <t>Identity actions from approved requests (Entra ID / Google Workspace)</t>
        </is>
      </c>
      <c r="G812" t="inlineStr">
        <is>
          <t>New</t>
        </is>
      </c>
      <c r="I812">
        <f>IF(H812&lt;&gt;"",H812,G812)</f>
        <v/>
      </c>
      <c r="J812" t="inlineStr">
        <is>
          <t>Step 3b-4</t>
        </is>
      </c>
      <c r="K812" t="n">
        <v>8</v>
      </c>
      <c r="L812" t="n">
        <v>2</v>
      </c>
      <c r="M812" s="5" t="inlineStr">
        <is>
          <t>As an IT agent, I want onboarding, offboarding and access requests to create or disable accounts and change groups and licences after approval, so that access is granted and removed on time.</t>
        </is>
      </c>
      <c r="N812" s="5" t="inlineStr">
        <is>
          <t>• Given an approved request, when the fulfilment step runs, then the account, group or licence change is made in the provider and linked to the ticket (M14 Q7)
• Given an exit in M01, when the exit date arrives, then disabling the account is raised as an approved task, not run without approval
• Given the agent lacks the identity-action permission, then the action button is not shown
• Given every change, then step-up and a full audit entry are required</t>
        </is>
      </c>
      <c r="O812" s="5" t="inlineStr"/>
      <c r="P812" t="inlineStr">
        <is>
          <t>M14 Q6/Q7</t>
        </is>
      </c>
      <c r="Q812" t="inlineStr">
        <is>
          <t>US-G-206</t>
        </is>
      </c>
      <c r="R812" s="5" t="inlineStr"/>
    </row>
    <row r="813">
      <c r="A813" t="inlineStr">
        <is>
          <t>US-G-209</t>
        </is>
      </c>
      <c r="B813" t="n">
        <v>591.4</v>
      </c>
      <c r="C813" t="inlineStr">
        <is>
          <t>Story</t>
        </is>
      </c>
      <c r="D813" s="5" t="inlineStr">
        <is>
          <t xml:space="preserve">        Open the device in the company's own MDM console (read-only in YukthiX)</t>
        </is>
      </c>
      <c r="E813" t="inlineStr">
        <is>
          <t>Step 3b · YukthiX Service Desk (ITSM + ESM)</t>
        </is>
      </c>
      <c r="F813" t="inlineStr">
        <is>
          <t>Identity actions from approved requests (Entra ID / Google Workspace)</t>
        </is>
      </c>
      <c r="G813" t="inlineStr">
        <is>
          <t>New</t>
        </is>
      </c>
      <c r="I813">
        <f>IF(H813&lt;&gt;"",H813,G813)</f>
        <v/>
      </c>
      <c r="J813" t="inlineStr">
        <is>
          <t>Step 3b-4</t>
        </is>
      </c>
      <c r="K813" t="n">
        <v>2</v>
      </c>
      <c r="L813" t="n">
        <v>2</v>
      </c>
      <c r="M813" s="5" t="inlineStr">
        <is>
          <t>As an IT agent, I want a button on the asset that opens the same device in our Intune or Jamf console, so that I can lock or wipe it there while YukthiX stays read-only.</t>
        </is>
      </c>
      <c r="N813" s="5" t="inlineStr">
        <is>
          <t>• Given an asset matched to an MDM record, then the asset page shows a link that opens that device in the company's MDM console (M14 Q6)
• Given any agent, then no lock, wipe, script or remote command can be sent from YukthiX (M14 Q4)
• Given the link is used, then the click is audited on the asset with the agent and time</t>
        </is>
      </c>
      <c r="O813" s="5" t="inlineStr"/>
      <c r="P813" t="inlineStr">
        <is>
          <t>M14 Q6, M14 Q4</t>
        </is>
      </c>
      <c r="Q813" t="inlineStr"/>
      <c r="R813" s="5" t="inlineStr"/>
    </row>
    <row r="814">
      <c r="A814" s="7" t="inlineStr">
        <is>
          <t>EP-C-1</t>
        </is>
      </c>
      <c r="B814" s="7" t="n">
        <v>600</v>
      </c>
      <c r="C814" s="7" t="inlineStr">
        <is>
          <t>Epic</t>
        </is>
      </c>
      <c r="D814" s="8" t="inlineStr">
        <is>
          <t>Step 4 · Time and leave</t>
        </is>
      </c>
      <c r="E814" s="7" t="inlineStr">
        <is>
          <t>Step 4 · Time and leave</t>
        </is>
      </c>
      <c r="F814" s="7" t="inlineStr"/>
      <c r="G814" s="7" t="inlineStr">
        <is>
          <t>New</t>
        </is>
      </c>
      <c r="H814" s="7" t="n"/>
      <c r="I814" s="7">
        <f>IF(H814&lt;&gt;"",H814,G814)</f>
        <v/>
      </c>
      <c r="J814" s="7" t="inlineStr">
        <is>
          <t>Step 4</t>
        </is>
      </c>
      <c r="K814" s="7" t="n"/>
      <c r="L814" s="7" t="n"/>
      <c r="M814" s="8" t="inlineStr"/>
      <c r="N814" s="8" t="inlineStr"/>
      <c r="O814" s="8" t="inlineStr"/>
      <c r="P814" s="7" t="inlineStr">
        <is>
          <t>M02, P03, P04, P07</t>
        </is>
      </c>
      <c r="Q814" s="7" t="inlineStr"/>
      <c r="R814" s="8" t="inlineStr"/>
      <c r="S814" s="7" t="n"/>
    </row>
    <row r="815">
      <c r="A815" s="9" t="inlineStr">
        <is>
          <t>FT-C-01</t>
        </is>
      </c>
      <c r="B815" s="9" t="n">
        <v>601</v>
      </c>
      <c r="C815" s="9" t="inlineStr">
        <is>
          <t>Feature</t>
        </is>
      </c>
      <c r="D815" s="10" t="inlineStr">
        <is>
          <t xml:space="preserve">    Approval engine (requests, routes, approvers)</t>
        </is>
      </c>
      <c r="E815" s="9" t="inlineStr">
        <is>
          <t>Step 4 · Time and leave</t>
        </is>
      </c>
      <c r="F815" s="9" t="inlineStr">
        <is>
          <t>Approval engine (requests, routes, approvers)</t>
        </is>
      </c>
      <c r="G815" s="9" t="inlineStr">
        <is>
          <t>New</t>
        </is>
      </c>
      <c r="H815" s="9" t="n"/>
      <c r="I815" s="9">
        <f>IF(H815&lt;&gt;"",H815,G815)</f>
        <v/>
      </c>
      <c r="J815" s="9" t="inlineStr">
        <is>
          <t>Step 4-a workflow engine</t>
        </is>
      </c>
      <c r="K815" s="9" t="n"/>
      <c r="L815" s="9" t="n"/>
      <c r="M815" s="10" t="inlineStr"/>
      <c r="N815" s="10" t="inlineStr"/>
      <c r="O815" s="10" t="inlineStr">
        <is>
          <t>YX-WF-01, YX-WF-02, YX-WF-03, YX-WF-04, YX-WF-06, YX-WF-08, YX-WF-12, YX-WF-15, YX-WF-10, YX-WF-07, YX-WF-05, YX-WF-17, YX-WF-14, YX-WF-09, YX-WF-13, YX-WF-16, YX-WF-18, YX-WF-19</t>
        </is>
      </c>
      <c r="P815" s="9" t="inlineStr">
        <is>
          <t>P03</t>
        </is>
      </c>
      <c r="Q815" s="9" t="inlineStr"/>
      <c r="R815" s="10" t="inlineStr"/>
      <c r="S815" s="9" t="n"/>
    </row>
    <row r="816">
      <c r="A816" t="inlineStr">
        <is>
          <t>US-C-001</t>
        </is>
      </c>
      <c r="B816" t="n">
        <v>601</v>
      </c>
      <c r="C816" t="inlineStr">
        <is>
          <t>Story</t>
        </is>
      </c>
      <c r="D816" s="5" t="inlineStr">
        <is>
          <t xml:space="preserve">        Every request type has a route</t>
        </is>
      </c>
      <c r="E816" t="inlineStr">
        <is>
          <t>Step 4 · Time and leave</t>
        </is>
      </c>
      <c r="F816" t="inlineStr">
        <is>
          <t>Approval engine (requests, routes, approvers)</t>
        </is>
      </c>
      <c r="G816" t="inlineStr">
        <is>
          <t>New</t>
        </is>
      </c>
      <c r="I816">
        <f>IF(H816&lt;&gt;"",H816,G816)</f>
        <v/>
      </c>
      <c r="J816" t="inlineStr">
        <is>
          <t>Step 4-a workflow engine</t>
        </is>
      </c>
      <c r="K816" t="n">
        <v>5</v>
      </c>
      <c r="L816" t="n">
        <v>1</v>
      </c>
      <c r="M816" s="5" t="inlineStr">
        <is>
          <t>As an HR admin, I want each request type to have a default approval route so that no request is ever stuck without an approver.</t>
        </is>
      </c>
      <c r="N816" s="5" t="inlineStr">
        <is>
          <t>• Given a new request type is registered, when it has no company policy, then the default policy is used and the request still gets a route (YX-WF-01).
• Given two policies match a request, when it is submitted, then the policy with the higher priority wins and its name is saved on the request (YX-WF-03).
• Given a request was submitted, when HR edits the policy later, then the open request keeps its saved steps and approvers (YX-WF-02).
• Given a request is submitted, when I open it, then I see the matched policy and the approvers for each step.</t>
        </is>
      </c>
      <c r="O816" s="5" t="inlineStr">
        <is>
          <t>YX-WF-01, YX-WF-02, YX-WF-03</t>
        </is>
      </c>
      <c r="P816" t="inlineStr">
        <is>
          <t>P03 §4.1, P03 §4.2</t>
        </is>
      </c>
      <c r="Q816" t="inlineStr"/>
      <c r="R816" s="5" t="inlineStr"/>
    </row>
    <row r="817">
      <c r="A817" t="inlineStr">
        <is>
          <t>US-C-002</t>
        </is>
      </c>
      <c r="B817" t="n">
        <v>602</v>
      </c>
      <c r="C817" t="inlineStr">
        <is>
          <t>Story</t>
        </is>
      </c>
      <c r="D817" s="5" t="inlineStr">
        <is>
          <t xml:space="preserve">        System finds the right approver</t>
        </is>
      </c>
      <c r="E817" t="inlineStr">
        <is>
          <t>Step 4 · Time and leave</t>
        </is>
      </c>
      <c r="F817" t="inlineStr">
        <is>
          <t>Approval engine (requests, routes, approvers)</t>
        </is>
      </c>
      <c r="G817" t="inlineStr">
        <is>
          <t>New</t>
        </is>
      </c>
      <c r="I817">
        <f>IF(H817&lt;&gt;"",H817,G817)</f>
        <v/>
      </c>
      <c r="J817" t="inlineStr">
        <is>
          <t>Step 4-a workflow engine</t>
        </is>
      </c>
      <c r="K817" t="n">
        <v>5</v>
      </c>
      <c r="L817" t="n">
        <v>1</v>
      </c>
      <c r="M817" s="5" t="inlineStr">
        <is>
          <t>As an employee, I want my request to go to the right person automatically so that I do not have to chase anyone.</t>
        </is>
      </c>
      <c r="N817" s="5" t="inlineStr">
        <is>
          <t>• Given I am also the approver at a step, when my request is submitted, then I am removed from that step and the fallback approver is used if the step becomes empty (YX-WF-04).
• Given an approver leaves the company or becomes inactive, when this happens, then their open tasks move to the new approver or fallback and the timeline shows the move (YX-WF-06).
• Given a step uses 'reporting manager' or 'HR admin of location', when the request is submitted, then the approver is found from the employee's current data.</t>
        </is>
      </c>
      <c r="O817" s="5" t="inlineStr">
        <is>
          <t>YX-WF-04, YX-WF-06</t>
        </is>
      </c>
      <c r="P817" t="inlineStr">
        <is>
          <t>P03 §4.3</t>
        </is>
      </c>
      <c r="Q817" t="inlineStr">
        <is>
          <t>US-C-001</t>
        </is>
      </c>
      <c r="R817" s="5" t="inlineStr"/>
    </row>
    <row r="818">
      <c r="A818" t="inlineStr">
        <is>
          <t>US-C-003</t>
        </is>
      </c>
      <c r="B818" t="n">
        <v>603</v>
      </c>
      <c r="C818" t="inlineStr">
        <is>
          <t>Story</t>
        </is>
      </c>
      <c r="D818" s="5" t="inlineStr">
        <is>
          <t xml:space="preserve">        Approver approves, rejects or sends back</t>
        </is>
      </c>
      <c r="E818" t="inlineStr">
        <is>
          <t>Step 4 · Time and leave</t>
        </is>
      </c>
      <c r="F818" t="inlineStr">
        <is>
          <t>Approval engine (requests, routes, approvers)</t>
        </is>
      </c>
      <c r="G818" t="inlineStr">
        <is>
          <t>New</t>
        </is>
      </c>
      <c r="I818">
        <f>IF(H818&lt;&gt;"",H818,G818)</f>
        <v/>
      </c>
      <c r="J818" t="inlineStr">
        <is>
          <t>Step 4-a workflow engine</t>
        </is>
      </c>
      <c r="K818" t="n">
        <v>5</v>
      </c>
      <c r="L818" t="n">
        <v>1</v>
      </c>
      <c r="M818" s="5" t="inlineStr">
        <is>
          <t>As a manager, I want to approve, reject or send back a request with a reason so that the employee knows what to do next.</t>
        </is>
      </c>
      <c r="N818" s="5" t="inlineStr">
        <is>
          <t>• Given I reject or send back a request, when I submit, then a reason is required (YX-WF-08).
• Given the request type allows changes, when I approve with changes, then I must give a reason for each change (YX-WF-08).
• Given any action is taken, when anyone opens the request, then the timeline shows who acted, on behalf of whom, the channel, the reason and the changes (YX-WF-12).
• Given a request was sent back, when the employee resubmits with no change to condition fields, then it resumes at the step that sent it back; if condition fields changed, it restarts at step 1 with a new snapshot (YX-WF-15).</t>
        </is>
      </c>
      <c r="O818" s="5" t="inlineStr">
        <is>
          <t>YX-WF-08, YX-WF-12, YX-WF-15</t>
        </is>
      </c>
      <c r="P818" t="inlineStr">
        <is>
          <t>P03 §4.5</t>
        </is>
      </c>
      <c r="Q818" t="inlineStr">
        <is>
          <t>US-C-002</t>
        </is>
      </c>
      <c r="R818" s="5" t="inlineStr"/>
    </row>
    <row r="819">
      <c r="A819" t="inlineStr">
        <is>
          <t>US-C-004</t>
        </is>
      </c>
      <c r="B819" t="n">
        <v>604</v>
      </c>
      <c r="C819" t="inlineStr">
        <is>
          <t>Story</t>
        </is>
      </c>
      <c r="D819" s="5" t="inlineStr">
        <is>
          <t xml:space="preserve">        Approval effects run exactly once</t>
        </is>
      </c>
      <c r="E819" t="inlineStr">
        <is>
          <t>Step 4 · Time and leave</t>
        </is>
      </c>
      <c r="F819" t="inlineStr">
        <is>
          <t>Approval engine (requests, routes, approvers)</t>
        </is>
      </c>
      <c r="G819" t="inlineStr">
        <is>
          <t>New</t>
        </is>
      </c>
      <c r="I819">
        <f>IF(H819&lt;&gt;"",H819,G819)</f>
        <v/>
      </c>
      <c r="J819" t="inlineStr">
        <is>
          <t>Step 4-a workflow engine</t>
        </is>
      </c>
      <c r="K819" t="n">
        <v>3</v>
      </c>
      <c r="L819" t="n">
        <v>1</v>
      </c>
      <c r="M819" s="5" t="inlineStr">
        <is>
          <t>As an HR admin, I want the result of an approval (for example a leave ledger entry) to happen exactly once so that balances are never doubled or lost.</t>
        </is>
      </c>
      <c r="N819" s="5" t="inlineStr">
        <is>
          <t>• Given the final approval is given, when the effect is a ledger posting, then it is written in the same transaction as the decision (YX-WF-10).
• Given an effect runs as a background job, when the job is retried, then the effect is applied only once (YX-WF-10).
• Given the effect fails, when the job gives up, then HR sees the failed request with the error and can retry it.</t>
        </is>
      </c>
      <c r="O819" s="5" t="inlineStr">
        <is>
          <t>YX-WF-10</t>
        </is>
      </c>
      <c r="P819" t="inlineStr">
        <is>
          <t>P03 §4.5</t>
        </is>
      </c>
      <c r="Q819" t="inlineStr">
        <is>
          <t>US-C-003</t>
        </is>
      </c>
      <c r="R819" s="5" t="inlineStr"/>
    </row>
    <row r="820">
      <c r="A820" t="inlineStr">
        <is>
          <t>US-C-005</t>
        </is>
      </c>
      <c r="B820" t="n">
        <v>605</v>
      </c>
      <c r="C820" t="inlineStr">
        <is>
          <t>Story</t>
        </is>
      </c>
      <c r="D820" s="5" t="inlineStr">
        <is>
          <t xml:space="preserve">        Manager delegates approvals while away</t>
        </is>
      </c>
      <c r="E820" t="inlineStr">
        <is>
          <t>Step 4 · Time and leave</t>
        </is>
      </c>
      <c r="F820" t="inlineStr">
        <is>
          <t>Approval engine (requests, routes, approvers)</t>
        </is>
      </c>
      <c r="G820" t="inlineStr">
        <is>
          <t>New</t>
        </is>
      </c>
      <c r="I820">
        <f>IF(H820&lt;&gt;"",H820,G820)</f>
        <v/>
      </c>
      <c r="J820" t="inlineStr">
        <is>
          <t>Step 4-a workflow engine</t>
        </is>
      </c>
      <c r="K820" t="n">
        <v>3</v>
      </c>
      <c r="L820" t="n">
        <v>1</v>
      </c>
      <c r="M820" s="5" t="inlineStr">
        <is>
          <t>As a manager, I want to name a delegate while I am on leave so that my team's requests are not delayed.</t>
        </is>
      </c>
      <c r="N820" s="5" t="inlineStr">
        <is>
          <t>• Given I set a delegate for some dates, when a request comes to me in that time, then my delegate can act on my behalf and the timeline says so (YX-WF-07).
• Given my delegate has also delegated, when a request arrives, then it does not pass on to a second delegate (YX-WF-07).
• Given my delegate cannot see some fields of the employee, when they open the request, then those fields stay hidden (YX-WF-07).</t>
        </is>
      </c>
      <c r="O820" s="5" t="inlineStr">
        <is>
          <t>YX-WF-07</t>
        </is>
      </c>
      <c r="P820" t="inlineStr">
        <is>
          <t>P03 §4.4</t>
        </is>
      </c>
      <c r="Q820" t="inlineStr">
        <is>
          <t>US-C-003</t>
        </is>
      </c>
      <c r="R820" s="5" t="inlineStr"/>
    </row>
    <row r="821">
      <c r="A821" t="inlineStr">
        <is>
          <t>US-C-006</t>
        </is>
      </c>
      <c r="B821" t="n">
        <v>606</v>
      </c>
      <c r="C821" t="inlineStr">
        <is>
          <t>Story</t>
        </is>
      </c>
      <c r="D821" s="5" t="inlineStr">
        <is>
          <t xml:space="preserve">        Maker and checker are different people</t>
        </is>
      </c>
      <c r="E821" t="inlineStr">
        <is>
          <t>Step 4 · Time and leave</t>
        </is>
      </c>
      <c r="F821" t="inlineStr">
        <is>
          <t>Approval engine (requests, routes, approvers)</t>
        </is>
      </c>
      <c r="G821" t="inlineStr">
        <is>
          <t>New</t>
        </is>
      </c>
      <c r="I821">
        <f>IF(H821&lt;&gt;"",H821,G821)</f>
        <v/>
      </c>
      <c r="J821" t="inlineStr">
        <is>
          <t>Step 4-a workflow engine</t>
        </is>
      </c>
      <c r="K821" t="n">
        <v>3</v>
      </c>
      <c r="L821" t="n">
        <v>1</v>
      </c>
      <c r="M821" s="5" t="inlineStr">
        <is>
          <t>As a payroll admin, I want money-moving requests to need a second person so that one person cannot approve their own work.</t>
        </is>
      </c>
      <c r="N821" s="5" t="inlineStr">
        <is>
          <t>• Given a request type is marked maker ≠ checker (payroll run, bank file, statutory payment), when the maker tries to approve it, then the action is blocked (YX-WF-05).
• Given the company has only one admin user, when the single-user exception is on, then the approval is allowed and recorded as an exception (YX-WF-05).
• Given the same person is approver at two steps, when duplicate auto-approval is on, then it is never applied to the checker step (YX-WF-17).</t>
        </is>
      </c>
      <c r="O821" s="5" t="inlineStr">
        <is>
          <t>YX-WF-05, YX-WF-17</t>
        </is>
      </c>
      <c r="P821" t="inlineStr">
        <is>
          <t>P03 §4.3, P02 YX-SEC-12</t>
        </is>
      </c>
      <c r="Q821" t="inlineStr">
        <is>
          <t>US-C-003</t>
        </is>
      </c>
      <c r="R821" s="5" t="inlineStr"/>
    </row>
    <row r="822">
      <c r="A822" t="inlineStr">
        <is>
          <t>US-C-007</t>
        </is>
      </c>
      <c r="B822" t="n">
        <v>607</v>
      </c>
      <c r="C822" t="inlineStr">
        <is>
          <t>Story</t>
        </is>
      </c>
      <c r="D822" s="5" t="inlineStr">
        <is>
          <t xml:space="preserve">        My approvals queue with the same counts everywhere</t>
        </is>
      </c>
      <c r="E822" t="inlineStr">
        <is>
          <t>Step 4 · Time and leave</t>
        </is>
      </c>
      <c r="F822" t="inlineStr">
        <is>
          <t>Approval engine (requests, routes, approvers)</t>
        </is>
      </c>
      <c r="G822" t="inlineStr">
        <is>
          <t>New</t>
        </is>
      </c>
      <c r="I822">
        <f>IF(H822&lt;&gt;"",H822,G822)</f>
        <v/>
      </c>
      <c r="J822" t="inlineStr">
        <is>
          <t>Step 4-a workflow engine</t>
        </is>
      </c>
      <c r="K822" t="n">
        <v>3</v>
      </c>
      <c r="L822" t="n">
        <v>1</v>
      </c>
      <c r="M822" s="5" t="inlineStr">
        <is>
          <t>As a manager, I want one list of things waiting for me so that I can clear them quickly.</t>
        </is>
      </c>
      <c r="N822" s="5" t="inlineStr">
        <is>
          <t>• Given I have pending tasks, when I open home, the approvals queue, mobile or a dashboard, then the pending count is the same everywhere (YX-WF-14).
• Given I open the queue, when I filter by type or age, then the list and its count update together (YX-WF-14).
• Given I select many leave requests, when I approve them in bulk, then each one is approved and logged separately (YX-WF-12).</t>
        </is>
      </c>
      <c r="O822" s="5" t="inlineStr">
        <is>
          <t>YX-WF-14, YX-WF-12</t>
        </is>
      </c>
      <c r="P822" t="inlineStr">
        <is>
          <t>P03 §7</t>
        </is>
      </c>
      <c r="Q822" t="inlineStr">
        <is>
          <t>US-C-003</t>
        </is>
      </c>
      <c r="R822" s="5" t="inlineStr"/>
    </row>
    <row r="823">
      <c r="A823" t="inlineStr">
        <is>
          <t>US-C-010</t>
        </is>
      </c>
      <c r="B823" t="n">
        <v>608</v>
      </c>
      <c r="C823" t="inlineStr">
        <is>
          <t>Story</t>
        </is>
      </c>
      <c r="D823" s="5" t="inlineStr">
        <is>
          <t xml:space="preserve">        HR edits approval policies safely</t>
        </is>
      </c>
      <c r="E823" t="inlineStr">
        <is>
          <t>Step 4 · Time and leave</t>
        </is>
      </c>
      <c r="F823" t="inlineStr">
        <is>
          <t>Approval engine (requests, routes, approvers)</t>
        </is>
      </c>
      <c r="G823" t="inlineStr">
        <is>
          <t>New</t>
        </is>
      </c>
      <c r="I823">
        <f>IF(H823&lt;&gt;"",H823,G823)</f>
        <v/>
      </c>
      <c r="J823" t="inlineStr">
        <is>
          <t>Step 4-a workflow engine</t>
        </is>
      </c>
      <c r="K823" t="n">
        <v>5</v>
      </c>
      <c r="L823" t="n">
        <v>1</v>
      </c>
      <c r="M823" s="5" t="inlineStr">
        <is>
          <t>As an HR admin, I want to edit approval routes and test them before saving so that I do not break approvals.</t>
        </is>
      </c>
      <c r="N823" s="5" t="inlineStr">
        <is>
          <t>• Given I do not have workflow.policy.manage (and the owner permission for sensitive types), when I open the editor, then I cannot save (YX-WF-16).
• Given I changed a policy, when I press save, then I must run Simulate first (YX-WF-16).
• Given I save, when it succeeds, then a new policy version is created and the change is audited (YX-WF-16, YX-WF-02).</t>
        </is>
      </c>
      <c r="O823" s="5" t="inlineStr">
        <is>
          <t>YX-WF-16, YX-WF-02</t>
        </is>
      </c>
      <c r="P823" t="inlineStr">
        <is>
          <t>P03 §7</t>
        </is>
      </c>
      <c r="Q823" t="inlineStr">
        <is>
          <t>US-C-001</t>
        </is>
      </c>
      <c r="R823" s="5" t="inlineStr"/>
    </row>
    <row r="824">
      <c r="A824" t="inlineStr">
        <is>
          <t>US-C-011</t>
        </is>
      </c>
      <c r="B824" t="n">
        <v>609</v>
      </c>
      <c r="C824" t="inlineStr">
        <is>
          <t>Story</t>
        </is>
      </c>
      <c r="D824" s="5" t="inlineStr">
        <is>
          <t xml:space="preserve">        HR raises a request on behalf of an employee</t>
        </is>
      </c>
      <c r="E824" t="inlineStr">
        <is>
          <t>Step 4 · Time and leave</t>
        </is>
      </c>
      <c r="F824" t="inlineStr">
        <is>
          <t>Approval engine (requests, routes, approvers)</t>
        </is>
      </c>
      <c r="G824" t="inlineStr">
        <is>
          <t>New</t>
        </is>
      </c>
      <c r="I824">
        <f>IF(H824&lt;&gt;"",H824,G824)</f>
        <v/>
      </c>
      <c r="J824" t="inlineStr">
        <is>
          <t>Step 4-a workflow engine</t>
        </is>
      </c>
      <c r="K824" t="n">
        <v>3</v>
      </c>
      <c r="L824" t="n">
        <v>2</v>
      </c>
      <c r="M824" s="5" t="inlineStr">
        <is>
          <t>As an HR admin, I want to raise a leave or attendance request for a worker without a phone so that their time is recorded correctly.</t>
        </is>
      </c>
      <c r="N824" s="5" t="inlineStr">
        <is>
          <t>• Given I hold request.raise_on_behalf, when the request type is enabled for my role, then I can raise it for the employee (YX-WF-18).
• Given I raise it, when policies run, then they use the subject employee's data and the timeline says 'raised by X on behalf of Y' (YX-WF-18).
• Given the request is raised, when it is saved, then the employee is notified and neither I nor the employee can approve it (YX-WF-18, YX-WF-04).</t>
        </is>
      </c>
      <c r="O824" s="5" t="inlineStr">
        <is>
          <t>YX-WF-18, YX-WF-04</t>
        </is>
      </c>
      <c r="P824" t="inlineStr">
        <is>
          <t>P03 §4.1</t>
        </is>
      </c>
      <c r="Q824" t="inlineStr">
        <is>
          <t>US-C-002</t>
        </is>
      </c>
      <c r="R824" s="5" t="inlineStr"/>
    </row>
    <row r="825">
      <c r="A825" t="inlineStr">
        <is>
          <t>US-C-012</t>
        </is>
      </c>
      <c r="B825" t="n">
        <v>610</v>
      </c>
      <c r="C825" t="inlineStr">
        <is>
          <t>Story</t>
        </is>
      </c>
      <c r="D825" s="5" t="inlineStr">
        <is>
          <t xml:space="preserve">        Request access from a permission-denied page</t>
        </is>
      </c>
      <c r="E825" t="inlineStr">
        <is>
          <t>Step 4 · Time and leave</t>
        </is>
      </c>
      <c r="F825" t="inlineStr">
        <is>
          <t>Approval engine (requests, routes, approvers)</t>
        </is>
      </c>
      <c r="G825" t="inlineStr">
        <is>
          <t>New</t>
        </is>
      </c>
      <c r="I825">
        <f>IF(H825&lt;&gt;"",H825,G825)</f>
        <v/>
      </c>
      <c r="J825" t="inlineStr">
        <is>
          <t>Step 4-a workflow engine</t>
        </is>
      </c>
      <c r="K825" t="n">
        <v>2</v>
      </c>
      <c r="L825" t="n">
        <v>2</v>
      </c>
      <c r="M825" s="5" t="inlineStr">
        <is>
          <t>As an employee, I want to ask for access when I see 'permission denied' so that the right admin can give it to me.</t>
        </is>
      </c>
      <c r="N825" s="5" t="inlineStr">
        <is>
          <t>• Given I see the permission-denied state, when I press Request access, then I must give a reason (YX-WF-19).
• Given I submit, when it routes, then it goes to the HR admin in scope of the record owner, then System Admin as fallback (YX-WF-19).
• Given the area is restricted (for example POSH), when I am denied, then the Request access button is not shown (YX-WF-19).</t>
        </is>
      </c>
      <c r="O825" s="5" t="inlineStr">
        <is>
          <t>YX-WF-19</t>
        </is>
      </c>
      <c r="P825" t="inlineStr">
        <is>
          <t>P03 §6, APX-D §6.3</t>
        </is>
      </c>
      <c r="Q825" t="inlineStr">
        <is>
          <t>US-C-002</t>
        </is>
      </c>
      <c r="R825" s="5" t="inlineStr"/>
    </row>
    <row r="826">
      <c r="A826" t="inlineStr">
        <is>
          <t>US-C-009</t>
        </is>
      </c>
      <c r="B826" t="n">
        <v>614</v>
      </c>
      <c r="C826" t="inlineStr">
        <is>
          <t>Story</t>
        </is>
      </c>
      <c r="D826" s="5" t="inlineStr">
        <is>
          <t xml:space="preserve">        Approve from an email or WhatsApp link</t>
        </is>
      </c>
      <c r="E826" t="inlineStr">
        <is>
          <t>Step 4 · Time and leave</t>
        </is>
      </c>
      <c r="F826" t="inlineStr">
        <is>
          <t>Approval engine (requests, routes, approvers)</t>
        </is>
      </c>
      <c r="G826" t="inlineStr">
        <is>
          <t>New</t>
        </is>
      </c>
      <c r="I826">
        <f>IF(H826&lt;&gt;"",H826,G826)</f>
        <v/>
      </c>
      <c r="J826" t="inlineStr">
        <is>
          <t>Step 4-a workflow engine</t>
        </is>
      </c>
      <c r="K826" t="n">
        <v>3</v>
      </c>
      <c r="L826" t="n">
        <v>2</v>
      </c>
      <c r="M826" s="5" t="inlineStr">
        <is>
          <t>As a manager, I want to approve a simple request with one tap from a message so that I do not need to open the app.</t>
        </is>
      </c>
      <c r="N826" s="5" t="inlineStr">
        <is>
          <t>• Given a low-risk request type, when the approval message is sent, then it carries a signed single-use link that expires (default 72 h) (YX-WF-13).
• Given I tap the link, when my permission has changed since the message, then the action is refused (YX-WF-13).
• Given the request type is high risk, when the message is sent, then it has no approve link, only a link to open the app (YX-WF-13).</t>
        </is>
      </c>
      <c r="O826" s="5" t="inlineStr">
        <is>
          <t>YX-WF-13</t>
        </is>
      </c>
      <c r="P826" t="inlineStr">
        <is>
          <t>P03 §4.7</t>
        </is>
      </c>
      <c r="Q826" t="inlineStr">
        <is>
          <t>US-C-003, US-C-015</t>
        </is>
      </c>
      <c r="R826" s="5" t="inlineStr"/>
    </row>
    <row r="827">
      <c r="A827" t="inlineStr">
        <is>
          <t>US-C-008</t>
        </is>
      </c>
      <c r="B827" t="n">
        <v>618</v>
      </c>
      <c r="C827" t="inlineStr">
        <is>
          <t>Story</t>
        </is>
      </c>
      <c r="D827" s="5" t="inlineStr">
        <is>
          <t xml:space="preserve">        Reminders and escalation for slow approvals</t>
        </is>
      </c>
      <c r="E827" t="inlineStr">
        <is>
          <t>Step 4 · Time and leave</t>
        </is>
      </c>
      <c r="F827" t="inlineStr">
        <is>
          <t>Approval engine (requests, routes, approvers)</t>
        </is>
      </c>
      <c r="G827" t="inlineStr">
        <is>
          <t>New</t>
        </is>
      </c>
      <c r="I827">
        <f>IF(H827&lt;&gt;"",H827,G827)</f>
        <v/>
      </c>
      <c r="J827" t="inlineStr">
        <is>
          <t>Step 4-a workflow engine</t>
        </is>
      </c>
      <c r="K827" t="n">
        <v>3</v>
      </c>
      <c r="L827" t="n">
        <v>2</v>
      </c>
      <c r="M827" s="5" t="inlineStr">
        <is>
          <t>As an HR admin, I want reminders and escalation when an approver is slow so that employees get answers on time.</t>
        </is>
      </c>
      <c r="N827" s="5" t="inlineStr">
        <is>
          <t>• Given a step has an SLA of 2 working days, when time is counted, then only working time on the approver's location calendar counts (YX-WF-09).
• Given the SLA is near, when the reminder time comes, then the approver gets a reminder through the notification engine (YX-WF-09).
• Given the SLA is broken, when escalation is set, then the task is escalated as configured; auto-approve happens only for types the company enabled (YX-WF-09).</t>
        </is>
      </c>
      <c r="O827" s="5" t="inlineStr">
        <is>
          <t>YX-WF-09</t>
        </is>
      </c>
      <c r="P827" t="inlineStr">
        <is>
          <t>P03 §4.6</t>
        </is>
      </c>
      <c r="Q827" t="inlineStr">
        <is>
          <t>US-C-003, US-C-013, US-C-018</t>
        </is>
      </c>
      <c r="R827" s="5" t="inlineStr"/>
    </row>
    <row r="828">
      <c r="A828" s="9" t="inlineStr">
        <is>
          <t>FT-C-02</t>
        </is>
      </c>
      <c r="B828" s="9" t="n">
        <v>611</v>
      </c>
      <c r="C828" s="9" t="inlineStr">
        <is>
          <t>Feature</t>
        </is>
      </c>
      <c r="D828" s="10" t="inlineStr">
        <is>
          <t xml:space="preserve">    Notification engine (in-app, push, email, WhatsApp)</t>
        </is>
      </c>
      <c r="E828" s="9" t="inlineStr">
        <is>
          <t>Step 4 · Time and leave</t>
        </is>
      </c>
      <c r="F828" s="9" t="inlineStr">
        <is>
          <t>Notification engine (in-app, push, email, WhatsApp)</t>
        </is>
      </c>
      <c r="G828" s="9" t="inlineStr">
        <is>
          <t>New</t>
        </is>
      </c>
      <c r="H828" s="9" t="n"/>
      <c r="I828" s="9">
        <f>IF(H828&lt;&gt;"",H828,G828)</f>
        <v/>
      </c>
      <c r="J828" s="9" t="inlineStr">
        <is>
          <t>Step 4-a notifications</t>
        </is>
      </c>
      <c r="K828" s="9" t="n"/>
      <c r="L828" s="9" t="n"/>
      <c r="M828" s="10" t="inlineStr"/>
      <c r="N828" s="10" t="inlineStr"/>
      <c r="O828" s="10" t="inlineStr">
        <is>
          <t>YX-NTF-01, YX-NTF-02, YX-NTF-10, YX-NTF-09, YX-NTF-03, YX-NTF-04, YX-NTF-08, YX-NTF-07, YX-NTF-14, YX-NTF-11, YX-NTF-13, YX-NTF-12, YX-NTF-05, YX-NTF-06, YX-NTF-17, YX-NTF-16</t>
        </is>
      </c>
      <c r="P828" s="9" t="inlineStr">
        <is>
          <t>P04</t>
        </is>
      </c>
      <c r="Q828" s="9" t="inlineStr"/>
      <c r="R828" s="10" t="inlineStr"/>
      <c r="S828" s="9" t="n"/>
    </row>
    <row r="829">
      <c r="A829" t="inlineStr">
        <is>
          <t>US-C-013</t>
        </is>
      </c>
      <c r="B829" t="n">
        <v>611</v>
      </c>
      <c r="C829" t="inlineStr">
        <is>
          <t>Story</t>
        </is>
      </c>
      <c r="D829" s="5" t="inlineStr">
        <is>
          <t xml:space="preserve">        Notifications are sent once and never lost</t>
        </is>
      </c>
      <c r="E829" t="inlineStr">
        <is>
          <t>Step 4 · Time and leave</t>
        </is>
      </c>
      <c r="F829" t="inlineStr">
        <is>
          <t>Notification engine (in-app, push, email, WhatsApp)</t>
        </is>
      </c>
      <c r="G829" t="inlineStr">
        <is>
          <t>New</t>
        </is>
      </c>
      <c r="I829">
        <f>IF(H829&lt;&gt;"",H829,G829)</f>
        <v/>
      </c>
      <c r="J829" t="inlineStr">
        <is>
          <t>Step 4-a notifications</t>
        </is>
      </c>
      <c r="K829" t="n">
        <v>5</v>
      </c>
      <c r="L829" t="n">
        <v>1</v>
      </c>
      <c r="M829" s="5" t="inlineStr">
        <is>
          <t>As an employee, I want to get each notification exactly once so that I trust the messages.</t>
        </is>
      </c>
      <c r="N829" s="5" t="inlineStr">
        <is>
          <t>• Given a change is rolled back, when the transaction ends, then no notification is sent (YX-NTF-01).
• Given a change is committed, when the server restarts before sending, then the notification is still sent (YX-NTF-01).
• Given a retry happens, when the same event, person and channel are sent again, then the person gets it only once (YX-NTF-02).
• Given a send fails, when retries run out, then the attempt is logged with status and provider id (YX-NTF-10).</t>
        </is>
      </c>
      <c r="O829" s="5" t="inlineStr">
        <is>
          <t>YX-NTF-01, YX-NTF-02, YX-NTF-10</t>
        </is>
      </c>
      <c r="P829" t="inlineStr">
        <is>
          <t>P04 §4.1</t>
        </is>
      </c>
      <c r="Q829" t="inlineStr"/>
      <c r="R829" s="5" t="inlineStr"/>
    </row>
    <row r="830">
      <c r="A830" t="inlineStr">
        <is>
          <t>US-C-014</t>
        </is>
      </c>
      <c r="B830" t="n">
        <v>612</v>
      </c>
      <c r="C830" t="inlineStr">
        <is>
          <t>Story</t>
        </is>
      </c>
      <c r="D830" s="5" t="inlineStr">
        <is>
          <t xml:space="preserve">        In-app inbox and push notifications</t>
        </is>
      </c>
      <c r="E830" t="inlineStr">
        <is>
          <t>Step 4 · Time and leave</t>
        </is>
      </c>
      <c r="F830" t="inlineStr">
        <is>
          <t>Notification engine (in-app, push, email, WhatsApp)</t>
        </is>
      </c>
      <c r="G830" t="inlineStr">
        <is>
          <t>New</t>
        </is>
      </c>
      <c r="I830">
        <f>IF(H830&lt;&gt;"",H830,G830)</f>
        <v/>
      </c>
      <c r="J830" t="inlineStr">
        <is>
          <t>Step 4-a notifications</t>
        </is>
      </c>
      <c r="K830" t="n">
        <v>5</v>
      </c>
      <c r="L830" t="n">
        <v>1</v>
      </c>
      <c r="M830" s="5" t="inlineStr">
        <is>
          <t>As an employee, I want an inbox in the app and push messages on my phone so that I see what needs my attention.</t>
        </is>
      </c>
      <c r="N830" s="5" t="inlineStr">
        <is>
          <t>• Given 10 leave requests arrive for the same group in a short window, when I open the inbox, then I see one grouped item with a count (YX-NTF-09).
• Given the grouped count, when I open the approvals queue, then the numbers match (YX-NTF-09, YX-WF-14).
• Given I lost access to the subject record before sending, when the notification is sent, then I get nothing (YX-NTF-03).</t>
        </is>
      </c>
      <c r="O830" s="5" t="inlineStr">
        <is>
          <t>YX-NTF-09, YX-NTF-03</t>
        </is>
      </c>
      <c r="P830" t="inlineStr">
        <is>
          <t>P04 §4.2</t>
        </is>
      </c>
      <c r="Q830" t="inlineStr">
        <is>
          <t>US-C-013</t>
        </is>
      </c>
      <c r="R830" s="5" t="inlineStr"/>
    </row>
    <row r="831">
      <c r="A831" t="inlineStr">
        <is>
          <t>US-C-015</t>
        </is>
      </c>
      <c r="B831" t="n">
        <v>613</v>
      </c>
      <c r="C831" t="inlineStr">
        <is>
          <t>Story</t>
        </is>
      </c>
      <c r="D831" s="5" t="inlineStr">
        <is>
          <t xml:space="preserve">        Email channel with editable templates</t>
        </is>
      </c>
      <c r="E831" t="inlineStr">
        <is>
          <t>Step 4 · Time and leave</t>
        </is>
      </c>
      <c r="F831" t="inlineStr">
        <is>
          <t>Notification engine (in-app, push, email, WhatsApp)</t>
        </is>
      </c>
      <c r="G831" t="inlineStr">
        <is>
          <t>New</t>
        </is>
      </c>
      <c r="I831">
        <f>IF(H831&lt;&gt;"",H831,G831)</f>
        <v/>
      </c>
      <c r="J831" t="inlineStr">
        <is>
          <t>Step 4-a notifications</t>
        </is>
      </c>
      <c r="K831" t="n">
        <v>5</v>
      </c>
      <c r="L831" t="n">
        <v>1</v>
      </c>
      <c r="M831" s="5" t="inlineStr">
        <is>
          <t>As an HR admin, I want to edit email and in-app wording with a preview so that messages sound like our company.</t>
        </is>
      </c>
      <c r="N831" s="5" t="inlineStr">
        <is>
          <t>• Given I edit a template, when I insert a variable, then only variables marked external-safe can be used in email (YX-NTF-04).
• Given an employee prefers Tamil, when an email is sent, then it is in Tamil with Indian number and date formats; missing language falls back to company default, then English (YX-NTF-08).
• Given I press test send, when it goes, then I get the preview email; reset to default restores the original wording.</t>
        </is>
      </c>
      <c r="O831" s="5" t="inlineStr">
        <is>
          <t>YX-NTF-04, YX-NTF-08</t>
        </is>
      </c>
      <c r="P831" t="inlineStr">
        <is>
          <t>P04 §4.3</t>
        </is>
      </c>
      <c r="Q831" t="inlineStr">
        <is>
          <t>US-C-013</t>
        </is>
      </c>
      <c r="R831" s="5" t="inlineStr"/>
    </row>
    <row r="832">
      <c r="A832" t="inlineStr">
        <is>
          <t>US-C-016</t>
        </is>
      </c>
      <c r="B832" t="n">
        <v>615</v>
      </c>
      <c r="C832" t="inlineStr">
        <is>
          <t>Story</t>
        </is>
      </c>
      <c r="D832" s="5" t="inlineStr">
        <is>
          <t xml:space="preserve">        WhatsApp channel with approved templates and opt-in</t>
        </is>
      </c>
      <c r="E832" t="inlineStr">
        <is>
          <t>Step 4 · Time and leave</t>
        </is>
      </c>
      <c r="F832" t="inlineStr">
        <is>
          <t>Notification engine (in-app, push, email, WhatsApp)</t>
        </is>
      </c>
      <c r="G832" t="inlineStr">
        <is>
          <t>New</t>
        </is>
      </c>
      <c r="I832">
        <f>IF(H832&lt;&gt;"",H832,G832)</f>
        <v/>
      </c>
      <c r="J832" t="inlineStr">
        <is>
          <t>Step 4-a notifications</t>
        </is>
      </c>
      <c r="K832" t="n">
        <v>5</v>
      </c>
      <c r="L832" t="n">
        <v>2</v>
      </c>
      <c r="M832" s="5" t="inlineStr">
        <is>
          <t>As an HR admin, I want to connect our WhatsApp business number so that workers get key updates where they read them.</t>
        </is>
      </c>
      <c r="N832" s="5" t="inlineStr">
        <is>
          <t>• Given an employee has no active WhatsApp opt-in, when a WhatsApp message is due, then it goes by in-app, push or email instead and the fallback is logged (YX-NTF-14).
• Given a business-initiated message, when no approved template exists, then it falls back to another channel and logs why (YX-NTF-07).
• Given a number blocks us, when the block is reported, then we stop using that number until it changes (YX-NTF-11).
• Given an OTP over WhatsApp, when it is sent, then it ignores quiet hours and grouping; WhatsApp message counts are logged for the company (YX-NTF-13, YX-NTF-12).</t>
        </is>
      </c>
      <c r="O832" s="5" t="inlineStr">
        <is>
          <t>YX-NTF-07, YX-NTF-14, YX-NTF-11, YX-NTF-13, YX-NTF-12</t>
        </is>
      </c>
      <c r="P832" t="inlineStr">
        <is>
          <t>P04 §4.4</t>
        </is>
      </c>
      <c r="Q832" t="inlineStr">
        <is>
          <t>US-C-013</t>
        </is>
      </c>
      <c r="R832" s="5" t="inlineStr"/>
    </row>
    <row r="833">
      <c r="A833" t="inlineStr">
        <is>
          <t>US-C-017</t>
        </is>
      </c>
      <c r="B833" t="n">
        <v>616</v>
      </c>
      <c r="C833" t="inlineStr">
        <is>
          <t>Story</t>
        </is>
      </c>
      <c r="D833" s="5" t="inlineStr">
        <is>
          <t xml:space="preserve">        Notification preferences and quiet hours</t>
        </is>
      </c>
      <c r="E833" t="inlineStr">
        <is>
          <t>Step 4 · Time and leave</t>
        </is>
      </c>
      <c r="F833" t="inlineStr">
        <is>
          <t>Notification engine (in-app, push, email, WhatsApp)</t>
        </is>
      </c>
      <c r="G833" t="inlineStr">
        <is>
          <t>New</t>
        </is>
      </c>
      <c r="I833">
        <f>IF(H833&lt;&gt;"",H833,G833)</f>
        <v/>
      </c>
      <c r="J833" t="inlineStr">
        <is>
          <t>Step 4-a notifications</t>
        </is>
      </c>
      <c r="K833" t="n">
        <v>3</v>
      </c>
      <c r="L833" t="n">
        <v>1</v>
      </c>
      <c r="M833" s="5" t="inlineStr">
        <is>
          <t>As an employee, I want to choose my channels and quiet hours so that I am not disturbed at night.</t>
        </is>
      </c>
      <c r="N833" s="5" t="inlineStr">
        <is>
          <t>• Given a type is mandatory, when I open preferences, then I cannot turn it off (YX-NTF-05).
• Given my preference, company policy and default differ, when a message is sent, then my preference wins, then company policy, then default (YX-NTF-05).
• Given quiet hours 9 pm–8 am in my time zone, when a non-urgent push, WhatsApp or SMS is due, then it waits until 8 am; in-app is not delayed (YX-NTF-06).</t>
        </is>
      </c>
      <c r="O833" s="5" t="inlineStr">
        <is>
          <t>YX-NTF-05, YX-NTF-06</t>
        </is>
      </c>
      <c r="P833" t="inlineStr">
        <is>
          <t>P04 §4.7</t>
        </is>
      </c>
      <c r="Q833" t="inlineStr">
        <is>
          <t>US-C-014</t>
        </is>
      </c>
      <c r="R833" s="5" t="inlineStr"/>
    </row>
    <row r="834">
      <c r="A834" t="inlineStr">
        <is>
          <t>US-C-018</t>
        </is>
      </c>
      <c r="B834" t="n">
        <v>617</v>
      </c>
      <c r="C834" t="inlineStr">
        <is>
          <t>Story</t>
        </is>
      </c>
      <c r="D834" s="5" t="inlineStr">
        <is>
          <t xml:space="preserve">        Scheduler for time-based reminders</t>
        </is>
      </c>
      <c r="E834" t="inlineStr">
        <is>
          <t>Step 4 · Time and leave</t>
        </is>
      </c>
      <c r="F834" t="inlineStr">
        <is>
          <t>Notification engine (in-app, push, email, WhatsApp)</t>
        </is>
      </c>
      <c r="G834" t="inlineStr">
        <is>
          <t>New</t>
        </is>
      </c>
      <c r="I834">
        <f>IF(H834&lt;&gt;"",H834,G834)</f>
        <v/>
      </c>
      <c r="J834" t="inlineStr">
        <is>
          <t>Step 4-a notifications</t>
        </is>
      </c>
      <c r="K834" t="n">
        <v>3</v>
      </c>
      <c r="L834" t="n">
        <v>1</v>
      </c>
      <c r="M834" s="5" t="inlineStr">
        <is>
          <t>As an HR admin, I want reminders sent at the right time (check-in, expiry, due dates) so that people act before it is late.</t>
        </is>
      </c>
      <c r="N834" s="5" t="inlineStr">
        <is>
          <t>• Given a scheduled reminder (for example comp-off expiry in 7 days), when the time comes, then the event is raised once through the outbox (YX-NTF-01, YX-NTF-02).
• Given the subject is already resolved, when the reminder time comes, then no reminder is sent.
• Given the scheduler was down, when it restarts, then missed reminders are sent once, not twice (YX-NTF-02).</t>
        </is>
      </c>
      <c r="O834" s="5" t="inlineStr">
        <is>
          <t>YX-NTF-01, YX-NTF-02</t>
        </is>
      </c>
      <c r="P834" t="inlineStr">
        <is>
          <t>P04 §4.6</t>
        </is>
      </c>
      <c r="Q834" t="inlineStr">
        <is>
          <t>US-C-013</t>
        </is>
      </c>
      <c r="R834" s="5" t="inlineStr"/>
    </row>
    <row r="835">
      <c r="A835" t="inlineStr">
        <is>
          <t>US-C-019</t>
        </is>
      </c>
      <c r="B835" t="n">
        <v>619</v>
      </c>
      <c r="C835" t="inlineStr">
        <is>
          <t>Story</t>
        </is>
      </c>
      <c r="D835" s="5" t="inlineStr">
        <is>
          <t xml:space="preserve">        Admin delivery log and channel status</t>
        </is>
      </c>
      <c r="E835" t="inlineStr">
        <is>
          <t>Step 4 · Time and leave</t>
        </is>
      </c>
      <c r="F835" t="inlineStr">
        <is>
          <t>Notification engine (in-app, push, email, WhatsApp)</t>
        </is>
      </c>
      <c r="G835" t="inlineStr">
        <is>
          <t>New</t>
        </is>
      </c>
      <c r="I835">
        <f>IF(H835&lt;&gt;"",H835,G835)</f>
        <v/>
      </c>
      <c r="J835" t="inlineStr">
        <is>
          <t>Step 4-a notifications</t>
        </is>
      </c>
      <c r="K835" t="n">
        <v>3</v>
      </c>
      <c r="L835" t="n">
        <v>2</v>
      </c>
      <c r="M835" s="5" t="inlineStr">
        <is>
          <t>As a system admin, I want to see failed deliveries and bounced addresses so that I can fix contact details.</t>
        </is>
      </c>
      <c r="N835" s="5" t="inlineStr">
        <is>
          <t>• Given a delivery failed after retries, when I open the delivery log, then I see recipient, channel, status, provider id and error (YX-NTF-10).
• Given an email bounced, when it is reported, then the address is marked bad and not used until it changes (YX-NTF-11).
• Given I filter by channel and date, when I search, then the log shows only matching attempts.</t>
        </is>
      </c>
      <c r="O835" s="5" t="inlineStr">
        <is>
          <t>YX-NTF-10, YX-NTF-11</t>
        </is>
      </c>
      <c r="P835" t="inlineStr">
        <is>
          <t>P04 §7</t>
        </is>
      </c>
      <c r="Q835" t="inlineStr">
        <is>
          <t>US-C-013</t>
        </is>
      </c>
      <c r="R835" s="5" t="inlineStr"/>
    </row>
    <row r="836">
      <c r="A836" t="inlineStr">
        <is>
          <t>US-C-020</t>
        </is>
      </c>
      <c r="B836" t="n">
        <v>620</v>
      </c>
      <c r="C836" t="inlineStr">
        <is>
          <t>Story</t>
        </is>
      </c>
      <c r="D836" s="5" t="inlineStr">
        <is>
          <t xml:space="preserve">        All screen text comes from the message catalogue</t>
        </is>
      </c>
      <c r="E836" t="inlineStr">
        <is>
          <t>Step 4 · Time and leave</t>
        </is>
      </c>
      <c r="F836" t="inlineStr">
        <is>
          <t>Notification engine (in-app, push, email, WhatsApp)</t>
        </is>
      </c>
      <c r="G836" t="inlineStr">
        <is>
          <t>New</t>
        </is>
      </c>
      <c r="I836">
        <f>IF(H836&lt;&gt;"",H836,G836)</f>
        <v/>
      </c>
      <c r="J836" t="inlineStr">
        <is>
          <t>Step 4-a notifications</t>
        </is>
      </c>
      <c r="K836" t="n">
        <v>5</v>
      </c>
      <c r="L836" t="n">
        <v>2</v>
      </c>
      <c r="M836" s="5" t="inlineStr">
        <is>
          <t>As an employee, I want the app in Hindi, Tamil or Telugu so that I understand every screen.</t>
        </is>
      </c>
      <c r="N836" s="5" t="inlineStr">
        <is>
          <t>• Given a developer adds hard-coded screen text, when CI runs, then the build fails (YX-NTF-17).
• Given an employee screen, when I pick Telugu, then all strings show in Telugu; a missing string falls back to company default, then English (YX-NTF-17).
• Given an admin screen, when I pick Hindi, then it may stay in English (admin screens English first) (YX-NTF-17).</t>
        </is>
      </c>
      <c r="O836" s="5" t="inlineStr">
        <is>
          <t>YX-NTF-17</t>
        </is>
      </c>
      <c r="P836" t="inlineStr">
        <is>
          <t>P04 §4.10</t>
        </is>
      </c>
      <c r="Q836" t="inlineStr"/>
      <c r="R836" s="5" t="inlineStr"/>
    </row>
    <row r="837">
      <c r="A837" t="inlineStr">
        <is>
          <t>US-C-021</t>
        </is>
      </c>
      <c r="B837" t="n">
        <v>621</v>
      </c>
      <c r="C837" t="inlineStr">
        <is>
          <t>Story</t>
        </is>
      </c>
      <c r="D837" s="5" t="inlineStr">
        <is>
          <t xml:space="preserve">        Slack and Teams notifications and approvals</t>
        </is>
      </c>
      <c r="E837" t="inlineStr">
        <is>
          <t>Step 4 · Time and leave</t>
        </is>
      </c>
      <c r="F837" t="inlineStr">
        <is>
          <t>Notification engine (in-app, push, email, WhatsApp)</t>
        </is>
      </c>
      <c r="G837" t="inlineStr">
        <is>
          <t>New</t>
        </is>
      </c>
      <c r="I837">
        <f>IF(H837&lt;&gt;"",H837,G837)</f>
        <v/>
      </c>
      <c r="J837" t="inlineStr">
        <is>
          <t>Step 4-e later waves</t>
        </is>
      </c>
      <c r="K837" t="n">
        <v>5</v>
      </c>
      <c r="L837" t="n">
        <v>3</v>
      </c>
      <c r="M837" s="5" t="inlineStr">
        <is>
          <t>As a manager, I want to see and approve simple requests in Slack or Teams so that I do not switch apps.</t>
        </is>
      </c>
      <c r="N837" s="5" t="inlineStr">
        <is>
          <t>• Given my Slack account is not linked by SSO, when an event happens, then I get no personal data in Slack (YX-NTF-16).
• Given a request type is marked chat-safe, when I press approve in Teams, then P03 permissions and self-approval are checked again at the click (YX-NTF-16, YX-WF-04).
• Given the type is not chat-safe, when the card shows, then it only has an 'Open in YukthiX' link (YX-NTF-16).</t>
        </is>
      </c>
      <c r="O837" s="5" t="inlineStr">
        <is>
          <t>YX-NTF-16</t>
        </is>
      </c>
      <c r="P837" t="inlineStr">
        <is>
          <t>P04 §4.9</t>
        </is>
      </c>
      <c r="Q837" t="inlineStr">
        <is>
          <t>US-C-003, US-C-013</t>
        </is>
      </c>
      <c r="R837" s="5" t="inlineStr"/>
    </row>
    <row r="838">
      <c r="A838" s="9" t="inlineStr">
        <is>
          <t>FT-C-03</t>
        </is>
      </c>
      <c r="B838" s="9" t="n">
        <v>622</v>
      </c>
      <c r="C838" s="9" t="inlineStr">
        <is>
          <t>Feature</t>
        </is>
      </c>
      <c r="D838" s="10" t="inlineStr">
        <is>
          <t xml:space="preserve">    Statutory rule packs engine</t>
        </is>
      </c>
      <c r="E838" s="9" t="inlineStr">
        <is>
          <t>Step 4 · Time and leave</t>
        </is>
      </c>
      <c r="F838" s="9" t="inlineStr">
        <is>
          <t>Statutory rule packs engine</t>
        </is>
      </c>
      <c r="G838" s="9" t="inlineStr">
        <is>
          <t>New</t>
        </is>
      </c>
      <c r="H838" s="9" t="n"/>
      <c r="I838" s="9">
        <f>IF(H838&lt;&gt;"",H838,G838)</f>
        <v/>
      </c>
      <c r="J838" s="9" t="inlineStr">
        <is>
          <t>Step 4-a rule packs</t>
        </is>
      </c>
      <c r="K838" s="9" t="n"/>
      <c r="L838" s="9" t="n"/>
      <c r="M838" s="10" t="inlineStr"/>
      <c r="N838" s="10" t="inlineStr"/>
      <c r="O838" s="10" t="inlineStr">
        <is>
          <t>YX-STAT-01, YX-STAT-02, YX-STAT-10, YX-STAT-05, YX-STAT-20, YX-STAT-03, YX-STAT-04, YX-STAT-06, YX-STAT-13, YX-STAT-08, YX-STAT-12, YX-STAT-23</t>
        </is>
      </c>
      <c r="P838" s="9" t="inlineStr">
        <is>
          <t>P07</t>
        </is>
      </c>
      <c r="Q838" s="9" t="inlineStr"/>
      <c r="R838" s="10" t="inlineStr"/>
      <c r="S838" s="9" t="n"/>
    </row>
    <row r="839">
      <c r="A839" t="inlineStr">
        <is>
          <t>US-C-022</t>
        </is>
      </c>
      <c r="B839" t="n">
        <v>622</v>
      </c>
      <c r="C839" t="inlineStr">
        <is>
          <t>Story</t>
        </is>
      </c>
      <c r="D839" s="5" t="inlineStr">
        <is>
          <t xml:space="preserve">        Statutory rules stored as dated, versioned data</t>
        </is>
      </c>
      <c r="E839" t="inlineStr">
        <is>
          <t>Step 4 · Time and leave</t>
        </is>
      </c>
      <c r="F839" t="inlineStr">
        <is>
          <t>Statutory rule packs engine</t>
        </is>
      </c>
      <c r="G839" t="inlineStr">
        <is>
          <t>New</t>
        </is>
      </c>
      <c r="I839">
        <f>IF(H839&lt;&gt;"",H839,G839)</f>
        <v/>
      </c>
      <c r="J839" t="inlineStr">
        <is>
          <t>Step 4-a rule packs</t>
        </is>
      </c>
      <c r="K839" t="n">
        <v>5</v>
      </c>
      <c r="L839" t="n">
        <v>1</v>
      </c>
      <c r="M839" s="5" t="inlineStr">
        <is>
          <t>As a payroll admin, I want every legal rate and limit to come from dated rule data so that the system follows the law on each date.</t>
        </is>
      </c>
      <c r="N839" s="5" t="inlineStr">
        <is>
          <t>• Given any statutory rate, slab, ceiling, due date or list, when code needs it, then it reads a published rule set, never a hard-coded value (YX-STAT-01).
• Given a rule set is published, when someone tries to edit it, then it is refused; only a new version can supersede or withdraw it (YX-STAT-02).
• Given the statutory schema, when the app's tenant role tries to write to it, then the write fails; it is read-only and has no tenant key (YX-STAT-10).</t>
        </is>
      </c>
      <c r="O839" s="5" t="inlineStr">
        <is>
          <t>YX-STAT-01, YX-STAT-02, YX-STAT-10</t>
        </is>
      </c>
      <c r="P839" t="inlineStr">
        <is>
          <t>P07 §4.1</t>
        </is>
      </c>
      <c r="Q839" t="inlineStr"/>
      <c r="R839" s="5" t="inlineStr"/>
    </row>
    <row r="840">
      <c r="A840" t="inlineStr">
        <is>
          <t>US-C-023</t>
        </is>
      </c>
      <c r="B840" t="n">
        <v>623</v>
      </c>
      <c r="C840" t="inlineStr">
        <is>
          <t>Story</t>
        </is>
      </c>
      <c r="D840" s="5" t="inlineStr">
        <is>
          <t xml:space="preserve">        Rules evaluated for the period date</t>
        </is>
      </c>
      <c r="E840" t="inlineStr">
        <is>
          <t>Step 4 · Time and leave</t>
        </is>
      </c>
      <c r="F840" t="inlineStr">
        <is>
          <t>Statutory rule packs engine</t>
        </is>
      </c>
      <c r="G840" t="inlineStr">
        <is>
          <t>New</t>
        </is>
      </c>
      <c r="I840">
        <f>IF(H840&lt;&gt;"",H840,G840)</f>
        <v/>
      </c>
      <c r="J840" t="inlineStr">
        <is>
          <t>Step 4-a rule packs</t>
        </is>
      </c>
      <c r="K840" t="n">
        <v>5</v>
      </c>
      <c r="L840" t="n">
        <v>1</v>
      </c>
      <c r="M840" s="5" t="inlineStr">
        <is>
          <t>As a payroll admin, I want calculations to use the rule valid on the period date so that old and new law are never mixed.</t>
        </is>
      </c>
      <c r="N840" s="5" t="inlineStr">
        <is>
          <t>• Given a calculation for a period, when it asks the evaluator, then the rule set valid on that period date is used and its version is stored with the result (YX-STAT-05).
• Given a period that ends before 21 Nov 2025, when evaluated, then the old Acts are used; a period straddling that date is split into two segments (YX-STAT-20).
• Given the same input and date, when evaluated twice, then the result is the same.</t>
        </is>
      </c>
      <c r="O840" s="5" t="inlineStr">
        <is>
          <t>YX-STAT-05, YX-STAT-20</t>
        </is>
      </c>
      <c r="P840" t="inlineStr">
        <is>
          <t>P07 §4.2, P07 §4.7</t>
        </is>
      </c>
      <c r="Q840" t="inlineStr">
        <is>
          <t>US-C-022</t>
        </is>
      </c>
      <c r="R840" s="5" t="inlineStr"/>
    </row>
    <row r="841">
      <c r="A841" t="inlineStr">
        <is>
          <t>US-C-024</t>
        </is>
      </c>
      <c r="B841" t="n">
        <v>624</v>
      </c>
      <c r="C841" t="inlineStr">
        <is>
          <t>Story</t>
        </is>
      </c>
      <c r="D841" s="5" t="inlineStr">
        <is>
          <t xml:space="preserve">        YukthiX team publishes a rule change with review</t>
        </is>
      </c>
      <c r="E841" t="inlineStr">
        <is>
          <t>Step 4 · Time and leave</t>
        </is>
      </c>
      <c r="F841" t="inlineStr">
        <is>
          <t>Statutory rule packs engine</t>
        </is>
      </c>
      <c r="G841" t="inlineStr">
        <is>
          <t>New</t>
        </is>
      </c>
      <c r="I841">
        <f>IF(H841&lt;&gt;"",H841,G841)</f>
        <v/>
      </c>
      <c r="J841" t="inlineStr">
        <is>
          <t>Step 4-a rule packs</t>
        </is>
      </c>
      <c r="K841" t="n">
        <v>5</v>
      </c>
      <c r="L841" t="n">
        <v>1</v>
      </c>
      <c r="M841" s="5" t="inlineStr">
        <is>
          <t>As a YukthiX compliance editor, I want to publish rule changes with source, tests and a second review so that wrong rules never reach customers.</t>
        </is>
      </c>
      <c r="N841" s="5" t="inlineStr">
        <is>
          <t>• Given a new rule set version, when I try to publish, then it must cite its legal source with a stored copy (YX-STAT-03).
• Given shape validation or a golden test case fails, when I publish, then publishing is blocked (YX-STAT-04).
• Given all checks pass, when I publish, then a second person must review and approve it (YX-STAT-04).</t>
        </is>
      </c>
      <c r="O841" s="5" t="inlineStr">
        <is>
          <t>YX-STAT-03, YX-STAT-04</t>
        </is>
      </c>
      <c r="P841" t="inlineStr">
        <is>
          <t>P07 §4.3</t>
        </is>
      </c>
      <c r="Q841" t="inlineStr">
        <is>
          <t>US-C-022</t>
        </is>
      </c>
      <c r="R841" s="5" t="inlineStr"/>
    </row>
    <row r="842">
      <c r="A842" t="inlineStr">
        <is>
          <t>US-C-025</t>
        </is>
      </c>
      <c r="B842" t="n">
        <v>625</v>
      </c>
      <c r="C842" t="inlineStr">
        <is>
          <t>Story</t>
        </is>
      </c>
      <c r="D842" s="5" t="inlineStr">
        <is>
          <t xml:space="preserve">        Company sees its rules and picks legal options</t>
        </is>
      </c>
      <c r="E842" t="inlineStr">
        <is>
          <t>Step 4 · Time and leave</t>
        </is>
      </c>
      <c r="F842" t="inlineStr">
        <is>
          <t>Statutory rule packs engine</t>
        </is>
      </c>
      <c r="G842" t="inlineStr">
        <is>
          <t>New</t>
        </is>
      </c>
      <c r="I842">
        <f>IF(H842&lt;&gt;"",H842,G842)</f>
        <v/>
      </c>
      <c r="J842" t="inlineStr">
        <is>
          <t>Step 4-a rule packs</t>
        </is>
      </c>
      <c r="K842" t="n">
        <v>3</v>
      </c>
      <c r="L842" t="n">
        <v>1</v>
      </c>
      <c r="M842" s="5" t="inlineStr">
        <is>
          <t>As an HR admin, I want to see which rules apply to my entities and choose only the options the law allows so that we stay compliant.</t>
        </is>
      </c>
      <c r="N842" s="5" t="inlineStr">
        <is>
          <t>• Given a statutory rate, when I open the tenant view, then I cannot change it (YX-STAT-06).
• Given a legal option (for example PF on actual wage), when I choose it for an entity, then it is saved with an effective date (YX-STAT-06).
• Given a new employee of a given employment type, when defaults are applied, then PF, ESI, PT, LWF, bonus and gratuity applicability come from the rule set; an override is allowed only where it is marked a legal option (YX-STAT-13).</t>
        </is>
      </c>
      <c r="O842" s="5" t="inlineStr">
        <is>
          <t>YX-STAT-06, YX-STAT-13</t>
        </is>
      </c>
      <c r="P842" t="inlineStr">
        <is>
          <t>P07 §4.4</t>
        </is>
      </c>
      <c r="Q842" t="inlineStr">
        <is>
          <t>US-C-023</t>
        </is>
      </c>
      <c r="R842" s="5" t="inlineStr"/>
    </row>
    <row r="843">
      <c r="A843" t="inlineStr">
        <is>
          <t>US-C-026</t>
        </is>
      </c>
      <c r="B843" t="n">
        <v>626</v>
      </c>
      <c r="C843" t="inlineStr">
        <is>
          <t>Story</t>
        </is>
      </c>
      <c r="D843" s="5" t="inlineStr">
        <is>
          <t xml:space="preserve">        Admins are told about rule changes</t>
        </is>
      </c>
      <c r="E843" t="inlineStr">
        <is>
          <t>Step 4 · Time and leave</t>
        </is>
      </c>
      <c r="F843" t="inlineStr">
        <is>
          <t>Statutory rule packs engine</t>
        </is>
      </c>
      <c r="G843" t="inlineStr">
        <is>
          <t>New</t>
        </is>
      </c>
      <c r="I843">
        <f>IF(H843&lt;&gt;"",H843,G843)</f>
        <v/>
      </c>
      <c r="J843" t="inlineStr">
        <is>
          <t>Step 4-a rule packs</t>
        </is>
      </c>
      <c r="K843" t="n">
        <v>3</v>
      </c>
      <c r="L843" t="n">
        <v>2</v>
      </c>
      <c r="M843" s="5" t="inlineStr">
        <is>
          <t>As a payroll admin, I want a plain message when a rule changes that affects my company so that I can prepare.</t>
        </is>
      </c>
      <c r="N843" s="5" t="inlineStr">
        <is>
          <t>• Given a rule change is published, when it affects my entities, then I get an in-app and email message with a plain summary and impact count (YX-STAT-08).
• Given the effective date is near, when the reminder time comes, then I get a reminder (YX-STAT-08).
• Given the banner, when I view it, then it shows only to admins of affected entities, from publication to effective date + 7 days, and I can dismiss it (YX-STAT-12).</t>
        </is>
      </c>
      <c r="O843" s="5" t="inlineStr">
        <is>
          <t>YX-STAT-08, YX-STAT-12</t>
        </is>
      </c>
      <c r="P843" t="inlineStr">
        <is>
          <t>P07 §4.4</t>
        </is>
      </c>
      <c r="Q843" t="inlineStr">
        <is>
          <t>US-C-024, US-C-015</t>
        </is>
      </c>
      <c r="R843" s="5" t="inlineStr"/>
    </row>
    <row r="844">
      <c r="A844" t="inlineStr">
        <is>
          <t>US-C-027</t>
        </is>
      </c>
      <c r="B844" t="n">
        <v>627</v>
      </c>
      <c r="C844" t="inlineStr">
        <is>
          <t>Story</t>
        </is>
      </c>
      <c r="D844" s="5" t="inlineStr">
        <is>
          <t xml:space="preserve">        Load the time and leave rule packs</t>
        </is>
      </c>
      <c r="E844" t="inlineStr">
        <is>
          <t>Step 4 · Time and leave</t>
        </is>
      </c>
      <c r="F844" t="inlineStr">
        <is>
          <t>Statutory rule packs engine</t>
        </is>
      </c>
      <c r="G844" t="inlineStr">
        <is>
          <t>New</t>
        </is>
      </c>
      <c r="I844">
        <f>IF(H844&lt;&gt;"",H844,G844)</f>
        <v/>
      </c>
      <c r="J844" t="inlineStr">
        <is>
          <t>Step 4-a rule packs</t>
        </is>
      </c>
      <c r="K844" t="n">
        <v>5</v>
      </c>
      <c r="L844" t="n">
        <v>1</v>
      </c>
      <c r="M844" s="5" t="inlineStr">
        <is>
          <t>As an HR admin, I want leave, holiday, overtime and working-hour laws loaded so that leave and attendance follow each state's rules.</t>
        </is>
      </c>
      <c r="N844" s="5" t="inlineStr">
        <is>
          <t>• Given IN.LEAVE, IN.OSH and state S&amp;E rule sets, when they are loaded, then maternity values, OT caps, minimum rest, working-hour limits and night windows come from them (YX-STAT-01, YX-STAT-23).
• Given each rule set, when it is loaded, then it has golden test cases and a cited source (YX-STAT-03, YX-STAT-04).
• Given a location's state, when the attendance engine asks for the OT cap, then it gets the value valid on that date (YX-STAT-05).</t>
        </is>
      </c>
      <c r="O844" s="5" t="inlineStr">
        <is>
          <t>YX-STAT-01, YX-STAT-23, YX-STAT-03, YX-STAT-04, YX-STAT-05</t>
        </is>
      </c>
      <c r="P844" t="inlineStr">
        <is>
          <t>P07 §8</t>
        </is>
      </c>
      <c r="Q844" t="inlineStr">
        <is>
          <t>US-C-023, US-C-024</t>
        </is>
      </c>
      <c r="R844" s="5" t="inlineStr"/>
    </row>
    <row r="845">
      <c r="A845" s="9" t="inlineStr">
        <is>
          <t>FT-C-04</t>
        </is>
      </c>
      <c r="B845" s="9" t="n">
        <v>628</v>
      </c>
      <c r="C845" s="9" t="inlineStr">
        <is>
          <t>Feature</t>
        </is>
      </c>
      <c r="D845" s="10" t="inlineStr">
        <is>
          <t xml:space="preserve">    Document storage, verification and e-sign</t>
        </is>
      </c>
      <c r="E845" s="9" t="inlineStr">
        <is>
          <t>Step 4 · Time and leave</t>
        </is>
      </c>
      <c r="F845" s="9" t="inlineStr">
        <is>
          <t>Document storage, verification and e-sign</t>
        </is>
      </c>
      <c r="G845" s="9" t="inlineStr">
        <is>
          <t>New</t>
        </is>
      </c>
      <c r="H845" s="9" t="n"/>
      <c r="I845" s="9">
        <f>IF(H845&lt;&gt;"",H845,G845)</f>
        <v/>
      </c>
      <c r="J845" s="9" t="inlineStr">
        <is>
          <t>Step 4-a documents</t>
        </is>
      </c>
      <c r="K845" s="9" t="n"/>
      <c r="L845" s="9" t="n"/>
      <c r="M845" s="10" t="inlineStr"/>
      <c r="N845" s="10" t="inlineStr"/>
      <c r="O845" s="10" t="inlineStr">
        <is>
          <t>YX-DOC-01, YX-DOC-02, YX-DOC-03, YX-DOC-17, YX-DOC-04, YX-DOC-05, YX-DOC-06, YX-DOC-12</t>
        </is>
      </c>
      <c r="P845" s="9" t="inlineStr">
        <is>
          <t>P05</t>
        </is>
      </c>
      <c r="Q845" s="9" t="inlineStr"/>
      <c r="R845" s="10" t="inlineStr"/>
      <c r="S845" s="9" t="n"/>
    </row>
    <row r="846">
      <c r="A846" t="inlineStr">
        <is>
          <t>US-C-028</t>
        </is>
      </c>
      <c r="B846" t="n">
        <v>628</v>
      </c>
      <c r="C846" t="inlineStr">
        <is>
          <t>Story</t>
        </is>
      </c>
      <c r="D846" s="5" t="inlineStr">
        <is>
          <t xml:space="preserve">        Private document storage with verification</t>
        </is>
      </c>
      <c r="E846" t="inlineStr">
        <is>
          <t>Step 4 · Time and leave</t>
        </is>
      </c>
      <c r="F846" t="inlineStr">
        <is>
          <t>Document storage, verification and e-sign</t>
        </is>
      </c>
      <c r="G846" t="inlineStr">
        <is>
          <t>New</t>
        </is>
      </c>
      <c r="I846">
        <f>IF(H846&lt;&gt;"",H846,G846)</f>
        <v/>
      </c>
      <c r="J846" t="inlineStr">
        <is>
          <t>Step 4-a documents</t>
        </is>
      </c>
      <c r="K846" t="n">
        <v>5</v>
      </c>
      <c r="L846" t="n">
        <v>1</v>
      </c>
      <c r="M846" s="5" t="inlineStr">
        <is>
          <t>As an HR admin, I want employee documents stored safely and verified so that payroll only uses checked PAN and bank proofs.</t>
        </is>
      </c>
      <c r="N846" s="5" t="inlineStr">
        <is>
          <t>• Given a file, when someone opens it, then access is by a short-lived signed link after a permission check; Confidential / Special downloads are audited (YX-DOC-01).
• Given an upload, when the type or size is wrong or the virus scan fails, then it is quarantined and the uploader is told why (YX-DOC-02).
• Given storage, when a file is saved, then it is in the tenant's region, under a tenant prefix, encrypted (YX-DOC-03).
• Given a PAN or bank proof, when not yet verified, then payroll and filings do not use it; a successful penny-drop or PAN check marks it verified (YX-DOC-17).</t>
        </is>
      </c>
      <c r="O846" s="5" t="inlineStr">
        <is>
          <t>YX-DOC-01, YX-DOC-02, YX-DOC-03, YX-DOC-17</t>
        </is>
      </c>
      <c r="P846" t="inlineStr">
        <is>
          <t>P05 §4.1, P05 §4.2</t>
        </is>
      </c>
      <c r="Q846" t="inlineStr"/>
      <c r="R846" s="5" t="inlineStr"/>
    </row>
    <row r="847">
      <c r="A847" t="inlineStr">
        <is>
          <t>US-C-029</t>
        </is>
      </c>
      <c r="B847" t="n">
        <v>629</v>
      </c>
      <c r="C847" t="inlineStr">
        <is>
          <t>Story</t>
        </is>
      </c>
      <c r="D847" s="5" t="inlineStr">
        <is>
          <t xml:space="preserve">        Document types, versions and expiry</t>
        </is>
      </c>
      <c r="E847" t="inlineStr">
        <is>
          <t>Step 4 · Time and leave</t>
        </is>
      </c>
      <c r="F847" t="inlineStr">
        <is>
          <t>Document storage, verification and e-sign</t>
        </is>
      </c>
      <c r="G847" t="inlineStr">
        <is>
          <t>New</t>
        </is>
      </c>
      <c r="I847">
        <f>IF(H847&lt;&gt;"",H847,G847)</f>
        <v/>
      </c>
      <c r="J847" t="inlineStr">
        <is>
          <t>Step 4-a documents</t>
        </is>
      </c>
      <c r="K847" t="n">
        <v>3</v>
      </c>
      <c r="L847" t="n">
        <v>1</v>
      </c>
      <c r="M847" s="5" t="inlineStr">
        <is>
          <t>As an HR admin, I want each document to have a type that sets its class, expiry and retention so that I do not set them by hand.</t>
        </is>
      </c>
      <c r="N847" s="5" t="inlineStr">
        <is>
          <t>• Given a document type, when a file is uploaded, then class, verification need, expiry and retention come from the type (YX-DOC-04).
• Given a re-upload, when saved, then a new version is made and old ones stay for HR until retention ends (YX-DOC-05).
• Given an expiry date, when it is near, then reminders go out and the document becomes 'expired' automatically (YX-DOC-06).</t>
        </is>
      </c>
      <c r="O847" s="5" t="inlineStr">
        <is>
          <t>YX-DOC-04, YX-DOC-05, YX-DOC-06</t>
        </is>
      </c>
      <c r="P847" t="inlineStr">
        <is>
          <t>P05 §4.2</t>
        </is>
      </c>
      <c r="Q847" t="inlineStr">
        <is>
          <t>US-C-028, US-C-018</t>
        </is>
      </c>
      <c r="R847" s="5" t="inlineStr"/>
    </row>
    <row r="848">
      <c r="A848" t="inlineStr">
        <is>
          <t>US-C-030</t>
        </is>
      </c>
      <c r="B848" t="n">
        <v>630</v>
      </c>
      <c r="C848" t="inlineStr">
        <is>
          <t>Story</t>
        </is>
      </c>
      <c r="D848" s="5" t="inlineStr">
        <is>
          <t xml:space="preserve">        E-sign and acknowledgement with evidence</t>
        </is>
      </c>
      <c r="E848" t="inlineStr">
        <is>
          <t>Step 4 · Time and leave</t>
        </is>
      </c>
      <c r="F848" t="inlineStr">
        <is>
          <t>Document storage, verification and e-sign</t>
        </is>
      </c>
      <c r="G848" t="inlineStr">
        <is>
          <t>New</t>
        </is>
      </c>
      <c r="I848">
        <f>IF(H848&lt;&gt;"",H848,G848)</f>
        <v/>
      </c>
      <c r="J848" t="inlineStr">
        <is>
          <t>Step 4-a documents</t>
        </is>
      </c>
      <c r="K848" t="n">
        <v>3</v>
      </c>
      <c r="L848" t="n">
        <v>1</v>
      </c>
      <c r="M848" s="5" t="inlineStr">
        <is>
          <t>As an employee, I want to sign or accept a document with OTP so that my consent is recorded.</t>
        </is>
      </c>
      <c r="N848" s="5" t="inlineStr">
        <is>
          <t>• Given I sign, when it completes, then time, IP, device, OTP channel and document hash are stored (YX-DOC-12).
• Given signing is complete, when the PDF is sealed, then a completion page is added (YX-DOC-12).
• Given a provider certificate is used, when stored, then it is part of the evidence (YX-DOC-12).</t>
        </is>
      </c>
      <c r="O848" s="5" t="inlineStr">
        <is>
          <t>YX-DOC-12</t>
        </is>
      </c>
      <c r="P848" t="inlineStr">
        <is>
          <t>P05 §4.4</t>
        </is>
      </c>
      <c r="Q848" t="inlineStr">
        <is>
          <t>US-C-028</t>
        </is>
      </c>
      <c r="R848" s="5" t="inlineStr"/>
    </row>
    <row r="849">
      <c r="A849" s="9" t="inlineStr">
        <is>
          <t>FT-C-05</t>
        </is>
      </c>
      <c r="B849" s="9" t="n">
        <v>631</v>
      </c>
      <c r="C849" s="9" t="inlineStr">
        <is>
          <t>Feature</t>
        </is>
      </c>
      <c r="D849" s="10" t="inlineStr">
        <is>
          <t xml:space="preserve">    Leave setup, ledger and balances</t>
        </is>
      </c>
      <c r="E849" s="9" t="inlineStr">
        <is>
          <t>Step 4 · Time and leave</t>
        </is>
      </c>
      <c r="F849" s="9" t="inlineStr">
        <is>
          <t>Leave setup, ledger and balances</t>
        </is>
      </c>
      <c r="G849" s="9" t="inlineStr">
        <is>
          <t>New</t>
        </is>
      </c>
      <c r="H849" s="9" t="n"/>
      <c r="I849" s="9">
        <f>IF(H849&lt;&gt;"",H849,G849)</f>
        <v/>
      </c>
      <c r="J849" s="9" t="inlineStr">
        <is>
          <t>Step 4-b leave</t>
        </is>
      </c>
      <c r="K849" s="9" t="n"/>
      <c r="L849" s="9" t="n"/>
      <c r="M849" s="10" t="inlineStr"/>
      <c r="N849" s="10" t="inlineStr"/>
      <c r="O849" s="10" t="inlineStr">
        <is>
          <t>YX-LV-03, YX-LV-14, YX-LV-04, YX-LV-11, YX-LV-12, YX-LV-01, YX-LV-02, YX-AT-11, YX-LV-13</t>
        </is>
      </c>
      <c r="P849" s="9" t="inlineStr">
        <is>
          <t>M02 Part A</t>
        </is>
      </c>
      <c r="Q849" s="9" t="inlineStr"/>
      <c r="R849" s="10" t="inlineStr"/>
      <c r="S849" s="9" t="n"/>
    </row>
    <row r="850">
      <c r="A850" t="inlineStr">
        <is>
          <t>US-C-031</t>
        </is>
      </c>
      <c r="B850" t="n">
        <v>631</v>
      </c>
      <c r="C850" t="inlineStr">
        <is>
          <t>Story</t>
        </is>
      </c>
      <c r="D850" s="5" t="inlineStr">
        <is>
          <t xml:space="preserve">        HR admin sets up leave types</t>
        </is>
      </c>
      <c r="E850" t="inlineStr">
        <is>
          <t>Step 4 · Time and leave</t>
        </is>
      </c>
      <c r="F850" t="inlineStr">
        <is>
          <t>Leave setup, ledger and balances</t>
        </is>
      </c>
      <c r="G850" t="inlineStr">
        <is>
          <t>New</t>
        </is>
      </c>
      <c r="I850">
        <f>IF(H850&lt;&gt;"",H850,G850)</f>
        <v/>
      </c>
      <c r="J850" t="inlineStr">
        <is>
          <t>Step 4-b leave</t>
        </is>
      </c>
      <c r="K850" t="n">
        <v>5</v>
      </c>
      <c r="L850" t="n">
        <v>1</v>
      </c>
      <c r="M850" s="5" t="inlineStr">
        <is>
          <t>As an HR admin, I want to create leave types with eligibility, crediting, counting and year-end rules so that each type works like our policy.</t>
        </is>
      </c>
      <c r="N850" s="5" t="inlineStr">
        <is>
          <t>• Given I edit a leave type, when I change counting (sandwich, holidays, half days), then the live example shows the effect (YX-LV-03).
• Given an unpaid (LWP) type, when I save it, then it has no balance settings (YX-LV-14).
• Given I set a negative limit, when I save, then the limit is stored per type (YX-LV-04).
• Given I set the leave year (calendar, financial or custom), when I save, then accruals and year end use it.</t>
        </is>
      </c>
      <c r="O850" s="5" t="inlineStr">
        <is>
          <t>YX-LV-03, YX-LV-14, YX-LV-04</t>
        </is>
      </c>
      <c r="P850" t="inlineStr">
        <is>
          <t>M02 §A1, M02 §A2</t>
        </is>
      </c>
      <c r="Q850" t="inlineStr"/>
      <c r="R850" s="5" t="inlineStr"/>
    </row>
    <row r="851">
      <c r="A851" t="inlineStr">
        <is>
          <t>US-C-032</t>
        </is>
      </c>
      <c r="B851" t="n">
        <v>632</v>
      </c>
      <c r="C851" t="inlineStr">
        <is>
          <t>Story</t>
        </is>
      </c>
      <c r="D851" s="5" t="inlineStr">
        <is>
          <t xml:space="preserve">        Leave policies assigned by rule</t>
        </is>
      </c>
      <c r="E851" t="inlineStr">
        <is>
          <t>Step 4 · Time and leave</t>
        </is>
      </c>
      <c r="F851" t="inlineStr">
        <is>
          <t>Leave setup, ledger and balances</t>
        </is>
      </c>
      <c r="G851" t="inlineStr">
        <is>
          <t>New</t>
        </is>
      </c>
      <c r="I851">
        <f>IF(H851&lt;&gt;"",H851,G851)</f>
        <v/>
      </c>
      <c r="J851" t="inlineStr">
        <is>
          <t>Step 4-b leave</t>
        </is>
      </c>
      <c r="K851" t="n">
        <v>3</v>
      </c>
      <c r="L851" t="n">
        <v>1</v>
      </c>
      <c r="M851" s="5" t="inlineStr">
        <is>
          <t>As an HR admin, I want to bundle leave types into a policy and assign it by entity, location, grade or type so that each employee gets the right leaves.</t>
        </is>
      </c>
      <c r="N851" s="5" t="inlineStr">
        <is>
          <t>• Given a policy rule for 'Chennai, Grade 3', when an employee matches, then the policy applies from that date as a dated fact.
• Given I override one employee's policy, when I save, then only that employee changes and the change is dated.
• Given the long-absence and notice-period settings per type, when I save, then they are stored for later use (YX-LV-11, YX-LV-12).</t>
        </is>
      </c>
      <c r="O851" s="5" t="inlineStr">
        <is>
          <t>YX-LV-11, YX-LV-12</t>
        </is>
      </c>
      <c r="P851" t="inlineStr">
        <is>
          <t>M02 §A2</t>
        </is>
      </c>
      <c r="Q851" t="inlineStr">
        <is>
          <t>US-C-031</t>
        </is>
      </c>
      <c r="R851" s="5" t="inlineStr"/>
    </row>
    <row r="852">
      <c r="A852" t="inlineStr">
        <is>
          <t>US-C-033</t>
        </is>
      </c>
      <c r="B852" t="n">
        <v>633</v>
      </c>
      <c r="C852" t="inlineStr">
        <is>
          <t>Story</t>
        </is>
      </c>
      <c r="D852" s="5" t="inlineStr">
        <is>
          <t xml:space="preserve">        One leave balance from the ledger</t>
        </is>
      </c>
      <c r="E852" t="inlineStr">
        <is>
          <t>Step 4 · Time and leave</t>
        </is>
      </c>
      <c r="F852" t="inlineStr">
        <is>
          <t>Leave setup, ledger and balances</t>
        </is>
      </c>
      <c r="G852" t="inlineStr">
        <is>
          <t>New</t>
        </is>
      </c>
      <c r="I852">
        <f>IF(H852&lt;&gt;"",H852,G852)</f>
        <v/>
      </c>
      <c r="J852" t="inlineStr">
        <is>
          <t>Step 4-b leave</t>
        </is>
      </c>
      <c r="K852" t="n">
        <v>5</v>
      </c>
      <c r="L852" t="n">
        <v>1</v>
      </c>
      <c r="M852" s="5" t="inlineStr">
        <is>
          <t>As an employee, I want to see the same leave balance on every screen so that I trust it.</t>
        </is>
      </c>
      <c r="N852" s="5" t="inlineStr">
        <is>
          <t>• Given credits, debits, adjustments and expiries, when the balance is shown anywhere, then it is the sum of the ledger entries (YX-LV-01).
• Given an LWP type, when I view my balance card, then I see 'taken this year', never a negative balance (YX-LV-14).
• Given a paid type, when the balance goes negative, then it stays within the type's limit (YX-LV-04).</t>
        </is>
      </c>
      <c r="O852" s="5" t="inlineStr">
        <is>
          <t>YX-LV-01, YX-LV-14, YX-LV-04</t>
        </is>
      </c>
      <c r="P852" t="inlineStr">
        <is>
          <t>M02 §A2</t>
        </is>
      </c>
      <c r="Q852" t="inlineStr">
        <is>
          <t>US-C-031</t>
        </is>
      </c>
      <c r="R852" s="5" t="inlineStr"/>
    </row>
    <row r="853">
      <c r="A853" t="inlineStr">
        <is>
          <t>US-C-034</t>
        </is>
      </c>
      <c r="B853" t="n">
        <v>634</v>
      </c>
      <c r="C853" t="inlineStr">
        <is>
          <t>Story</t>
        </is>
      </c>
      <c r="D853" s="5" t="inlineStr">
        <is>
          <t xml:space="preserve">        Leave accrues automatically</t>
        </is>
      </c>
      <c r="E853" t="inlineStr">
        <is>
          <t>Step 4 · Time and leave</t>
        </is>
      </c>
      <c r="F853" t="inlineStr">
        <is>
          <t>Leave setup, ledger and balances</t>
        </is>
      </c>
      <c r="G853" t="inlineStr">
        <is>
          <t>New</t>
        </is>
      </c>
      <c r="I853">
        <f>IF(H853&lt;&gt;"",H853,G853)</f>
        <v/>
      </c>
      <c r="J853" t="inlineStr">
        <is>
          <t>Step 4-b leave</t>
        </is>
      </c>
      <c r="K853" t="n">
        <v>5</v>
      </c>
      <c r="L853" t="n">
        <v>1</v>
      </c>
      <c r="M853" s="5" t="inlineStr">
        <is>
          <t>As an HR admin, I want leave to be credited every month or quarter by the policy so that I do not credit it by hand.</t>
        </is>
      </c>
      <c r="N853" s="5" t="inlineStr">
        <is>
          <t>• Given a monthly accrual with 0.5 rounding, when the job runs, then the credit is rounded per the type; the last accrual of the year trues up to the exact entitlement (YX-LV-02).
• Given 'by days worked' or 'LOP-reduced' basis, when the job runs, then it reads attendance after the lock (YX-LV-02).
• Given an employee is on sabbatical or long LWP, when accrual runs, then it pauses or continues as the type is set; maternity follows the statutory value (YX-LV-11).
• Given a negative balance, when a new accrual is posted, then it first repays the negative (YX-LV-04).</t>
        </is>
      </c>
      <c r="O853" s="5" t="inlineStr">
        <is>
          <t>YX-LV-02, YX-LV-11, YX-LV-04</t>
        </is>
      </c>
      <c r="P853" t="inlineStr">
        <is>
          <t>M02 §A2</t>
        </is>
      </c>
      <c r="Q853" t="inlineStr">
        <is>
          <t>US-C-033, US-C-032</t>
        </is>
      </c>
      <c r="R853" s="5" t="inlineStr"/>
    </row>
    <row r="854">
      <c r="A854" t="inlineStr">
        <is>
          <t>US-C-035</t>
        </is>
      </c>
      <c r="B854" t="n">
        <v>635</v>
      </c>
      <c r="C854" t="inlineStr">
        <is>
          <t>Story</t>
        </is>
      </c>
      <c r="D854" s="5" t="inlineStr">
        <is>
          <t xml:space="preserve">        Holiday calendars per location</t>
        </is>
      </c>
      <c r="E854" t="inlineStr">
        <is>
          <t>Step 4 · Time and leave</t>
        </is>
      </c>
      <c r="F854" t="inlineStr">
        <is>
          <t>Leave setup, ledger and balances</t>
        </is>
      </c>
      <c r="G854" t="inlineStr">
        <is>
          <t>New</t>
        </is>
      </c>
      <c r="I854">
        <f>IF(H854&lt;&gt;"",H854,G854)</f>
        <v/>
      </c>
      <c r="J854" t="inlineStr">
        <is>
          <t>Step 4-b leave</t>
        </is>
      </c>
      <c r="K854" t="n">
        <v>5</v>
      </c>
      <c r="L854" t="n">
        <v>1</v>
      </c>
      <c r="M854" s="5" t="inlineStr">
        <is>
          <t>As an HR admin, I want a holiday calendar for each location with optional holidays so that each office follows its own festivals.</t>
        </is>
      </c>
      <c r="N854" s="5" t="inlineStr">
        <is>
          <t>• Given a calendar, when I create it, then I can start from the state festival template and clone it to next year.
• Given a public holiday falls on a weekly off, when the calendar setting is substitute / comp-off / none, then that is applied (starter: none) (YX-AT-11).
• Given an employee transfers, when the transfer date comes, then their calendar switches and optional holidays are prorated or reset per setting (YX-LV-13).
• Given optional holidays (choose N of M), when an employee picks more than N, then it is refused.</t>
        </is>
      </c>
      <c r="O854" s="5" t="inlineStr">
        <is>
          <t>YX-AT-11, YX-LV-13</t>
        </is>
      </c>
      <c r="P854" t="inlineStr">
        <is>
          <t>M02 §A2</t>
        </is>
      </c>
      <c r="Q854" t="inlineStr"/>
      <c r="R854" s="5" t="inlineStr"/>
    </row>
    <row r="855">
      <c r="A855" t="inlineStr">
        <is>
          <t>US-C-036</t>
        </is>
      </c>
      <c r="B855" t="n">
        <v>636</v>
      </c>
      <c r="C855" t="inlineStr">
        <is>
          <t>Story</t>
        </is>
      </c>
      <c r="D855" s="5" t="inlineStr">
        <is>
          <t xml:space="preserve">        HR adjusts a balance and employee projects it</t>
        </is>
      </c>
      <c r="E855" t="inlineStr">
        <is>
          <t>Step 4 · Time and leave</t>
        </is>
      </c>
      <c r="F855" t="inlineStr">
        <is>
          <t>Leave setup, ledger and balances</t>
        </is>
      </c>
      <c r="G855" t="inlineStr">
        <is>
          <t>New</t>
        </is>
      </c>
      <c r="I855">
        <f>IF(H855&lt;&gt;"",H855,G855)</f>
        <v/>
      </c>
      <c r="J855" t="inlineStr">
        <is>
          <t>Step 4-b leave</t>
        </is>
      </c>
      <c r="K855" t="n">
        <v>3</v>
      </c>
      <c r="L855" t="n">
        <v>1</v>
      </c>
      <c r="M855" s="5" t="inlineStr">
        <is>
          <t>As an HR admin, I want to adjust a balance with a reason, and as an employee I want to see my future balance, so that both of us plan well.</t>
        </is>
      </c>
      <c r="N855" s="5" t="inlineStr">
        <is>
          <t>• Given I adjust a balance, when I save without a reason, then it is refused; with a reason, a ledger entry is added (YX-LV-01).
• Given an employee asks 'what is my balance on 1 Dec', when it is computed, then future accruals and booked leave are included (YX-LV-01).
• Given migration opening balances, when they are imported, then they are ledger entries with reason 'opening balance' (YX-LV-01).</t>
        </is>
      </c>
      <c r="O855" s="5" t="inlineStr">
        <is>
          <t>YX-LV-01</t>
        </is>
      </c>
      <c r="P855" t="inlineStr">
        <is>
          <t>M02 §A2</t>
        </is>
      </c>
      <c r="Q855" t="inlineStr">
        <is>
          <t>US-C-033</t>
        </is>
      </c>
      <c r="R855" s="5" t="inlineStr"/>
    </row>
    <row r="856">
      <c r="A856" t="inlineStr">
        <is>
          <t>US-C-037</t>
        </is>
      </c>
      <c r="B856" t="n">
        <v>637</v>
      </c>
      <c r="C856" t="inlineStr">
        <is>
          <t>Story</t>
        </is>
      </c>
      <c r="D856" s="5" t="inlineStr">
        <is>
          <t xml:space="preserve">        Change the leave year in the middle</t>
        </is>
      </c>
      <c r="E856" t="inlineStr">
        <is>
          <t>Step 4 · Time and leave</t>
        </is>
      </c>
      <c r="F856" t="inlineStr">
        <is>
          <t>Leave setup, ledger and balances</t>
        </is>
      </c>
      <c r="G856" t="inlineStr">
        <is>
          <t>New</t>
        </is>
      </c>
      <c r="I856">
        <f>IF(H856&lt;&gt;"",H856,G856)</f>
        <v/>
      </c>
      <c r="J856" t="inlineStr">
        <is>
          <t>Step 4-b leave</t>
        </is>
      </c>
      <c r="K856" t="n">
        <v>3</v>
      </c>
      <c r="L856" t="n">
        <v>2</v>
      </c>
      <c r="M856" s="5" t="inlineStr">
        <is>
          <t>As an HR admin, I want to change our leave year safely so that balances move to the new year correctly.</t>
        </is>
      </c>
      <c r="N856" s="5" t="inlineStr">
        <is>
          <t>• Given I change the leave year start, when I save, then a short year with pro-rata entitlements is created (YX-LV-13).
• Given the short year, when the transition wizard runs, then I see a preview of carry forward per employee before approval (YX-LV-13).
• Given I approve, when it finishes, then ledger entries are posted and nothing is posted twice if re-run (YX-LV-01).</t>
        </is>
      </c>
      <c r="O856" s="5" t="inlineStr">
        <is>
          <t>YX-LV-13, YX-LV-01</t>
        </is>
      </c>
      <c r="P856" t="inlineStr">
        <is>
          <t>M02 §A2</t>
        </is>
      </c>
      <c r="Q856" t="inlineStr">
        <is>
          <t>US-C-034</t>
        </is>
      </c>
      <c r="R856" s="5" t="inlineStr"/>
    </row>
    <row r="857">
      <c r="A857" s="9" t="inlineStr">
        <is>
          <t>FT-C-06</t>
        </is>
      </c>
      <c r="B857" s="9" t="n">
        <v>638</v>
      </c>
      <c r="C857" s="9" t="inlineStr">
        <is>
          <t>Feature</t>
        </is>
      </c>
      <c r="D857" s="10" t="inlineStr">
        <is>
          <t xml:space="preserve">    Leave requests, comp-off and year end</t>
        </is>
      </c>
      <c r="E857" s="9" t="inlineStr">
        <is>
          <t>Step 4 · Time and leave</t>
        </is>
      </c>
      <c r="F857" s="9" t="inlineStr">
        <is>
          <t>Leave requests, comp-off and year end</t>
        </is>
      </c>
      <c r="G857" s="9" t="inlineStr">
        <is>
          <t>New</t>
        </is>
      </c>
      <c r="H857" s="9" t="n"/>
      <c r="I857" s="9">
        <f>IF(H857&lt;&gt;"",H857,G857)</f>
        <v/>
      </c>
      <c r="J857" s="9" t="inlineStr">
        <is>
          <t>Step 4-b leave</t>
        </is>
      </c>
      <c r="K857" s="9" t="n"/>
      <c r="L857" s="9" t="n"/>
      <c r="M857" s="10" t="inlineStr"/>
      <c r="N857" s="10" t="inlineStr"/>
      <c r="O857" s="10" t="inlineStr">
        <is>
          <t>YX-LV-03, YX-LV-05, YX-LV-04, YX-WF-01, YX-LV-09, YX-DOC-18, YX-WF-10, YX-LV-01, YX-LV-08, YX-LV-06, YX-LV-07, YX-LV-12</t>
        </is>
      </c>
      <c r="P857" s="9" t="inlineStr">
        <is>
          <t>M02 Part A</t>
        </is>
      </c>
      <c r="Q857" s="9" t="inlineStr"/>
      <c r="R857" s="10" t="inlineStr"/>
      <c r="S857" s="9" t="n"/>
    </row>
    <row r="858">
      <c r="A858" t="inlineStr">
        <is>
          <t>US-C-038</t>
        </is>
      </c>
      <c r="B858" t="n">
        <v>638</v>
      </c>
      <c r="C858" t="inlineStr">
        <is>
          <t>Story</t>
        </is>
      </c>
      <c r="D858" s="5" t="inlineStr">
        <is>
          <t xml:space="preserve">        Employee applies for leave</t>
        </is>
      </c>
      <c r="E858" t="inlineStr">
        <is>
          <t>Step 4 · Time and leave</t>
        </is>
      </c>
      <c r="F858" t="inlineStr">
        <is>
          <t>Leave requests, comp-off and year end</t>
        </is>
      </c>
      <c r="G858" t="inlineStr">
        <is>
          <t>New</t>
        </is>
      </c>
      <c r="I858">
        <f>IF(H858&lt;&gt;"",H858,G858)</f>
        <v/>
      </c>
      <c r="J858" t="inlineStr">
        <is>
          <t>Step 4-b leave</t>
        </is>
      </c>
      <c r="K858" t="n">
        <v>5</v>
      </c>
      <c r="L858" t="n">
        <v>1</v>
      </c>
      <c r="M858" s="5" t="inlineStr">
        <is>
          <t>As an employee, I want to apply for leave and see how many days it counts and my balance after so that I know before I submit.</t>
        </is>
      </c>
      <c r="N858" s="5" t="inlineStr">
        <is>
          <t>• Given I pick a date range with half days, when the summary shows, then it counts days with the type's sandwich, holiday and weekly-off rules for my location (YX-LV-03).
• Given the request breaks notice, max per request/month, block dates or attachment rules, when I try to submit, then the summary shows the warning and blocks where the rule says (YX-LV-05).
• Given the request would go below the negative limit, when I submit, then it is refused (YX-LV-04).
• Given I submit, when it routes, then the approval engine picks the approver and I can name a delegate while away (YX-WF-01).</t>
        </is>
      </c>
      <c r="O858" s="5" t="inlineStr">
        <is>
          <t>YX-LV-03, YX-LV-05, YX-LV-04, YX-WF-01</t>
        </is>
      </c>
      <c r="P858" t="inlineStr">
        <is>
          <t>M02 §A2</t>
        </is>
      </c>
      <c r="Q858" t="inlineStr">
        <is>
          <t>US-C-033, US-C-035, US-C-003</t>
        </is>
      </c>
      <c r="R858" s="5" t="inlineStr"/>
    </row>
    <row r="859">
      <c r="A859" t="inlineStr">
        <is>
          <t>US-C-039</t>
        </is>
      </c>
      <c r="B859" t="n">
        <v>639</v>
      </c>
      <c r="C859" t="inlineStr">
        <is>
          <t>Story</t>
        </is>
      </c>
      <c r="D859" s="5" t="inlineStr">
        <is>
          <t xml:space="preserve">        Manager approves leave with team view</t>
        </is>
      </c>
      <c r="E859" t="inlineStr">
        <is>
          <t>Step 4 · Time and leave</t>
        </is>
      </c>
      <c r="F859" t="inlineStr">
        <is>
          <t>Leave requests, comp-off and year end</t>
        </is>
      </c>
      <c r="G859" t="inlineStr">
        <is>
          <t>New</t>
        </is>
      </c>
      <c r="I859">
        <f>IF(H859&lt;&gt;"",H859,G859)</f>
        <v/>
      </c>
      <c r="J859" t="inlineStr">
        <is>
          <t>Step 4-b leave</t>
        </is>
      </c>
      <c r="K859" t="n">
        <v>3</v>
      </c>
      <c r="L859" t="n">
        <v>1</v>
      </c>
      <c r="M859" s="5" t="inlineStr">
        <is>
          <t>As a manager, I want to see who else is off when I approve leave so that the team is covered.</t>
        </is>
      </c>
      <c r="N859" s="5" t="inlineStr">
        <is>
          <t>• Given a request, when I open the approval card, then I see team availability ('2 others off').
• Given a medical certificate is attached, when I open the card, then I see only 'certificate attached · verified / pending', never the file (YX-LV-09, YX-DOC-18).
• Given HR verifies the certificate, when it is stored, then it is a P05 'Medical certificate' document of Special class (YX-LV-09).
• Given I approve, when the decision is final, then the ledger debit is posted once (YX-WF-10).</t>
        </is>
      </c>
      <c r="O859" s="5" t="inlineStr">
        <is>
          <t>YX-LV-09, YX-DOC-18, YX-WF-10</t>
        </is>
      </c>
      <c r="P859" t="inlineStr">
        <is>
          <t>M02 §A2, P05 §4.2</t>
        </is>
      </c>
      <c r="Q859" t="inlineStr">
        <is>
          <t>US-C-038, US-C-028</t>
        </is>
      </c>
      <c r="R859" s="5" t="inlineStr"/>
    </row>
    <row r="860">
      <c r="A860" t="inlineStr">
        <is>
          <t>US-C-040</t>
        </is>
      </c>
      <c r="B860" t="n">
        <v>640</v>
      </c>
      <c r="C860" t="inlineStr">
        <is>
          <t>Story</t>
        </is>
      </c>
      <c r="D860" s="5" t="inlineStr">
        <is>
          <t xml:space="preserve">        Employee cancels or withdraws leave</t>
        </is>
      </c>
      <c r="E860" t="inlineStr">
        <is>
          <t>Step 4 · Time and leave</t>
        </is>
      </c>
      <c r="F860" t="inlineStr">
        <is>
          <t>Leave requests, comp-off and year end</t>
        </is>
      </c>
      <c r="G860" t="inlineStr">
        <is>
          <t>New</t>
        </is>
      </c>
      <c r="I860">
        <f>IF(H860&lt;&gt;"",H860,G860)</f>
        <v/>
      </c>
      <c r="J860" t="inlineStr">
        <is>
          <t>Step 4-b leave</t>
        </is>
      </c>
      <c r="K860" t="n">
        <v>2</v>
      </c>
      <c r="L860" t="n">
        <v>1</v>
      </c>
      <c r="M860" s="5" t="inlineStr">
        <is>
          <t>As an employee, I want to cancel leave I no longer need so that my balance comes back.</t>
        </is>
      </c>
      <c r="N860" s="5" t="inlineStr">
        <is>
          <t>• Given an approved leave before payroll lock, when I cancel and it is approved, then a reversing ledger entry is posted (YX-LV-01).
• Given the leave is not yet approved, when I withdraw it, then it is closed without approval.
• Given the leave date is in a locked period, when I cancel, then it becomes a late correction with effect in the next payroll (YX-LV-08).</t>
        </is>
      </c>
      <c r="O860" s="5" t="inlineStr">
        <is>
          <t>YX-LV-01, YX-LV-08</t>
        </is>
      </c>
      <c r="P860" t="inlineStr">
        <is>
          <t>M02 §A2</t>
        </is>
      </c>
      <c r="Q860" t="inlineStr">
        <is>
          <t>US-C-039</t>
        </is>
      </c>
      <c r="R860" s="5" t="inlineStr"/>
    </row>
    <row r="861">
      <c r="A861" t="inlineStr">
        <is>
          <t>US-C-042</t>
        </is>
      </c>
      <c r="B861" t="n">
        <v>641</v>
      </c>
      <c r="C861" t="inlineStr">
        <is>
          <t>Story</t>
        </is>
      </c>
      <c r="D861" s="5" t="inlineStr">
        <is>
          <t xml:space="preserve">        Year-end wizard for carry forward, lapse and encash</t>
        </is>
      </c>
      <c r="E861" t="inlineStr">
        <is>
          <t>Step 4 · Time and leave</t>
        </is>
      </c>
      <c r="F861" t="inlineStr">
        <is>
          <t>Leave requests, comp-off and year end</t>
        </is>
      </c>
      <c r="G861" t="inlineStr">
        <is>
          <t>New</t>
        </is>
      </c>
      <c r="I861">
        <f>IF(H861&lt;&gt;"",H861,G861)</f>
        <v/>
      </c>
      <c r="J861" t="inlineStr">
        <is>
          <t>Step 4-b leave</t>
        </is>
      </c>
      <c r="K861" t="n">
        <v>5</v>
      </c>
      <c r="L861" t="n">
        <v>1</v>
      </c>
      <c r="M861" s="5" t="inlineStr">
        <is>
          <t>As an HR admin, I want a year-end wizard with a preview so that carry forward and lapse are correct for everyone.</t>
        </is>
      </c>
      <c r="N861" s="5" t="inlineStr">
        <is>
          <t>• Given year end, when I open the wizard, then I see a preview per employee of carry forward, lapse and encashment (YX-LV-07).
• Given I approve, when it posts, then ledger entries and draft encashments are created; nothing runs outside the wizard (YX-LV-07).
• Given encashment drafts, when they are created, then they go to payroll as one-time pay with the type's formula.</t>
        </is>
      </c>
      <c r="O861" s="5" t="inlineStr">
        <is>
          <t>YX-LV-07</t>
        </is>
      </c>
      <c r="P861" t="inlineStr">
        <is>
          <t>M02 §A2, M02 §A1 L5</t>
        </is>
      </c>
      <c r="Q861" t="inlineStr">
        <is>
          <t>US-C-034, US-C-004</t>
        </is>
      </c>
      <c r="R861" s="5" t="inlineStr"/>
    </row>
    <row r="862">
      <c r="A862" t="inlineStr">
        <is>
          <t>US-C-043</t>
        </is>
      </c>
      <c r="B862" t="n">
        <v>642</v>
      </c>
      <c r="C862" t="inlineStr">
        <is>
          <t>Story</t>
        </is>
      </c>
      <c r="D862" s="5" t="inlineStr">
        <is>
          <t xml:space="preserve">        Leave during notice period</t>
        </is>
      </c>
      <c r="E862" t="inlineStr">
        <is>
          <t>Step 4 · Time and leave</t>
        </is>
      </c>
      <c r="F862" t="inlineStr">
        <is>
          <t>Leave requests, comp-off and year end</t>
        </is>
      </c>
      <c r="G862" t="inlineStr">
        <is>
          <t>New</t>
        </is>
      </c>
      <c r="I862">
        <f>IF(H862&lt;&gt;"",H862,G862)</f>
        <v/>
      </c>
      <c r="J862" t="inlineStr">
        <is>
          <t>Step 4-b leave</t>
        </is>
      </c>
      <c r="K862" t="n">
        <v>3</v>
      </c>
      <c r="L862" t="n">
        <v>2</v>
      </c>
      <c r="M862" s="5" t="inlineStr">
        <is>
          <t>As an employee serving notice, I want to know what happens if I take leave so that I am not surprised.</t>
        </is>
      </c>
      <c r="N862" s="5" t="inlineStr">
        <is>
          <t>• Given I am in notice, when I apply, then the sheet warns per the type policy: allowed, LOP, extends last day or blocked (YX-LV-12).
• Given the policy is 'extends last day', when the leave is approved, then the new last working day goes to the exit case (YX-LV-12).
• Given the policy is LOP, when approved, then the days go to payroll as LOP (YX-LV-12).</t>
        </is>
      </c>
      <c r="O862" s="5" t="inlineStr">
        <is>
          <t>YX-LV-12</t>
        </is>
      </c>
      <c r="P862" t="inlineStr">
        <is>
          <t>M02 §A2</t>
        </is>
      </c>
      <c r="Q862" t="inlineStr">
        <is>
          <t>US-C-038</t>
        </is>
      </c>
      <c r="R862" s="5" t="inlineStr"/>
    </row>
    <row r="863">
      <c r="A863" t="inlineStr">
        <is>
          <t>US-C-041</t>
        </is>
      </c>
      <c r="B863" t="n">
        <v>657</v>
      </c>
      <c r="C863" t="inlineStr">
        <is>
          <t>Story</t>
        </is>
      </c>
      <c r="D863" s="5" t="inlineStr">
        <is>
          <t xml:space="preserve">        Comp-off credit and expiry</t>
        </is>
      </c>
      <c r="E863" t="inlineStr">
        <is>
          <t>Step 4 · Time and leave</t>
        </is>
      </c>
      <c r="F863" t="inlineStr">
        <is>
          <t>Leave requests, comp-off and year end</t>
        </is>
      </c>
      <c r="G863" t="inlineStr">
        <is>
          <t>New</t>
        </is>
      </c>
      <c r="I863">
        <f>IF(H863&lt;&gt;"",H863,G863)</f>
        <v/>
      </c>
      <c r="J863" t="inlineStr">
        <is>
          <t>Step 4-b leave</t>
        </is>
      </c>
      <c r="K863" t="n">
        <v>3</v>
      </c>
      <c r="L863" t="n">
        <v>2</v>
      </c>
      <c r="M863" s="5" t="inlineStr">
        <is>
          <t>As an employee, I want comp-off credited when I work on a holiday so that I can take a day off later.</t>
        </is>
      </c>
      <c r="N863" s="5" t="inlineStr">
        <is>
          <t>• Given I worked on a holiday or weekly off and it is approved, when the day is evaluated, then a comp-off credit is posted (optional manager approval).
• Given the type's expiry window, when the expiry date is near, then I am notified in advance (YX-LV-06).
• Given the credit expires unused, when the date passes, then an expiry ledger entry is posted (YX-LV-06).</t>
        </is>
      </c>
      <c r="O863" s="5" t="inlineStr">
        <is>
          <t>YX-LV-06</t>
        </is>
      </c>
      <c r="P863" t="inlineStr">
        <is>
          <t>M02 §A2</t>
        </is>
      </c>
      <c r="Q863" t="inlineStr">
        <is>
          <t>US-C-033, US-C-057, US-C-018</t>
        </is>
      </c>
      <c r="R863" s="5" t="inlineStr"/>
    </row>
    <row r="864">
      <c r="A864" s="9" t="inlineStr">
        <is>
          <t>FT-C-07</t>
        </is>
      </c>
      <c r="B864" s="9" t="n">
        <v>643</v>
      </c>
      <c r="C864" s="9" t="inlineStr">
        <is>
          <t>Feature</t>
        </is>
      </c>
      <c r="D864" s="10" t="inlineStr">
        <is>
          <t xml:space="preserve">    Statutory and special leave</t>
        </is>
      </c>
      <c r="E864" s="9" t="inlineStr">
        <is>
          <t>Step 4 · Time and leave</t>
        </is>
      </c>
      <c r="F864" s="9" t="inlineStr">
        <is>
          <t>Statutory and special leave</t>
        </is>
      </c>
      <c r="G864" s="9" t="inlineStr">
        <is>
          <t>New</t>
        </is>
      </c>
      <c r="H864" s="9" t="n"/>
      <c r="I864" s="9">
        <f>IF(H864&lt;&gt;"",H864,G864)</f>
        <v/>
      </c>
      <c r="J864" s="9" t="inlineStr">
        <is>
          <t>Step 4-b leave</t>
        </is>
      </c>
      <c r="K864" s="9" t="n"/>
      <c r="L864" s="9" t="n"/>
      <c r="M864" s="10" t="inlineStr"/>
      <c r="N864" s="10" t="inlineStr"/>
      <c r="O864" s="10" t="inlineStr">
        <is>
          <t>YX-LV-10, YX-LV-11, YX-LV-15, YX-STAT-25, YX-LV-16</t>
        </is>
      </c>
      <c r="P864" s="9" t="inlineStr">
        <is>
          <t>M02 Part A, P07 IN.LEAVE</t>
        </is>
      </c>
      <c r="Q864" s="9" t="inlineStr"/>
      <c r="R864" s="10" t="inlineStr"/>
      <c r="S864" s="9" t="n"/>
    </row>
    <row r="865">
      <c r="A865" t="inlineStr">
        <is>
          <t>US-C-044</t>
        </is>
      </c>
      <c r="B865" t="n">
        <v>643</v>
      </c>
      <c r="C865" t="inlineStr">
        <is>
          <t>Story</t>
        </is>
      </c>
      <c r="D865" s="5" t="inlineStr">
        <is>
          <t xml:space="preserve">        Maternity leave from the statutory template</t>
        </is>
      </c>
      <c r="E865" t="inlineStr">
        <is>
          <t>Step 4 · Time and leave</t>
        </is>
      </c>
      <c r="F865" t="inlineStr">
        <is>
          <t>Statutory and special leave</t>
        </is>
      </c>
      <c r="G865" t="inlineStr">
        <is>
          <t>New</t>
        </is>
      </c>
      <c r="I865">
        <f>IF(H865&lt;&gt;"",H865,G865)</f>
        <v/>
      </c>
      <c r="J865" t="inlineStr">
        <is>
          <t>Step 4-b leave</t>
        </is>
      </c>
      <c r="K865" t="n">
        <v>5</v>
      </c>
      <c r="L865" t="n">
        <v>1</v>
      </c>
      <c r="M865" s="5" t="inlineStr">
        <is>
          <t>As an HR admin, I want maternity leave to follow the law automatically so that eligibility and days are always correct.</t>
        </is>
      </c>
      <c r="N865" s="5" t="inlineStr">
        <is>
          <t>• Given an employee applies, when she has fewer than 80 days worked in the past 12 months, then the request is refused with the reason (YX-LV-10).
• Given the case (normal, 3rd child, adoption, miscarriage, tubectomy), when days are counted, then 26 / 12 / 6 / 2 weeks from P07 are used, max 8 weeks before delivery (YX-LV-10).
• Given she is ESIC-covered, when the leave is approved, then it is recorded but payroll pays no employer maternity pay (YX-LV-10).
• Given maternity leave is active, when someone starts an employer-initiated exit, then it is blocked; accrual continues as the law requires (YX-LV-10, YX-LV-11).</t>
        </is>
      </c>
      <c r="O865" s="5" t="inlineStr">
        <is>
          <t>YX-LV-10, YX-LV-11</t>
        </is>
      </c>
      <c r="P865" t="inlineStr">
        <is>
          <t>M02 §A2</t>
        </is>
      </c>
      <c r="Q865" t="inlineStr">
        <is>
          <t>US-C-038, US-C-027</t>
        </is>
      </c>
      <c r="R865" s="5" t="inlineStr"/>
    </row>
    <row r="866">
      <c r="A866" t="inlineStr">
        <is>
          <t>US-C-045</t>
        </is>
      </c>
      <c r="B866" t="n">
        <v>644</v>
      </c>
      <c r="C866" t="inlineStr">
        <is>
          <t>Story</t>
        </is>
      </c>
      <c r="D866" s="5" t="inlineStr">
        <is>
          <t xml:space="preserve">        Injury leave from an accident case</t>
        </is>
      </c>
      <c r="E866" t="inlineStr">
        <is>
          <t>Step 4 · Time and leave</t>
        </is>
      </c>
      <c r="F866" t="inlineStr">
        <is>
          <t>Statutory and special leave</t>
        </is>
      </c>
      <c r="G866" t="inlineStr">
        <is>
          <t>New</t>
        </is>
      </c>
      <c r="I866">
        <f>IF(H866&lt;&gt;"",H866,G866)</f>
        <v/>
      </c>
      <c r="J866" t="inlineStr">
        <is>
          <t>Step 4-b leave</t>
        </is>
      </c>
      <c r="K866" t="n">
        <v>3</v>
      </c>
      <c r="L866" t="n">
        <v>2</v>
      </c>
      <c r="M866" s="5" t="inlineStr">
        <is>
          <t>As an HR admin, I want to post injury leave from a workplace accident case so that the injured person is not marked absent.</t>
        </is>
      </c>
      <c r="N866" s="5" t="inlineStr">
        <is>
          <t>• Given an M08 accident case, when I record injury days, then injury leave is posted only from that case, with no balance or accrual (YX-LV-15).
• Given injury leave days, when the day engine runs, then they count as service and never as LOP (YX-LV-15).
• Given the manager views the days, when they open them, then they see 'injury leave', never the diagnosis (YX-LV-15).
• Given the ESIC accident report form and time limit, when the case is opened, then they come from P07 (YX-STAT-25).</t>
        </is>
      </c>
      <c r="O866" s="5" t="inlineStr">
        <is>
          <t>YX-LV-15, YX-STAT-25</t>
        </is>
      </c>
      <c r="P866" t="inlineStr">
        <is>
          <t>M02 §A2</t>
        </is>
      </c>
      <c r="Q866" t="inlineStr">
        <is>
          <t>US-C-038, US-C-027</t>
        </is>
      </c>
      <c r="R866" s="5" t="inlineStr"/>
    </row>
    <row r="867">
      <c r="A867" t="inlineStr">
        <is>
          <t>US-C-046</t>
        </is>
      </c>
      <c r="B867" t="n">
        <v>645</v>
      </c>
      <c r="C867" t="inlineStr">
        <is>
          <t>Story</t>
        </is>
      </c>
      <c r="D867" s="5" t="inlineStr">
        <is>
          <t xml:space="preserve">        Mandatory block leave for BFSI</t>
        </is>
      </c>
      <c r="E867" t="inlineStr">
        <is>
          <t>Step 4 · Time and leave</t>
        </is>
      </c>
      <c r="F867" t="inlineStr">
        <is>
          <t>Statutory and special leave</t>
        </is>
      </c>
      <c r="G867" t="inlineStr">
        <is>
          <t>New</t>
        </is>
      </c>
      <c r="I867">
        <f>IF(H867&lt;&gt;"",H867,G867)</f>
        <v/>
      </c>
      <c r="J867" t="inlineStr">
        <is>
          <t>Step 4-e later waves</t>
        </is>
      </c>
      <c r="K867" t="n">
        <v>3</v>
      </c>
      <c r="L867" t="n">
        <v>3</v>
      </c>
      <c r="M867" s="5" t="inlineStr">
        <is>
          <t>As a compliance officer, I want designated people to take their yearly block leave so that we meet regulator guidance.</t>
        </is>
      </c>
      <c r="N867" s="5" t="inlineStr">
        <is>
          <t>• Given the BFSI pack is on, when a designated person has no block planned by the cut-off, then they are listed for the compliance officer (YX-LV-16).
• Given the block starts, when it begins, then system access is suspended until return (YX-LV-16).
• Given access is needed during the block, when it is given, then a logged compliance-officer exception is required (YX-LV-16).</t>
        </is>
      </c>
      <c r="O867" s="5" t="inlineStr">
        <is>
          <t>YX-LV-16</t>
        </is>
      </c>
      <c r="P867" t="inlineStr">
        <is>
          <t>M02 §B12</t>
        </is>
      </c>
      <c r="Q867" t="inlineStr">
        <is>
          <t>US-C-038</t>
        </is>
      </c>
      <c r="R867" s="5" t="inlineStr"/>
    </row>
    <row r="868">
      <c r="A868" s="9" t="inlineStr">
        <is>
          <t>FT-C-08</t>
        </is>
      </c>
      <c r="B868" s="9" t="n">
        <v>646</v>
      </c>
      <c r="C868" s="9" t="inlineStr">
        <is>
          <t>Feature</t>
        </is>
      </c>
      <c r="D868" s="10" t="inlineStr">
        <is>
          <t xml:space="preserve">    Shifts, weekly offs and rosters</t>
        </is>
      </c>
      <c r="E868" s="9" t="inlineStr">
        <is>
          <t>Step 4 · Time and leave</t>
        </is>
      </c>
      <c r="F868" s="9" t="inlineStr">
        <is>
          <t>Shifts, weekly offs and rosters</t>
        </is>
      </c>
      <c r="G868" s="9" t="inlineStr">
        <is>
          <t>New</t>
        </is>
      </c>
      <c r="H868" s="9" t="n"/>
      <c r="I868" s="9">
        <f>IF(H868&lt;&gt;"",H868,G868)</f>
        <v/>
      </c>
      <c r="J868" s="9" t="inlineStr">
        <is>
          <t>Step 4-c shifts and rosters</t>
        </is>
      </c>
      <c r="K868" s="9" t="n"/>
      <c r="L868" s="9" t="n"/>
      <c r="M868" s="10" t="inlineStr"/>
      <c r="N868" s="10" t="inlineStr"/>
      <c r="O868" s="10" t="inlineStr">
        <is>
          <t>YX-AT-13, YX-AT-02, YX-AT-07, YX-WF-10, YX-AT-25, YX-AT-26</t>
        </is>
      </c>
      <c r="P868" s="9" t="inlineStr">
        <is>
          <t>M02 §B2</t>
        </is>
      </c>
      <c r="Q868" s="9" t="inlineStr"/>
      <c r="R868" s="10" t="inlineStr"/>
      <c r="S868" s="9" t="n"/>
    </row>
    <row r="869">
      <c r="A869" t="inlineStr">
        <is>
          <t>US-C-047</t>
        </is>
      </c>
      <c r="B869" t="n">
        <v>646</v>
      </c>
      <c r="C869" t="inlineStr">
        <is>
          <t>Story</t>
        </is>
      </c>
      <c r="D869" s="5" t="inlineStr">
        <is>
          <t xml:space="preserve">        HR admin defines shifts</t>
        </is>
      </c>
      <c r="E869" t="inlineStr">
        <is>
          <t>Step 4 · Time and leave</t>
        </is>
      </c>
      <c r="F869" t="inlineStr">
        <is>
          <t>Shifts, weekly offs and rosters</t>
        </is>
      </c>
      <c r="G869" t="inlineStr">
        <is>
          <t>New</t>
        </is>
      </c>
      <c r="I869">
        <f>IF(H869&lt;&gt;"",H869,G869)</f>
        <v/>
      </c>
      <c r="J869" t="inlineStr">
        <is>
          <t>Step 4-c shifts and rosters</t>
        </is>
      </c>
      <c r="K869" t="n">
        <v>5</v>
      </c>
      <c r="L869" t="n">
        <v>1</v>
      </c>
      <c r="M869" s="5" t="inlineStr">
        <is>
          <t>As an HR admin, I want to define shifts with times, breaks, grace and thresholds so that attendance is judged fairly.</t>
        </is>
      </c>
      <c r="N869" s="5" t="inlineStr">
        <is>
          <t>• Given a night shift 10 pm–6 am, when I save it, then it crosses midnight and is attributed to the start date.
• Given a split shift, when an employee has two shifts in one day, then each is evaluated separately (YX-AT-13).
• Given grace, thresholds, break rule and OT policy, when I save, then they are stored on the shift as a dated fact.</t>
        </is>
      </c>
      <c r="O869" s="5" t="inlineStr">
        <is>
          <t>YX-AT-13</t>
        </is>
      </c>
      <c r="P869" t="inlineStr">
        <is>
          <t>M02 §B2</t>
        </is>
      </c>
      <c r="Q869" t="inlineStr"/>
      <c r="R869" s="5" t="inlineStr"/>
    </row>
    <row r="870">
      <c r="A870" t="inlineStr">
        <is>
          <t>US-C-048</t>
        </is>
      </c>
      <c r="B870" t="n">
        <v>647</v>
      </c>
      <c r="C870" t="inlineStr">
        <is>
          <t>Story</t>
        </is>
      </c>
      <c r="D870" s="5" t="inlineStr">
        <is>
          <t xml:space="preserve">        Weekly offs and shift patterns</t>
        </is>
      </c>
      <c r="E870" t="inlineStr">
        <is>
          <t>Step 4 · Time and leave</t>
        </is>
      </c>
      <c r="F870" t="inlineStr">
        <is>
          <t>Shifts, weekly offs and rosters</t>
        </is>
      </c>
      <c r="G870" t="inlineStr">
        <is>
          <t>New</t>
        </is>
      </c>
      <c r="I870">
        <f>IF(H870&lt;&gt;"",H870,G870)</f>
        <v/>
      </c>
      <c r="J870" t="inlineStr">
        <is>
          <t>Step 4-c shifts and rosters</t>
        </is>
      </c>
      <c r="K870" t="n">
        <v>3</v>
      </c>
      <c r="L870" t="n">
        <v>1</v>
      </c>
      <c r="M870" s="5" t="inlineStr">
        <is>
          <t>As an HR admin, I want weekly offs and rotating shift patterns as rules so that I do not enter each day.</t>
        </is>
      </c>
      <c r="N870" s="5" t="inlineStr">
        <is>
          <t>• Given a 4-on / 2-off pattern from a start date, when a date is checked, then the shift or weekly off is resolved from the pattern.
• Given several sources (roster, pattern, group, company), when a date is checked, then the precedence rule decides the weekly off (YX-AT-02).
• Given weekly offs, when stored, then they are never saved as holiday rows (YX-AT-02).</t>
        </is>
      </c>
      <c r="O870" s="5" t="inlineStr">
        <is>
          <t>YX-AT-02</t>
        </is>
      </c>
      <c r="P870" t="inlineStr">
        <is>
          <t>M02 §B2</t>
        </is>
      </c>
      <c r="Q870" t="inlineStr">
        <is>
          <t>US-C-047</t>
        </is>
      </c>
      <c r="R870" s="5" t="inlineStr"/>
    </row>
    <row r="871">
      <c r="A871" t="inlineStr">
        <is>
          <t>US-C-049</t>
        </is>
      </c>
      <c r="B871" t="n">
        <v>648</v>
      </c>
      <c r="C871" t="inlineStr">
        <is>
          <t>Story</t>
        </is>
      </c>
      <c r="D871" s="5" t="inlineStr">
        <is>
          <t xml:space="preserve">        Manager builds and publishes a roster</t>
        </is>
      </c>
      <c r="E871" t="inlineStr">
        <is>
          <t>Step 4 · Time and leave</t>
        </is>
      </c>
      <c r="F871" t="inlineStr">
        <is>
          <t>Shifts, weekly offs and rosters</t>
        </is>
      </c>
      <c r="G871" t="inlineStr">
        <is>
          <t>New</t>
        </is>
      </c>
      <c r="I871">
        <f>IF(H871&lt;&gt;"",H871,G871)</f>
        <v/>
      </c>
      <c r="J871" t="inlineStr">
        <is>
          <t>Step 4-c shifts and rosters</t>
        </is>
      </c>
      <c r="K871" t="n">
        <v>5</v>
      </c>
      <c r="L871" t="n">
        <v>1</v>
      </c>
      <c r="M871" s="5" t="inlineStr">
        <is>
          <t>As a manager, I want to drag shifts onto people and publish the roster so that my team knows when to work.</t>
        </is>
      </c>
      <c r="N871" s="5" t="inlineStr">
        <is>
          <t>• Given I assign shifts, when two shifts overlap or rest between them is below the minimum, then the roster flags it (YX-AT-07).
• Given I publish, when it is saved, then affected employees are notified (YX-AT-07).
• Given an employee asks to swap with a colleague, when the colleague agrees and the approver approves, then the roster updates (YX-WF-10).
• Given I copy last week, when I paste, then leave and holidays are shown as conflicts.</t>
        </is>
      </c>
      <c r="O871" s="5" t="inlineStr">
        <is>
          <t>YX-AT-07, YX-WF-10</t>
        </is>
      </c>
      <c r="P871" t="inlineStr">
        <is>
          <t>M02 §B2</t>
        </is>
      </c>
      <c r="Q871" t="inlineStr">
        <is>
          <t>US-C-048, US-C-003, US-C-014</t>
        </is>
      </c>
      <c r="R871" s="5" t="inlineStr"/>
    </row>
    <row r="872">
      <c r="A872" t="inlineStr">
        <is>
          <t>US-C-050</t>
        </is>
      </c>
      <c r="B872" t="n">
        <v>649</v>
      </c>
      <c r="C872" t="inlineStr">
        <is>
          <t>Story</t>
        </is>
      </c>
      <c r="D872" s="5" t="inlineStr">
        <is>
          <t xml:space="preserve">        Women's night-shift guard</t>
        </is>
      </c>
      <c r="E872" t="inlineStr">
        <is>
          <t>Step 4 · Time and leave</t>
        </is>
      </c>
      <c r="F872" t="inlineStr">
        <is>
          <t>Shifts, weekly offs and rosters</t>
        </is>
      </c>
      <c r="G872" t="inlineStr">
        <is>
          <t>New</t>
        </is>
      </c>
      <c r="I872">
        <f>IF(H872&lt;&gt;"",H872,G872)</f>
        <v/>
      </c>
      <c r="J872" t="inlineStr">
        <is>
          <t>Step 4-c shifts and rosters</t>
        </is>
      </c>
      <c r="K872" t="n">
        <v>5</v>
      </c>
      <c r="L872" t="n">
        <v>1</v>
      </c>
      <c r="M872" s="5" t="inlineStr">
        <is>
          <t>As an HR admin, I want the system to stop placing a woman on a night shift without consent and safeguards so that we follow the law.</t>
        </is>
      </c>
      <c r="N872" s="5" t="inlineStr">
        <is>
          <t>• Given a woman has no valid night-work consent for the date, when any path (manual, pattern, swap, open shift, bid, auto-roster) places her in the legal night window, then it is refused with the reason (YX-AT-25).
• Given the location's safeguards checklist has lapsed, when the same is tried, then it is refused (YX-AT-25).
• Given the company's night definition, when it is saved, then it can be wider but never narrower than the P07 window for the state (YX-AT-25).
• Given she withdraws consent, when the next roster is published, then she is not placed at night and no adverse action is allowed.</t>
        </is>
      </c>
      <c r="O872" s="5" t="inlineStr">
        <is>
          <t>YX-AT-25</t>
        </is>
      </c>
      <c r="P872" t="inlineStr">
        <is>
          <t>M02 §B2</t>
        </is>
      </c>
      <c r="Q872" t="inlineStr">
        <is>
          <t>US-C-049, US-C-027</t>
        </is>
      </c>
      <c r="R872" s="5" t="inlineStr"/>
    </row>
    <row r="873">
      <c r="A873" t="inlineStr">
        <is>
          <t>US-C-051</t>
        </is>
      </c>
      <c r="B873" t="n">
        <v>650</v>
      </c>
      <c r="C873" t="inlineStr">
        <is>
          <t>Story</t>
        </is>
      </c>
      <c r="D873" s="5" t="inlineStr">
        <is>
          <t xml:space="preserve">        Night-work consents, safeguards and register</t>
        </is>
      </c>
      <c r="E873" t="inlineStr">
        <is>
          <t>Step 4 · Time and leave</t>
        </is>
      </c>
      <c r="F873" t="inlineStr">
        <is>
          <t>Shifts, weekly offs and rosters</t>
        </is>
      </c>
      <c r="G873" t="inlineStr">
        <is>
          <t>New</t>
        </is>
      </c>
      <c r="I873">
        <f>IF(H873&lt;&gt;"",H873,G873)</f>
        <v/>
      </c>
      <c r="J873" t="inlineStr">
        <is>
          <t>Step 4-c shifts and rosters</t>
        </is>
      </c>
      <c r="K873" t="n">
        <v>3</v>
      </c>
      <c r="L873" t="n">
        <v>2</v>
      </c>
      <c r="M873" s="5" t="inlineStr">
        <is>
          <t>As a location admin, I want consents, safeguard attestations and the night-shift register kept for me so that I am ready for an inspection.</t>
        </is>
      </c>
      <c r="N873" s="5" t="inlineStr">
        <is>
          <t>• Given a consent, when a woman signs it, then it is stored as a P05 document (YX-AT-26).
• Given a safeguard item has a review date, when the date is near, then the location admin and HR are alerted (YX-AT-26).
• Given a period, when it is locked, then the register of women night-shift workers is generated in the dated P07 format and frozen (YX-AT-26).</t>
        </is>
      </c>
      <c r="O873" s="5" t="inlineStr">
        <is>
          <t>YX-AT-26</t>
        </is>
      </c>
      <c r="P873" t="inlineStr">
        <is>
          <t>M02 §B2, M02 §B5</t>
        </is>
      </c>
      <c r="Q873" t="inlineStr">
        <is>
          <t>US-C-050, US-C-030</t>
        </is>
      </c>
      <c r="R873" s="5" t="inlineStr"/>
    </row>
    <row r="874">
      <c r="A874" s="9" t="inlineStr">
        <is>
          <t>FT-C-09</t>
        </is>
      </c>
      <c r="B874" s="9" t="n">
        <v>651</v>
      </c>
      <c r="C874" s="9" t="inlineStr">
        <is>
          <t>Feature</t>
        </is>
      </c>
      <c r="D874" s="10" t="inlineStr">
        <is>
          <t xml:space="preserve">    Punches and check-in</t>
        </is>
      </c>
      <c r="E874" s="9" t="inlineStr">
        <is>
          <t>Step 4 · Time and leave</t>
        </is>
      </c>
      <c r="F874" s="9" t="inlineStr">
        <is>
          <t>Punches and check-in</t>
        </is>
      </c>
      <c r="G874" s="9" t="inlineStr">
        <is>
          <t>New</t>
        </is>
      </c>
      <c r="H874" s="9" t="n"/>
      <c r="I874" s="9">
        <f>IF(H874&lt;&gt;"",H874,G874)</f>
        <v/>
      </c>
      <c r="J874" s="9" t="inlineStr">
        <is>
          <t>Step 4-d punches and day engine</t>
        </is>
      </c>
      <c r="K874" s="9" t="n"/>
      <c r="L874" s="9" t="n"/>
      <c r="M874" s="10" t="inlineStr"/>
      <c r="N874" s="10" t="inlineStr"/>
      <c r="O874" s="10" t="inlineStr">
        <is>
          <t>YX-AT-01, YX-AT-23, YX-AT-13, YX-AT-24, YX-AT-15</t>
        </is>
      </c>
      <c r="P874" s="9" t="inlineStr">
        <is>
          <t>M02 §B1</t>
        </is>
      </c>
      <c r="Q874" s="9" t="inlineStr"/>
      <c r="R874" s="10" t="inlineStr"/>
      <c r="S874" s="9" t="n"/>
    </row>
    <row r="875">
      <c r="A875" t="inlineStr">
        <is>
          <t>US-C-052</t>
        </is>
      </c>
      <c r="B875" t="n">
        <v>651</v>
      </c>
      <c r="C875" t="inlineStr">
        <is>
          <t>Story</t>
        </is>
      </c>
      <c r="D875" s="5" t="inlineStr">
        <is>
          <t xml:space="preserve">        Employee checks in on mobile or web</t>
        </is>
      </c>
      <c r="E875" t="inlineStr">
        <is>
          <t>Step 4 · Time and leave</t>
        </is>
      </c>
      <c r="F875" t="inlineStr">
        <is>
          <t>Punches and check-in</t>
        </is>
      </c>
      <c r="G875" t="inlineStr">
        <is>
          <t>New</t>
        </is>
      </c>
      <c r="I875">
        <f>IF(H875&lt;&gt;"",H875,G875)</f>
        <v/>
      </c>
      <c r="J875" t="inlineStr">
        <is>
          <t>Step 4-d punches and day engine</t>
        </is>
      </c>
      <c r="K875" t="n">
        <v>5</v>
      </c>
      <c r="L875" t="n">
        <v>1</v>
      </c>
      <c r="M875" s="5" t="inlineStr">
        <is>
          <t>As an employee, I want to check in from my phone or browser and see why it fails so that my attendance is correct.</t>
        </is>
      </c>
      <c r="N875" s="5" t="inlineStr">
        <is>
          <t>• Given my location's geofence or IP rule, when I check in, then the punch stores source, location verdict and device, and duplicates are ignored (YX-AT-01).
• Given I am outside the geofence, when I try to check in, then I see my pin, accuracy and the allowed area, a plain reason ('Outside Chennai HQ, 850 m away') and a Retry location button (YX-AT-23).
• Given my attempt is refused or abandoned, when it ends, then it is logged (YX-AT-23).
• Given multiple allowed locations, when I am inside any one, then the punch is accepted.</t>
        </is>
      </c>
      <c r="O875" s="5" t="inlineStr">
        <is>
          <t>YX-AT-01, YX-AT-23</t>
        </is>
      </c>
      <c r="P875" t="inlineStr">
        <is>
          <t>M02 §B1</t>
        </is>
      </c>
      <c r="Q875" t="inlineStr">
        <is>
          <t>US-C-047</t>
        </is>
      </c>
      <c r="R875" s="5" t="inlineStr"/>
    </row>
    <row r="876">
      <c r="A876" t="inlineStr">
        <is>
          <t>US-C-053</t>
        </is>
      </c>
      <c r="B876" t="n">
        <v>652</v>
      </c>
      <c r="C876" t="inlineStr">
        <is>
          <t>Story</t>
        </is>
      </c>
      <c r="D876" s="5" t="inlineStr">
        <is>
          <t xml:space="preserve">        Biometric device and kiosk punches</t>
        </is>
      </c>
      <c r="E876" t="inlineStr">
        <is>
          <t>Step 4 · Time and leave</t>
        </is>
      </c>
      <c r="F876" t="inlineStr">
        <is>
          <t>Punches and check-in</t>
        </is>
      </c>
      <c r="G876" t="inlineStr">
        <is>
          <t>New</t>
        </is>
      </c>
      <c r="I876">
        <f>IF(H876&lt;&gt;"",H876,G876)</f>
        <v/>
      </c>
      <c r="J876" t="inlineStr">
        <is>
          <t>Step 4-d punches and day engine</t>
        </is>
      </c>
      <c r="K876" t="n">
        <v>5</v>
      </c>
      <c r="L876" t="n">
        <v>1</v>
      </c>
      <c r="M876" s="5" t="inlineStr">
        <is>
          <t>As an HR admin, I want punches from biometric devices and shared kiosks so that factory workers without phones are recorded.</t>
        </is>
      </c>
      <c r="N876" s="5" t="inlineStr">
        <is>
          <t>• Given a device pushes punches, when duplicates arrive, then they are ignored (YX-AT-01).
• Given a kiosk punch by employee code + PIN or ID QR, when stored, then it carries the kiosk id and location (YX-AT-01).
• Given a punch for a shift that started before the lock, when it arrives, then it attaches to that shift without a late request (YX-AT-13).
• Given a CSV upload, when it is imported, then each row is validated and errors are listed by row.</t>
        </is>
      </c>
      <c r="O876" s="5" t="inlineStr">
        <is>
          <t>YX-AT-01, YX-AT-13</t>
        </is>
      </c>
      <c r="P876" t="inlineStr">
        <is>
          <t>M02 §B1, P10 Q4</t>
        </is>
      </c>
      <c r="Q876" t="inlineStr">
        <is>
          <t>US-C-052</t>
        </is>
      </c>
      <c r="R876" s="5" t="inlineStr"/>
    </row>
    <row r="877">
      <c r="A877" t="inlineStr">
        <is>
          <t>US-C-054</t>
        </is>
      </c>
      <c r="B877" t="n">
        <v>653</v>
      </c>
      <c r="C877" t="inlineStr">
        <is>
          <t>Story</t>
        </is>
      </c>
      <c r="D877" s="5" t="inlineStr">
        <is>
          <t xml:space="preserve">        Offline check-in on mobile</t>
        </is>
      </c>
      <c r="E877" t="inlineStr">
        <is>
          <t>Step 4 · Time and leave</t>
        </is>
      </c>
      <c r="F877" t="inlineStr">
        <is>
          <t>Punches and check-in</t>
        </is>
      </c>
      <c r="G877" t="inlineStr">
        <is>
          <t>New</t>
        </is>
      </c>
      <c r="I877">
        <f>IF(H877&lt;&gt;"",H877,G877)</f>
        <v/>
      </c>
      <c r="J877" t="inlineStr">
        <is>
          <t>Step 4-d punches and day engine</t>
        </is>
      </c>
      <c r="K877" t="n">
        <v>3</v>
      </c>
      <c r="L877" t="n">
        <v>1</v>
      </c>
      <c r="M877" s="5" t="inlineStr">
        <is>
          <t>As a field employee, I want to check in without network so that my attendance is saved and synced later.</t>
        </is>
      </c>
      <c r="N877" s="5" t="inlineStr">
        <is>
          <t>• Given no connectivity, when I check in, then the punch is queued on the device with device time, GPS and accuracy and shows 'pending sync' (YX-AT-24).
• Given I am back online, when sync runs, then the punch is stored with device time and server time and flagged offline (YX-AT-24).
• Given a synced offline punch, when the day engine runs, then it uses the device time (YX-AT-24).</t>
        </is>
      </c>
      <c r="O877" s="5" t="inlineStr">
        <is>
          <t>YX-AT-24</t>
        </is>
      </c>
      <c r="P877" t="inlineStr">
        <is>
          <t>M02 §B1</t>
        </is>
      </c>
      <c r="Q877" t="inlineStr">
        <is>
          <t>US-C-052</t>
        </is>
      </c>
      <c r="R877" s="5" t="inlineStr"/>
    </row>
    <row r="878">
      <c r="A878" t="inlineStr">
        <is>
          <t>US-C-055</t>
        </is>
      </c>
      <c r="B878" t="n">
        <v>654</v>
      </c>
      <c r="C878" t="inlineStr">
        <is>
          <t>Story</t>
        </is>
      </c>
      <c r="D878" s="5" t="inlineStr">
        <is>
          <t xml:space="preserve">        Day card shows punch details</t>
        </is>
      </c>
      <c r="E878" t="inlineStr">
        <is>
          <t>Step 4 · Time and leave</t>
        </is>
      </c>
      <c r="F878" t="inlineStr">
        <is>
          <t>Punches and check-in</t>
        </is>
      </c>
      <c r="G878" t="inlineStr">
        <is>
          <t>New</t>
        </is>
      </c>
      <c r="I878">
        <f>IF(H878&lt;&gt;"",H878,G878)</f>
        <v/>
      </c>
      <c r="J878" t="inlineStr">
        <is>
          <t>Step 4-d punches and day engine</t>
        </is>
      </c>
      <c r="K878" t="n">
        <v>3</v>
      </c>
      <c r="L878" t="n">
        <v>2</v>
      </c>
      <c r="M878" s="5" t="inlineStr">
        <is>
          <t>As a manager, I want to see each punch's source and location on the day card so that I can check doubtful attendance.</t>
        </is>
      </c>
      <c r="N878" s="5" t="inlineStr">
        <is>
          <t>• Given I am in scope, when I open a day card, then I see each punch's source, map pin, distance to the nearest allowed location and verdict (YX-AT-15).
• Given I am not in scope, when I try to open it, then it is refused.
• Given a field-recorded punch, when shown, then the verdict says 'field-recorded' (YX-AT-15).</t>
        </is>
      </c>
      <c r="O878" s="5" t="inlineStr">
        <is>
          <t>YX-AT-15</t>
        </is>
      </c>
      <c r="P878" t="inlineStr">
        <is>
          <t>M02 §B1</t>
        </is>
      </c>
      <c r="Q878" t="inlineStr">
        <is>
          <t>US-C-052</t>
        </is>
      </c>
      <c r="R878" s="5" t="inlineStr"/>
    </row>
    <row r="879">
      <c r="A879" s="9" t="inlineStr">
        <is>
          <t>FT-C-10</t>
        </is>
      </c>
      <c r="B879" s="9" t="n">
        <v>655</v>
      </c>
      <c r="C879" s="9" t="inlineStr">
        <is>
          <t>Feature</t>
        </is>
      </c>
      <c r="D879" s="10" t="inlineStr">
        <is>
          <t xml:space="preserve">    Day engine, requests, overtime and muster</t>
        </is>
      </c>
      <c r="E879" s="9" t="inlineStr">
        <is>
          <t>Step 4 · Time and leave</t>
        </is>
      </c>
      <c r="F879" s="9" t="inlineStr">
        <is>
          <t>Day engine, requests, overtime and muster</t>
        </is>
      </c>
      <c r="G879" s="9" t="inlineStr">
        <is>
          <t>New</t>
        </is>
      </c>
      <c r="H879" s="9" t="n"/>
      <c r="I879" s="9">
        <f>IF(H879&lt;&gt;"",H879,G879)</f>
        <v/>
      </c>
      <c r="J879" s="9" t="inlineStr">
        <is>
          <t>Step 4-d punches and day engine</t>
        </is>
      </c>
      <c r="K879" s="9" t="n"/>
      <c r="L879" s="9" t="n"/>
      <c r="M879" s="10" t="inlineStr"/>
      <c r="N879" s="10" t="inlineStr"/>
      <c r="O879" s="10" t="inlineStr">
        <is>
          <t>YX-AT-09, YX-AT-03, YX-AT-10, YX-AT-12, YX-AT-05, YX-AT-04, YX-AT-06, YX-WF-10, YX-AT-14, YX-LOCK-07, YX-AT-08, YX-PAY-24, YX-AT-15</t>
        </is>
      </c>
      <c r="P879" s="9" t="inlineStr">
        <is>
          <t>M02 §B3, M02 §B4, M02 §B5, M02 §B6</t>
        </is>
      </c>
      <c r="Q879" s="9" t="inlineStr"/>
      <c r="R879" s="10" t="inlineStr"/>
      <c r="S879" s="9" t="n"/>
    </row>
    <row r="880">
      <c r="A880" t="inlineStr">
        <is>
          <t>US-C-056</t>
        </is>
      </c>
      <c r="B880" t="n">
        <v>655</v>
      </c>
      <c r="C880" t="inlineStr">
        <is>
          <t>Story</t>
        </is>
      </c>
      <c r="D880" s="5" t="inlineStr">
        <is>
          <t xml:space="preserve">        Attendance mode per group</t>
        </is>
      </c>
      <c r="E880" t="inlineStr">
        <is>
          <t>Step 4 · Time and leave</t>
        </is>
      </c>
      <c r="F880" t="inlineStr">
        <is>
          <t>Day engine, requests, overtime and muster</t>
        </is>
      </c>
      <c r="G880" t="inlineStr">
        <is>
          <t>New</t>
        </is>
      </c>
      <c r="I880">
        <f>IF(H880&lt;&gt;"",H880,G880)</f>
        <v/>
      </c>
      <c r="J880" t="inlineStr">
        <is>
          <t>Step 4-d punches and day engine</t>
        </is>
      </c>
      <c r="K880" t="n">
        <v>3</v>
      </c>
      <c r="L880" t="n">
        <v>1</v>
      </c>
      <c r="M880" s="5" t="inlineStr">
        <is>
          <t>As an HR admin, I want to set each group to Punch, Assumed present or Timesheet mode so that office staff do not need to punch.</t>
        </is>
      </c>
      <c r="N880" s="5" t="inlineStr">
        <is>
          <t>• Given a scoped setting (entity, location, department, employment type), when an employee is checked, then they resolve to exactly one mode (YX-AT-09).
• Given Punch mode, when I set the missing-punch effect, then I choose block (default) or warn (YX-AT-09).
• Given Assumed-present mode, when days are evaluated, then no missing-punch exceptions are raised (YX-AT-09).
• Given the mode, when the muster opens, then the mode and block/warn switch are shown.</t>
        </is>
      </c>
      <c r="O880" s="5" t="inlineStr">
        <is>
          <t>YX-AT-09</t>
        </is>
      </c>
      <c r="P880" t="inlineStr">
        <is>
          <t>M02 §B3</t>
        </is>
      </c>
      <c r="Q880" t="inlineStr"/>
      <c r="R880" s="5" t="inlineStr"/>
    </row>
    <row r="881">
      <c r="A881" t="inlineStr">
        <is>
          <t>US-C-057</t>
        </is>
      </c>
      <c r="B881" t="n">
        <v>656</v>
      </c>
      <c r="C881" t="inlineStr">
        <is>
          <t>Story</t>
        </is>
      </c>
      <c r="D881" s="5" t="inlineStr">
        <is>
          <t xml:space="preserve">        Day engine works out each day's status</t>
        </is>
      </c>
      <c r="E881" t="inlineStr">
        <is>
          <t>Step 4 · Time and leave</t>
        </is>
      </c>
      <c r="F881" t="inlineStr">
        <is>
          <t>Day engine, requests, overtime and muster</t>
        </is>
      </c>
      <c r="G881" t="inlineStr">
        <is>
          <t>New</t>
        </is>
      </c>
      <c r="I881">
        <f>IF(H881&lt;&gt;"",H881,G881)</f>
        <v/>
      </c>
      <c r="J881" t="inlineStr">
        <is>
          <t>Step 4-d punches and day engine</t>
        </is>
      </c>
      <c r="K881" t="n">
        <v>5</v>
      </c>
      <c r="L881" t="n">
        <v>1</v>
      </c>
      <c r="M881" s="5" t="inlineStr">
        <is>
          <t>As an employee, I want my day status worked out correctly from my punches, leave and holidays so that I am not marked absent by mistake.</t>
        </is>
      </c>
      <c r="N881" s="5" t="inlineStr">
        <is>
          <t>• Given a missing check-out, when the day is evaluated, then the status is 'missing check-out', never a threshold status (YX-AT-03).
• Given an employee is suspended, on long leave, pre-boarding or exited, when those days are evaluated, then no exceptions, late marks or nudges are raised (YX-AT-10).
• Given a half-day leave, when the day is evaluated, then grace starts at the working half, the leave half has no late penalty, and OT uses half-day hours (YX-AT-12).
• Given a late punch sync or an approved regularisation, when inputs change, then the day is re-evaluated until the period is frozen.</t>
        </is>
      </c>
      <c r="O881" s="5" t="inlineStr">
        <is>
          <t>YX-AT-03, YX-AT-10, YX-AT-12</t>
        </is>
      </c>
      <c r="P881" t="inlineStr">
        <is>
          <t>M02 §B3</t>
        </is>
      </c>
      <c r="Q881" t="inlineStr">
        <is>
          <t>US-C-056, US-C-052, US-C-048, US-C-038</t>
        </is>
      </c>
      <c r="R881" s="5" t="inlineStr"/>
    </row>
    <row r="882">
      <c r="A882" t="inlineStr">
        <is>
          <t>US-C-058</t>
        </is>
      </c>
      <c r="B882" t="n">
        <v>658</v>
      </c>
      <c r="C882" t="inlineStr">
        <is>
          <t>Story</t>
        </is>
      </c>
      <c r="D882" s="5" t="inlineStr">
        <is>
          <t xml:space="preserve">        Late penalties by company policy</t>
        </is>
      </c>
      <c r="E882" t="inlineStr">
        <is>
          <t>Step 4 · Time and leave</t>
        </is>
      </c>
      <c r="F882" t="inlineStr">
        <is>
          <t>Day engine, requests, overtime and muster</t>
        </is>
      </c>
      <c r="G882" t="inlineStr">
        <is>
          <t>New</t>
        </is>
      </c>
      <c r="I882">
        <f>IF(H882&lt;&gt;"",H882,G882)</f>
        <v/>
      </c>
      <c r="J882" t="inlineStr">
        <is>
          <t>Step 4-d punches and day engine</t>
        </is>
      </c>
      <c r="K882" t="n">
        <v>3</v>
      </c>
      <c r="L882" t="n">
        <v>2</v>
      </c>
      <c r="M882" s="5" t="inlineStr">
        <is>
          <t>As an HR admin, I want late arrivals counted by our policy so that penalties are fair and visible.</t>
        </is>
      </c>
      <c r="N882" s="5" t="inlineStr">
        <is>
          <t>• Given the late policy (for example 3 lates = half day), when lates are counted, then the tenant's policy is applied (YX-AT-05).
• Given a penalty, when it is applied, then it shows on the day card and muster before it affects pay (YX-AT-05).
• Given the employee is on leave for the late half, when evaluated, then no penalty is counted (YX-AT-12).</t>
        </is>
      </c>
      <c r="O882" s="5" t="inlineStr">
        <is>
          <t>YX-AT-05, YX-AT-12</t>
        </is>
      </c>
      <c r="P882" t="inlineStr">
        <is>
          <t>M02 §B3</t>
        </is>
      </c>
      <c r="Q882" t="inlineStr">
        <is>
          <t>US-C-057</t>
        </is>
      </c>
      <c r="R882" s="5" t="inlineStr"/>
    </row>
    <row r="883">
      <c r="A883" t="inlineStr">
        <is>
          <t>US-C-059</t>
        </is>
      </c>
      <c r="B883" t="n">
        <v>659</v>
      </c>
      <c r="C883" t="inlineStr">
        <is>
          <t>Story</t>
        </is>
      </c>
      <c r="D883" s="5" t="inlineStr">
        <is>
          <t xml:space="preserve">        Overtime counted and approved</t>
        </is>
      </c>
      <c r="E883" t="inlineStr">
        <is>
          <t>Step 4 · Time and leave</t>
        </is>
      </c>
      <c r="F883" t="inlineStr">
        <is>
          <t>Day engine, requests, overtime and muster</t>
        </is>
      </c>
      <c r="G883" t="inlineStr">
        <is>
          <t>New</t>
        </is>
      </c>
      <c r="I883">
        <f>IF(H883&lt;&gt;"",H883,G883)</f>
        <v/>
      </c>
      <c r="J883" t="inlineStr">
        <is>
          <t>Step 4-d punches and day engine</t>
        </is>
      </c>
      <c r="K883" t="n">
        <v>5</v>
      </c>
      <c r="L883" t="n">
        <v>1</v>
      </c>
      <c r="M883" s="5" t="inlineStr">
        <is>
          <t>As a manager, I want to approve overtime that was really worked so that only correct OT is paid.</t>
        </is>
      </c>
      <c r="N883" s="5" t="inlineStr">
        <is>
          <t>• Given an employee works 7 minutes past shift end, when OT is counted, then nothing counts below the policy minimum (YX-AT-04).
• Given OT above the minimum, when counted, then it is rounded down to the policy unit and capped at the P07 limit (YX-AT-04).
• Given OT is pending, when payroll reads it, then only approved OT reaches payroll (YX-AT-04).</t>
        </is>
      </c>
      <c r="O883" s="5" t="inlineStr">
        <is>
          <t>YX-AT-04</t>
        </is>
      </c>
      <c r="P883" t="inlineStr">
        <is>
          <t>M02 §B3</t>
        </is>
      </c>
      <c r="Q883" t="inlineStr">
        <is>
          <t>US-C-057, US-C-003, US-C-027</t>
        </is>
      </c>
      <c r="R883" s="5" t="inlineStr"/>
    </row>
    <row r="884">
      <c r="A884" t="inlineStr">
        <is>
          <t>US-C-060</t>
        </is>
      </c>
      <c r="B884" t="n">
        <v>660</v>
      </c>
      <c r="C884" t="inlineStr">
        <is>
          <t>Story</t>
        </is>
      </c>
      <c r="D884" s="5" t="inlineStr">
        <is>
          <t xml:space="preserve">        Regularisation, WFH and on-duty requests</t>
        </is>
      </c>
      <c r="E884" t="inlineStr">
        <is>
          <t>Step 4 · Time and leave</t>
        </is>
      </c>
      <c r="F884" t="inlineStr">
        <is>
          <t>Day engine, requests, overtime and muster</t>
        </is>
      </c>
      <c r="G884" t="inlineStr">
        <is>
          <t>New</t>
        </is>
      </c>
      <c r="I884">
        <f>IF(H884&lt;&gt;"",H884,G884)</f>
        <v/>
      </c>
      <c r="J884" t="inlineStr">
        <is>
          <t>Step 4-d punches and day engine</t>
        </is>
      </c>
      <c r="K884" t="n">
        <v>5</v>
      </c>
      <c r="L884" t="n">
        <v>1</v>
      </c>
      <c r="M884" s="5" t="inlineStr">
        <is>
          <t>As an employee, I want to fix a missed punch or mark WFH or on-duty so that my day status is correct.</t>
        </is>
      </c>
      <c r="N884" s="5" t="inlineStr">
        <is>
          <t>• Given I missed a punch, when I raise a regularisation, then it routes for approval and the day is re-evaluated when approved (YX-WF-10).
• Given I am within the monthly limit, when I raise it, then it goes to my manager; beyond the limit it routes to HR (YX-AT-06).
• Given an approved WFH or on-duty, when the day is evaluated, then the status is WFH / on duty.</t>
        </is>
      </c>
      <c r="O884" s="5" t="inlineStr">
        <is>
          <t>YX-AT-06, YX-WF-10</t>
        </is>
      </c>
      <c r="P884" t="inlineStr">
        <is>
          <t>M02 §B4</t>
        </is>
      </c>
      <c r="Q884" t="inlineStr">
        <is>
          <t>US-C-057, US-C-003</t>
        </is>
      </c>
      <c r="R884" s="5" t="inlineStr"/>
    </row>
    <row r="885">
      <c r="A885" t="inlineStr">
        <is>
          <t>US-C-061</t>
        </is>
      </c>
      <c r="B885" t="n">
        <v>661</v>
      </c>
      <c r="C885" t="inlineStr">
        <is>
          <t>Story</t>
        </is>
      </c>
      <c r="D885" s="5" t="inlineStr">
        <is>
          <t xml:space="preserve">        Today board, muster and team calendar</t>
        </is>
      </c>
      <c r="E885" t="inlineStr">
        <is>
          <t>Step 4 · Time and leave</t>
        </is>
      </c>
      <c r="F885" t="inlineStr">
        <is>
          <t>Day engine, requests, overtime and muster</t>
        </is>
      </c>
      <c r="G885" t="inlineStr">
        <is>
          <t>New</t>
        </is>
      </c>
      <c r="I885">
        <f>IF(H885&lt;&gt;"",H885,G885)</f>
        <v/>
      </c>
      <c r="J885" t="inlineStr">
        <is>
          <t>Step 4-d punches and day engine</t>
        </is>
      </c>
      <c r="K885" t="n">
        <v>5</v>
      </c>
      <c r="L885" t="n">
        <v>1</v>
      </c>
      <c r="M885" s="5" t="inlineStr">
        <is>
          <t>As a manager, I want to see my team's attendance today and for the month so that I know who is in.</t>
        </is>
      </c>
      <c r="N885" s="5" t="inlineStr">
        <is>
          <t>• Given I am a manager, when I open the Today board, muster, team calendar or attendance calendar, then it opens on my team, not just me (YX-AT-14).
• Given I am HR, when I open them, then they open on my entity (YX-AT-14).
• Given I am an employee, when I want my own view, then I use the mobile Time tab (YX-AT-14).
• Given a late penalty, when it is applied, then it shows on the muster (YX-AT-05).</t>
        </is>
      </c>
      <c r="O885" s="5" t="inlineStr">
        <is>
          <t>YX-AT-14, YX-AT-05</t>
        </is>
      </c>
      <c r="P885" t="inlineStr">
        <is>
          <t>M02 §B5</t>
        </is>
      </c>
      <c r="Q885" t="inlineStr">
        <is>
          <t>US-C-057</t>
        </is>
      </c>
      <c r="R885" s="5" t="inlineStr"/>
    </row>
    <row r="886">
      <c r="A886" t="inlineStr">
        <is>
          <t>US-C-062</t>
        </is>
      </c>
      <c r="B886" t="n">
        <v>662</v>
      </c>
      <c r="C886" t="inlineStr">
        <is>
          <t>Story</t>
        </is>
      </c>
      <c r="D886" s="5" t="inlineStr">
        <is>
          <t xml:space="preserve">        Attendance exceptions list with nudges</t>
        </is>
      </c>
      <c r="E886" t="inlineStr">
        <is>
          <t>Step 4 · Time and leave</t>
        </is>
      </c>
      <c r="F886" t="inlineStr">
        <is>
          <t>Day engine, requests, overtime and muster</t>
        </is>
      </c>
      <c r="G886" t="inlineStr">
        <is>
          <t>New</t>
        </is>
      </c>
      <c r="I886">
        <f>IF(H886&lt;&gt;"",H886,G886)</f>
        <v/>
      </c>
      <c r="J886" t="inlineStr">
        <is>
          <t>Step 4-d punches and day engine</t>
        </is>
      </c>
      <c r="K886" t="n">
        <v>3</v>
      </c>
      <c r="L886" t="n">
        <v>1</v>
      </c>
      <c r="M886" s="5" t="inlineStr">
        <is>
          <t>As an HR admin, I want a list of days still missing punches so that we fix them before payroll.</t>
        </is>
      </c>
      <c r="N886" s="5" t="inlineStr">
        <is>
          <t>• Given a Punch-mode employee has a working day without complete punches and no leave, WFH, on-duty, holiday or weekly off, when the day is evaluated, then an exception is raised (YX-LOCK-07).
• Given Timesheet mode, when a working day has no approved timesheet, then that is the exception (YX-LOCK-07).
• Given Assumed-present mode, when days are evaluated, then no exception is raised (YX-LOCK-07).
• Given open exceptions, when the employee and manager are nudged, then the list shows the block/warn effect for payroll (YX-AT-08).</t>
        </is>
      </c>
      <c r="O886" s="5" t="inlineStr">
        <is>
          <t>YX-LOCK-07, YX-AT-08</t>
        </is>
      </c>
      <c r="P886" t="inlineStr">
        <is>
          <t>M02 §B5, P08 §A4b</t>
        </is>
      </c>
      <c r="Q886" t="inlineStr">
        <is>
          <t>US-C-057, US-C-018</t>
        </is>
      </c>
      <c r="R886" s="5" t="inlineStr"/>
    </row>
    <row r="887">
      <c r="A887" t="inlineStr">
        <is>
          <t>US-C-063</t>
        </is>
      </c>
      <c r="B887" t="n">
        <v>663</v>
      </c>
      <c r="C887" t="inlineStr">
        <is>
          <t>Story</t>
        </is>
      </c>
      <c r="D887" s="5" t="inlineStr">
        <is>
          <t xml:space="preserve">        Basic timesheets for Timesheet-mode groups</t>
        </is>
      </c>
      <c r="E887" t="inlineStr">
        <is>
          <t>Step 4 · Time and leave</t>
        </is>
      </c>
      <c r="F887" t="inlineStr">
        <is>
          <t>Day engine, requests, overtime and muster</t>
        </is>
      </c>
      <c r="G887" t="inlineStr">
        <is>
          <t>New</t>
        </is>
      </c>
      <c r="I887">
        <f>IF(H887&lt;&gt;"",H887,G887)</f>
        <v/>
      </c>
      <c r="J887" t="inlineStr">
        <is>
          <t>Step 4-d punches and day engine</t>
        </is>
      </c>
      <c r="K887" t="n">
        <v>3</v>
      </c>
      <c r="L887" t="n">
        <v>2</v>
      </c>
      <c r="M887" s="5" t="inlineStr">
        <is>
          <t>As a contract employee, I want to submit my hours as a timesheet so that I am paid for approved hours.</t>
        </is>
      </c>
      <c r="N887" s="5" t="inlineStr">
        <is>
          <t>• Given I am in Timesheet mode, when I submit a week's hours, then they route for approval (YX-AT-09).
• Given the timesheet is approved, when the day is evaluated, then the status comes from the approved hours (YX-AT-09).
• Given hours are not approved, when payroll reads the feed, then they are never paid (YX-PAY-24).</t>
        </is>
      </c>
      <c r="O887" s="5" t="inlineStr">
        <is>
          <t>YX-AT-09, YX-PAY-24</t>
        </is>
      </c>
      <c r="P887" t="inlineStr">
        <is>
          <t>M02 §B7</t>
        </is>
      </c>
      <c r="Q887" t="inlineStr">
        <is>
          <t>US-C-056, US-C-003</t>
        </is>
      </c>
      <c r="R887" s="5" t="inlineStr"/>
    </row>
    <row r="888">
      <c r="A888" t="inlineStr">
        <is>
          <t>US-C-064</t>
        </is>
      </c>
      <c r="B888" t="n">
        <v>664</v>
      </c>
      <c r="C888" t="inlineStr">
        <is>
          <t>Story</t>
        </is>
      </c>
      <c r="D888" s="5" t="inlineStr">
        <is>
          <t xml:space="preserve">        Attendance feed to payroll</t>
        </is>
      </c>
      <c r="E888" t="inlineStr">
        <is>
          <t>Step 4 · Time and leave</t>
        </is>
      </c>
      <c r="F888" t="inlineStr">
        <is>
          <t>Day engine, requests, overtime and muster</t>
        </is>
      </c>
      <c r="G888" t="inlineStr">
        <is>
          <t>New</t>
        </is>
      </c>
      <c r="I888">
        <f>IF(H888&lt;&gt;"",H888,G888)</f>
        <v/>
      </c>
      <c r="J888" t="inlineStr">
        <is>
          <t>Step 4-d punches and day engine</t>
        </is>
      </c>
      <c r="K888" t="n">
        <v>5</v>
      </c>
      <c r="L888" t="n">
        <v>1</v>
      </c>
      <c r="M888" s="5" t="inlineStr">
        <is>
          <t>As a payroll admin, I want payable days, LOP, approved OT and shift allowances from attendance so that I do not type them.</t>
        </is>
      </c>
      <c r="N888" s="5" t="inlineStr">
        <is>
          <t>• Given a period, when payroll asks for the feed, then it gets payable days, LOP days, approved OT hours and shift / night allowance counts per employee (YX-AT-04).
• Given Assumed-present groups, when the feed is built, then LOP comes from HR's manual entry, not from punches (YX-AT-09).
• Given open exceptions in a block group, when the feed is requested, then the group is marked 'not ready' (YX-AT-08).</t>
        </is>
      </c>
      <c r="O888" s="5" t="inlineStr">
        <is>
          <t>YX-AT-04, YX-AT-09, YX-AT-08</t>
        </is>
      </c>
      <c r="P888" t="inlineStr">
        <is>
          <t>M02 §B6</t>
        </is>
      </c>
      <c r="Q888" t="inlineStr">
        <is>
          <t>US-C-059, US-C-062</t>
        </is>
      </c>
      <c r="R888" s="5" t="inlineStr"/>
    </row>
    <row r="889">
      <c r="A889" t="inlineStr">
        <is>
          <t>US-C-065</t>
        </is>
      </c>
      <c r="B889" t="n">
        <v>665</v>
      </c>
      <c r="C889" t="inlineStr">
        <is>
          <t>Story</t>
        </is>
      </c>
      <c r="D889" s="5" t="inlineStr">
        <is>
          <t xml:space="preserve">        Finish the Time screens against the real API</t>
        </is>
      </c>
      <c r="E889" t="inlineStr">
        <is>
          <t>Step 4 · Time and leave</t>
        </is>
      </c>
      <c r="F889" t="inlineStr">
        <is>
          <t>Day engine, requests, overtime and muster</t>
        </is>
      </c>
      <c r="G889" t="inlineStr">
        <is>
          <t>New</t>
        </is>
      </c>
      <c r="I889">
        <f>IF(H889&lt;&gt;"",H889,G889)</f>
        <v/>
      </c>
      <c r="J889" t="inlineStr">
        <is>
          <t>Step 4-d punches and day engine</t>
        </is>
      </c>
      <c r="K889" t="n">
        <v>5</v>
      </c>
      <c r="L889" t="n">
        <v>1</v>
      </c>
      <c r="M889" s="5" t="inlineStr">
        <is>
          <t>As the founder, I want the Time screens in packages/yx-ui/src/screens/time wired to the real API so that what we reviewed is what users get.</t>
        </is>
      </c>
      <c r="N889" s="5" t="inlineStr">
        <is>
          <t>• Given each Time story in packages/yx-ui/src/screens/time, when it loads, then data comes from the API, with empty, loading and error states.
• Given the review files packages/yx-ui/review/TIME-REVIEW.md and TIME-REVIEW-ROUND2.md, when the screens are finished, then every open item is fixed or listed with a reason.
• Given a manager opens the muster, when it loads, then it opens on the team scope (YX-AT-14).
• Given a day card, when opened, then it shows punch source, pin and verdict from the API (YX-AT-15).</t>
        </is>
      </c>
      <c r="O889" s="5" t="inlineStr">
        <is>
          <t>YX-AT-14, YX-AT-15</t>
        </is>
      </c>
      <c r="P889" t="inlineStr">
        <is>
          <t>M02 §7, APX-D</t>
        </is>
      </c>
      <c r="Q889" t="inlineStr">
        <is>
          <t>US-C-061, US-C-055, US-C-038</t>
        </is>
      </c>
      <c r="R889" s="5" t="inlineStr"/>
    </row>
    <row r="890">
      <c r="A890" s="9" t="inlineStr">
        <is>
          <t>FT-C-11</t>
        </is>
      </c>
      <c r="B890" s="9" t="n">
        <v>666</v>
      </c>
      <c r="C890" s="9" t="inlineStr">
        <is>
          <t>Feature</t>
        </is>
      </c>
      <c r="D890" s="10" t="inlineStr">
        <is>
          <t xml:space="preserve">    Time extensions for later waves</t>
        </is>
      </c>
      <c r="E890" s="9" t="inlineStr">
        <is>
          <t>Step 4 · Time and leave</t>
        </is>
      </c>
      <c r="F890" s="9" t="inlineStr">
        <is>
          <t>Time extensions for later waves</t>
        </is>
      </c>
      <c r="G890" s="9" t="inlineStr">
        <is>
          <t>New</t>
        </is>
      </c>
      <c r="H890" s="9" t="n"/>
      <c r="I890" s="9">
        <f>IF(H890&lt;&gt;"",H890,G890)</f>
        <v/>
      </c>
      <c r="J890" s="9" t="inlineStr">
        <is>
          <t>Step 4-e later waves</t>
        </is>
      </c>
      <c r="K890" s="9" t="n"/>
      <c r="L890" s="9" t="n"/>
      <c r="M890" s="10" t="inlineStr"/>
      <c r="N890" s="10" t="inlineStr"/>
      <c r="O890" s="10" t="inlineStr">
        <is>
          <t>YX-AT-16, YX-AT-17, YX-AT-18, YX-AT-19, YX-AT-25, YX-AT-07, YX-AT-20, YX-AT-21, YX-AT-22, YX-AT-27, YX-AT-28, YX-AT-29, YX-AT-30</t>
        </is>
      </c>
      <c r="P890" s="9" t="inlineStr">
        <is>
          <t>M02 §B8–§B12</t>
        </is>
      </c>
      <c r="Q890" s="9" t="inlineStr"/>
      <c r="R890" s="10" t="inlineStr"/>
      <c r="S890" s="9" t="n"/>
    </row>
    <row r="891">
      <c r="A891" t="inlineStr">
        <is>
          <t>US-C-066</t>
        </is>
      </c>
      <c r="B891" t="n">
        <v>666</v>
      </c>
      <c r="C891" t="inlineStr">
        <is>
          <t>Story</t>
        </is>
      </c>
      <c r="D891" s="5" t="inlineStr">
        <is>
          <t xml:space="preserve">        Field-force location trail with consent</t>
        </is>
      </c>
      <c r="E891" t="inlineStr">
        <is>
          <t>Step 4 · Time and leave</t>
        </is>
      </c>
      <c r="F891" t="inlineStr">
        <is>
          <t>Time extensions for later waves</t>
        </is>
      </c>
      <c r="G891" t="inlineStr">
        <is>
          <t>New</t>
        </is>
      </c>
      <c r="I891">
        <f>IF(H891&lt;&gt;"",H891,G891)</f>
        <v/>
      </c>
      <c r="J891" t="inlineStr">
        <is>
          <t>Step 4-e later waves</t>
        </is>
      </c>
      <c r="K891" t="n">
        <v>5</v>
      </c>
      <c r="L891" t="n">
        <v>3</v>
      </c>
      <c r="M891" s="5" t="inlineStr">
        <is>
          <t>As a field sales employee, I want location tracked only while I am on duty and with my consent so that my privacy is safe.</t>
        </is>
      </c>
      <c r="N891" s="5" t="inlineStr">
        <is>
          <t>• Given my group has tracking on and my consent is on record, when I check in for duty, then location points are collected until check-out (YX-AT-16).
• Given I am on leave, weekly off, holiday or after check-out, when the app runs, then no points are collected unless an approved on-duty covers the day (YX-AT-16).
• Given tracking is on, when I look at the app, then it shows 'Tracking on' (YX-AT-16).</t>
        </is>
      </c>
      <c r="O891" s="5" t="inlineStr">
        <is>
          <t>YX-AT-16</t>
        </is>
      </c>
      <c r="P891" t="inlineStr">
        <is>
          <t>M02 §B8</t>
        </is>
      </c>
      <c r="Q891" t="inlineStr">
        <is>
          <t>US-C-052</t>
        </is>
      </c>
      <c r="R891" s="5" t="inlineStr"/>
    </row>
    <row r="892">
      <c r="A892" t="inlineStr">
        <is>
          <t>US-C-067</t>
        </is>
      </c>
      <c r="B892" t="n">
        <v>667</v>
      </c>
      <c r="C892" t="inlineStr">
        <is>
          <t>Story</t>
        </is>
      </c>
      <c r="D892" s="5" t="inlineStr">
        <is>
          <t xml:space="preserve">        Client-site visit check-in</t>
        </is>
      </c>
      <c r="E892" t="inlineStr">
        <is>
          <t>Step 4 · Time and leave</t>
        </is>
      </c>
      <c r="F892" t="inlineStr">
        <is>
          <t>Time extensions for later waves</t>
        </is>
      </c>
      <c r="G892" t="inlineStr">
        <is>
          <t>New</t>
        </is>
      </c>
      <c r="I892">
        <f>IF(H892&lt;&gt;"",H892,G892)</f>
        <v/>
      </c>
      <c r="J892" t="inlineStr">
        <is>
          <t>Step 4-e later waves</t>
        </is>
      </c>
      <c r="K892" t="n">
        <v>5</v>
      </c>
      <c r="L892" t="n">
        <v>3</v>
      </c>
      <c r="M892" s="5" t="inlineStr">
        <is>
          <t>As a field employee, I want to check in at a client site with a photo so that my visit counts as present.</t>
        </is>
      </c>
      <c r="N892" s="5" t="inlineStr">
        <is>
          <t>• Given I check in at a site, when it is saved, then it records the geofence verdict, a camera-only stamped photo and notes (YX-AT-17).
• Given a beat plan, when the manager views it, then planned vs done is shown (YX-AT-17).
• Given mock location, impossible speed or gaps, when detected, then they are flagged, never auto-penalised (YX-AT-17).</t>
        </is>
      </c>
      <c r="O892" s="5" t="inlineStr">
        <is>
          <t>YX-AT-17</t>
        </is>
      </c>
      <c r="P892" t="inlineStr">
        <is>
          <t>M02 §B8</t>
        </is>
      </c>
      <c r="Q892" t="inlineStr">
        <is>
          <t>US-C-066</t>
        </is>
      </c>
      <c r="R892" s="5" t="inlineStr"/>
    </row>
    <row r="893">
      <c r="A893" t="inlineStr">
        <is>
          <t>US-C-068</t>
        </is>
      </c>
      <c r="B893" t="n">
        <v>668</v>
      </c>
      <c r="C893" t="inlineStr">
        <is>
          <t>Story</t>
        </is>
      </c>
      <c r="D893" s="5" t="inlineStr">
        <is>
          <t xml:space="preserve">        Distance-based conveyance draft</t>
        </is>
      </c>
      <c r="E893" t="inlineStr">
        <is>
          <t>Step 4 · Time and leave</t>
        </is>
      </c>
      <c r="F893" t="inlineStr">
        <is>
          <t>Time extensions for later waves</t>
        </is>
      </c>
      <c r="G893" t="inlineStr">
        <is>
          <t>New</t>
        </is>
      </c>
      <c r="I893">
        <f>IF(H893&lt;&gt;"",H893,G893)</f>
        <v/>
      </c>
      <c r="J893" t="inlineStr">
        <is>
          <t>Step 4-e later waves</t>
        </is>
      </c>
      <c r="K893" t="n">
        <v>3</v>
      </c>
      <c r="L893" t="n">
        <v>3</v>
      </c>
      <c r="M893" s="5" t="inlineStr">
        <is>
          <t>As a field employee, I want my travel distance turned into a draft mileage claim so that I claim it easily.</t>
        </is>
      </c>
      <c r="N893" s="5" t="inlineStr">
        <is>
          <t>• Given a duty day's distance, when it is computed, then a draft M05 mileage line is created (YX-AT-18).
• Given the draft, when I do not confirm it, then nothing is reimbursed (YX-AT-18).
• Given the maps add-on is off, when distance is computed, then straight-line × company factor is used (YX-AT-18).</t>
        </is>
      </c>
      <c r="O893" s="5" t="inlineStr">
        <is>
          <t>YX-AT-18</t>
        </is>
      </c>
      <c r="P893" t="inlineStr">
        <is>
          <t>M02 §B8</t>
        </is>
      </c>
      <c r="Q893" t="inlineStr">
        <is>
          <t>US-C-066</t>
        </is>
      </c>
      <c r="R893" s="5" t="inlineStr"/>
    </row>
    <row r="894">
      <c r="A894" t="inlineStr">
        <is>
          <t>US-C-069</t>
        </is>
      </c>
      <c r="B894" t="n">
        <v>669</v>
      </c>
      <c r="C894" t="inlineStr">
        <is>
          <t>Story</t>
        </is>
      </c>
      <c r="D894" s="5" t="inlineStr">
        <is>
          <t xml:space="preserve">        Auto-roster generator</t>
        </is>
      </c>
      <c r="E894" t="inlineStr">
        <is>
          <t>Step 4 · Time and leave</t>
        </is>
      </c>
      <c r="F894" t="inlineStr">
        <is>
          <t>Time extensions for later waves</t>
        </is>
      </c>
      <c r="G894" t="inlineStr">
        <is>
          <t>New</t>
        </is>
      </c>
      <c r="I894">
        <f>IF(H894&lt;&gt;"",H894,G894)</f>
        <v/>
      </c>
      <c r="J894" t="inlineStr">
        <is>
          <t>Step 4-e later waves</t>
        </is>
      </c>
      <c r="K894" t="n">
        <v>8</v>
      </c>
      <c r="L894" t="n">
        <v>3</v>
      </c>
      <c r="M894" s="5" t="inlineStr">
        <is>
          <t>As a manager, I want the system to suggest a roster from demand so that I save hours each week.</t>
        </is>
      </c>
      <c r="N894" s="5" t="inlineStr">
        <is>
          <t>• Given hard constraints (skills, hard availability, leave, holidays, minimum rest, hour caps, women's night guard, status), when the generator runs, then none is broken (YX-AT-19, YX-AT-25).
• Given company weights, when it optimises, then the result shows the score and the reasons.
• Given a draft roster, when I accept it, then it is published like a normal roster (YX-AT-07).</t>
        </is>
      </c>
      <c r="O894" s="5" t="inlineStr">
        <is>
          <t>YX-AT-19, YX-AT-25, YX-AT-07</t>
        </is>
      </c>
      <c r="P894" t="inlineStr">
        <is>
          <t>M02 §B9</t>
        </is>
      </c>
      <c r="Q894" t="inlineStr">
        <is>
          <t>US-C-050</t>
        </is>
      </c>
      <c r="R894" s="5" t="inlineStr"/>
    </row>
    <row r="895">
      <c r="A895" t="inlineStr">
        <is>
          <t>US-C-070</t>
        </is>
      </c>
      <c r="B895" t="n">
        <v>670</v>
      </c>
      <c r="C895" t="inlineStr">
        <is>
          <t>Story</t>
        </is>
      </c>
      <c r="D895" s="5" t="inlineStr">
        <is>
          <t xml:space="preserve">        Open shifts and shift bidding</t>
        </is>
      </c>
      <c r="E895" t="inlineStr">
        <is>
          <t>Step 4 · Time and leave</t>
        </is>
      </c>
      <c r="F895" t="inlineStr">
        <is>
          <t>Time extensions for later waves</t>
        </is>
      </c>
      <c r="G895" t="inlineStr">
        <is>
          <t>New</t>
        </is>
      </c>
      <c r="I895">
        <f>IF(H895&lt;&gt;"",H895,G895)</f>
        <v/>
      </c>
      <c r="J895" t="inlineStr">
        <is>
          <t>Step 4-e later waves</t>
        </is>
      </c>
      <c r="K895" t="n">
        <v>5</v>
      </c>
      <c r="L895" t="n">
        <v>3</v>
      </c>
      <c r="M895" s="5" t="inlineStr">
        <is>
          <t>As an employee, I want to claim open shifts or bid for shifts so that I can get the hours I want.</t>
        </is>
      </c>
      <c r="N895" s="5" t="inlineStr">
        <is>
          <t>• Given an open shift, when it is offered, then only employees who pass skill, location, conflict, rest and hour checks see it (YX-AT-20).
• Given I claim it, when it is awarded, then the checks run again (YX-AT-20).
• Given bids in a window, when it closes, then awards follow the company's tie-break rule (YX-AT-20).</t>
        </is>
      </c>
      <c r="O895" s="5" t="inlineStr">
        <is>
          <t>YX-AT-20</t>
        </is>
      </c>
      <c r="P895" t="inlineStr">
        <is>
          <t>M02 §B9</t>
        </is>
      </c>
      <c r="Q895" t="inlineStr">
        <is>
          <t>US-C-050</t>
        </is>
      </c>
      <c r="R895" s="5" t="inlineStr"/>
    </row>
    <row r="896">
      <c r="A896" t="inlineStr">
        <is>
          <t>US-C-071</t>
        </is>
      </c>
      <c r="B896" t="n">
        <v>671</v>
      </c>
      <c r="C896" t="inlineStr">
        <is>
          <t>Story</t>
        </is>
      </c>
      <c r="D896" s="5" t="inlineStr">
        <is>
          <t xml:space="preserve">        Desktop or Teams presence as punches</t>
        </is>
      </c>
      <c r="E896" t="inlineStr">
        <is>
          <t>Step 4 · Time and leave</t>
        </is>
      </c>
      <c r="F896" t="inlineStr">
        <is>
          <t>Time extensions for later waves</t>
        </is>
      </c>
      <c r="G896" t="inlineStr">
        <is>
          <t>New</t>
        </is>
      </c>
      <c r="I896">
        <f>IF(H896&lt;&gt;"",H896,G896)</f>
        <v/>
      </c>
      <c r="J896" t="inlineStr">
        <is>
          <t>Step 4-e later waves</t>
        </is>
      </c>
      <c r="K896" t="n">
        <v>5</v>
      </c>
      <c r="L896" t="n">
        <v>3</v>
      </c>
      <c r="M896" s="5" t="inlineStr">
        <is>
          <t>As a WFH employee, I want my first and last active time from Teams to be my punches so that I do not punch by hand.</t>
        </is>
      </c>
      <c r="N896" s="5" t="inlineStr">
        <is>
          <t>• Given the company turned it on for my group and I consented, when I am active, then only presence states and times are collected (YX-AT-21).
• Given presence data, when stored, then no keystrokes, screenshots, app names, URLs or files are ever collected (YX-AT-21).
• Given the day, when evaluated, then first-active / last-active punches with source 'teams' or 'desktop' are used (YX-AT-21).</t>
        </is>
      </c>
      <c r="O896" s="5" t="inlineStr">
        <is>
          <t>YX-AT-21</t>
        </is>
      </c>
      <c r="P896" t="inlineStr">
        <is>
          <t>M02 §B10</t>
        </is>
      </c>
      <c r="Q896" t="inlineStr">
        <is>
          <t>US-C-057</t>
        </is>
      </c>
      <c r="R896" s="5" t="inlineStr"/>
    </row>
    <row r="897">
      <c r="A897" t="inlineStr">
        <is>
          <t>US-C-072</t>
        </is>
      </c>
      <c r="B897" t="n">
        <v>672</v>
      </c>
      <c r="C897" t="inlineStr">
        <is>
          <t>Story</t>
        </is>
      </c>
      <c r="D897" s="5" t="inlineStr">
        <is>
          <t xml:space="preserve">        Visitor management at reception</t>
        </is>
      </c>
      <c r="E897" t="inlineStr">
        <is>
          <t>Step 4 · Time and leave</t>
        </is>
      </c>
      <c r="F897" t="inlineStr">
        <is>
          <t>Time extensions for later waves</t>
        </is>
      </c>
      <c r="G897" t="inlineStr">
        <is>
          <t>New</t>
        </is>
      </c>
      <c r="I897">
        <f>IF(H897&lt;&gt;"",H897,G897)</f>
        <v/>
      </c>
      <c r="J897" t="inlineStr">
        <is>
          <t>Step 4-e later waves</t>
        </is>
      </c>
      <c r="K897" t="n">
        <v>5</v>
      </c>
      <c r="L897" t="n">
        <v>3</v>
      </c>
      <c r="M897" s="5" t="inlineStr">
        <is>
          <t>As a receptionist, I want to check visitors in and out with a badge so that we know who is on site.</t>
        </is>
      </c>
      <c r="N897" s="5" t="inlineStr">
        <is>
          <t>• Given a visitor, when they arrive, then they need pre-registration or a host-approved walk-in (YX-AT-22).
• Given the location requires NDA or safety acknowledgement, when they check in, then it is captured before entry (YX-AT-22).
• Given a blocked visitor, when they try to check in, then reception is stopped; an 'on site now' list is available for emergencies (YX-AT-22).</t>
        </is>
      </c>
      <c r="O897" s="5" t="inlineStr">
        <is>
          <t>YX-AT-22</t>
        </is>
      </c>
      <c r="P897" t="inlineStr">
        <is>
          <t>M02 §B11</t>
        </is>
      </c>
      <c r="Q897" t="inlineStr"/>
      <c r="R897" s="5" t="inlineStr"/>
    </row>
    <row r="898">
      <c r="A898" t="inlineStr">
        <is>
          <t>US-C-073</t>
        </is>
      </c>
      <c r="B898" t="n">
        <v>673</v>
      </c>
      <c r="C898" t="inlineStr">
        <is>
          <t>Story</t>
        </is>
      </c>
      <c r="D898" s="5" t="inlineStr">
        <is>
          <t xml:space="preserve">        Strike, lockout and lay-off day statuses</t>
        </is>
      </c>
      <c r="E898" t="inlineStr">
        <is>
          <t>Step 4 · Time and leave</t>
        </is>
      </c>
      <c r="F898" t="inlineStr">
        <is>
          <t>Time extensions for later waves</t>
        </is>
      </c>
      <c r="G898" t="inlineStr">
        <is>
          <t>New</t>
        </is>
      </c>
      <c r="I898">
        <f>IF(H898&lt;&gt;"",H898,G898)</f>
        <v/>
      </c>
      <c r="J898" t="inlineStr">
        <is>
          <t>Step 4-e later waves</t>
        </is>
      </c>
      <c r="K898" t="n">
        <v>3</v>
      </c>
      <c r="L898" t="n">
        <v>3</v>
      </c>
      <c r="M898" s="5" t="inlineStr">
        <is>
          <t>As an HR admin, I want to record a strike or lay-off event so that those days are not marked absent.</t>
        </is>
      </c>
      <c r="N898" s="5" t="inlineStr">
        <is>
          <t>• Given a recorded strike, lockout or lay-off, when days are evaluated, then they get that status, not Absent or LOP (YX-AT-27).
• Given HR changes the event's legality, when saved before the lock, then affected days are recomputed (YX-AT-27).
• Given the event, when created or changed, then it is audited (YX-AT-27).</t>
        </is>
      </c>
      <c r="O898" s="5" t="inlineStr">
        <is>
          <t>YX-AT-27</t>
        </is>
      </c>
      <c r="P898" t="inlineStr">
        <is>
          <t>M02 §B12</t>
        </is>
      </c>
      <c r="Q898" t="inlineStr">
        <is>
          <t>US-C-057</t>
        </is>
      </c>
      <c r="R898" s="5" t="inlineStr"/>
    </row>
    <row r="899">
      <c r="A899" t="inlineStr">
        <is>
          <t>US-C-074</t>
        </is>
      </c>
      <c r="B899" t="n">
        <v>674</v>
      </c>
      <c r="C899" t="inlineStr">
        <is>
          <t>Story</t>
        </is>
      </c>
      <c r="D899" s="5" t="inlineStr">
        <is>
          <t xml:space="preserve">        Standby and call-out slots</t>
        </is>
      </c>
      <c r="E899" t="inlineStr">
        <is>
          <t>Step 4 · Time and leave</t>
        </is>
      </c>
      <c r="F899" t="inlineStr">
        <is>
          <t>Time extensions for later waves</t>
        </is>
      </c>
      <c r="G899" t="inlineStr">
        <is>
          <t>New</t>
        </is>
      </c>
      <c r="I899">
        <f>IF(H899&lt;&gt;"",H899,G899)</f>
        <v/>
      </c>
      <c r="J899" t="inlineStr">
        <is>
          <t>Step 4-e later waves</t>
        </is>
      </c>
      <c r="K899" t="n">
        <v>3</v>
      </c>
      <c r="L899" t="n">
        <v>3</v>
      </c>
      <c r="M899" s="5" t="inlineStr">
        <is>
          <t>As a manager, I want to roster standby slots and log call-outs so that on-call staff are paid correctly.</t>
        </is>
      </c>
      <c r="N899" s="5" t="inlineStr">
        <is>
          <t>• Given a standby slot, when rostered, then it is not a working shift (YX-AT-28).
• Given a call-out during standby, when logged, then it counts for hours, OT and minimum-rest checks (YX-AT-28).
• Given standby slots in the period, when payroll reads the feed, then standby allowance per slot is sent (YX-AT-28).</t>
        </is>
      </c>
      <c r="O899" s="5" t="inlineStr">
        <is>
          <t>YX-AT-28</t>
        </is>
      </c>
      <c r="P899" t="inlineStr">
        <is>
          <t>M02 §B12</t>
        </is>
      </c>
      <c r="Q899" t="inlineStr">
        <is>
          <t>US-C-049</t>
        </is>
      </c>
      <c r="R899" s="5" t="inlineStr"/>
    </row>
    <row r="900">
      <c r="A900" t="inlineStr">
        <is>
          <t>US-C-075</t>
        </is>
      </c>
      <c r="B900" t="n">
        <v>675</v>
      </c>
      <c r="C900" t="inlineStr">
        <is>
          <t>Story</t>
        </is>
      </c>
      <c r="D900" s="5" t="inlineStr">
        <is>
          <t xml:space="preserve">        Licence gate on rosters</t>
        </is>
      </c>
      <c r="E900" t="inlineStr">
        <is>
          <t>Step 4 · Time and leave</t>
        </is>
      </c>
      <c r="F900" t="inlineStr">
        <is>
          <t>Time extensions for later waves</t>
        </is>
      </c>
      <c r="G900" t="inlineStr">
        <is>
          <t>New</t>
        </is>
      </c>
      <c r="I900">
        <f>IF(H900&lt;&gt;"",H900,G900)</f>
        <v/>
      </c>
      <c r="J900" t="inlineStr">
        <is>
          <t>Step 4-e later waves</t>
        </is>
      </c>
      <c r="K900" t="n">
        <v>3</v>
      </c>
      <c r="L900" t="n">
        <v>3</v>
      </c>
      <c r="M900" s="5" t="inlineStr">
        <is>
          <t>As an HR admin, I want people without a valid licence kept off shifts that need one so that we stay safe and legal.</t>
        </is>
      </c>
      <c r="N900" s="5" t="inlineStr">
        <is>
          <t>• Given a shift needs a licence, when the person's licence is missing or expired, then no roster path places them (YX-AT-29).
• Given a legally required licence, when someone tries to override, then it is not allowed (YX-AT-29).
• Given a company-required licence, when HR overrides with a reason, then it is allowed and audited (YX-AT-29).</t>
        </is>
      </c>
      <c r="O900" s="5" t="inlineStr">
        <is>
          <t>YX-AT-29</t>
        </is>
      </c>
      <c r="P900" t="inlineStr">
        <is>
          <t>M02 §B12</t>
        </is>
      </c>
      <c r="Q900" t="inlineStr">
        <is>
          <t>US-C-049</t>
        </is>
      </c>
      <c r="R900" s="5" t="inlineStr"/>
    </row>
    <row r="901">
      <c r="A901" t="inlineStr">
        <is>
          <t>US-C-076</t>
        </is>
      </c>
      <c r="B901" t="n">
        <v>676</v>
      </c>
      <c r="C901" t="inlineStr">
        <is>
          <t>Story</t>
        </is>
      </c>
      <c r="D901" s="5" t="inlineStr">
        <is>
          <t xml:space="preserve">        Hybrid office-day compliance</t>
        </is>
      </c>
      <c r="E901" t="inlineStr">
        <is>
          <t>Step 4 · Time and leave</t>
        </is>
      </c>
      <c r="F901" t="inlineStr">
        <is>
          <t>Time extensions for later waves</t>
        </is>
      </c>
      <c r="G901" t="inlineStr">
        <is>
          <t>New</t>
        </is>
      </c>
      <c r="I901">
        <f>IF(H901&lt;&gt;"",H901,G901)</f>
        <v/>
      </c>
      <c r="J901" t="inlineStr">
        <is>
          <t>Step 4-e later waves</t>
        </is>
      </c>
      <c r="K901" t="n">
        <v>3</v>
      </c>
      <c r="L901" t="n">
        <v>3</v>
      </c>
      <c r="M901" s="5" t="inlineStr">
        <is>
          <t>As a manager, I want to see how many office days each person did this week so that we follow the hybrid policy.</t>
        </is>
      </c>
      <c r="N901" s="5" t="inlineStr">
        <is>
          <t>• Given office geofence, kiosk or badge evidence, when the week is computed, then office days are counted against the group policy (YX-AT-30).
• Given leave, holidays or approved travel, when computed, then the target is pro-rated (YX-AT-30).
• Given the result, when shown, then it never feeds pay, LOP or ratings unless a P19 rule says so (YX-AT-30).</t>
        </is>
      </c>
      <c r="O901" s="5" t="inlineStr">
        <is>
          <t>YX-AT-30</t>
        </is>
      </c>
      <c r="P901" t="inlineStr">
        <is>
          <t>M02 §B12</t>
        </is>
      </c>
      <c r="Q901" t="inlineStr">
        <is>
          <t>US-C-057</t>
        </is>
      </c>
      <c r="R901" s="5" t="inlineStr"/>
    </row>
    <row r="902">
      <c r="A902" s="7" t="inlineStr">
        <is>
          <t>EP-C-2</t>
        </is>
      </c>
      <c r="B902" s="7" t="n">
        <v>700</v>
      </c>
      <c r="C902" s="7" t="inlineStr">
        <is>
          <t>Epic</t>
        </is>
      </c>
      <c r="D902" s="8" t="inlineStr">
        <is>
          <t>Step 5 · Payroll and statutory</t>
        </is>
      </c>
      <c r="E902" s="7" t="inlineStr">
        <is>
          <t>Step 5 · Payroll and statutory</t>
        </is>
      </c>
      <c r="F902" s="7" t="inlineStr"/>
      <c r="G902" s="7" t="inlineStr">
        <is>
          <t>New</t>
        </is>
      </c>
      <c r="H902" s="7" t="n"/>
      <c r="I902" s="7">
        <f>IF(H902&lt;&gt;"",H902,G902)</f>
        <v/>
      </c>
      <c r="J902" s="7" t="inlineStr">
        <is>
          <t>Step 5</t>
        </is>
      </c>
      <c r="K902" s="7" t="n"/>
      <c r="L902" s="7" t="n"/>
      <c r="M902" s="8" t="inlineStr"/>
      <c r="N902" s="8" t="inlineStr"/>
      <c r="O902" s="8" t="inlineStr"/>
      <c r="P902" s="7" t="inlineStr">
        <is>
          <t>M03, P07, P08, P05</t>
        </is>
      </c>
      <c r="Q902" s="7" t="inlineStr"/>
      <c r="R902" s="8" t="inlineStr"/>
      <c r="S902" s="7" t="n"/>
    </row>
    <row r="903">
      <c r="A903" s="9" t="inlineStr">
        <is>
          <t>FT-C-12</t>
        </is>
      </c>
      <c r="B903" s="9" t="n">
        <v>701</v>
      </c>
      <c r="C903" s="9" t="inlineStr">
        <is>
          <t>Feature</t>
        </is>
      </c>
      <c r="D903" s="10" t="inlineStr">
        <is>
          <t xml:space="preserve">    Period locks</t>
        </is>
      </c>
      <c r="E903" s="9" t="inlineStr">
        <is>
          <t>Step 5 · Payroll and statutory</t>
        </is>
      </c>
      <c r="F903" s="9" t="inlineStr">
        <is>
          <t>Period locks</t>
        </is>
      </c>
      <c r="G903" s="9" t="inlineStr">
        <is>
          <t>New</t>
        </is>
      </c>
      <c r="H903" s="9" t="n"/>
      <c r="I903" s="9">
        <f>IF(H903&lt;&gt;"",H903,G903)</f>
        <v/>
      </c>
      <c r="J903" s="9" t="inlineStr">
        <is>
          <t>Step 5-a period locks and audit</t>
        </is>
      </c>
      <c r="K903" s="9" t="n"/>
      <c r="L903" s="9" t="n"/>
      <c r="M903" s="10" t="inlineStr"/>
      <c r="N903" s="10" t="inlineStr"/>
      <c r="O903" s="10" t="inlineStr">
        <is>
          <t>YX-LOCK-01, YX-LOCK-04, YX-LOCK-02, YX-LOCK-03, YX-WF-11, YX-LV-08, YX-LOCK-09, YX-AT-13, YX-LOCK-05, YX-LOCK-06</t>
        </is>
      </c>
      <c r="P903" s="9" t="inlineStr">
        <is>
          <t>P08 Part A</t>
        </is>
      </c>
      <c r="Q903" s="9" t="inlineStr"/>
      <c r="R903" s="10" t="inlineStr"/>
      <c r="S903" s="9" t="n"/>
    </row>
    <row r="904">
      <c r="A904" t="inlineStr">
        <is>
          <t>US-C-077</t>
        </is>
      </c>
      <c r="B904" t="n">
        <v>701</v>
      </c>
      <c r="C904" t="inlineStr">
        <is>
          <t>Story</t>
        </is>
      </c>
      <c r="D904" s="5" t="inlineStr">
        <is>
          <t xml:space="preserve">        Lock service checks every pay-affecting write</t>
        </is>
      </c>
      <c r="E904" t="inlineStr">
        <is>
          <t>Step 5 · Payroll and statutory</t>
        </is>
      </c>
      <c r="F904" t="inlineStr">
        <is>
          <t>Period locks</t>
        </is>
      </c>
      <c r="G904" t="inlineStr">
        <is>
          <t>New</t>
        </is>
      </c>
      <c r="I904">
        <f>IF(H904&lt;&gt;"",H904,G904)</f>
        <v/>
      </c>
      <c r="J904" t="inlineStr">
        <is>
          <t>Step 5-a period locks and audit</t>
        </is>
      </c>
      <c r="K904" t="n">
        <v>5</v>
      </c>
      <c r="L904" t="n">
        <v>1</v>
      </c>
      <c r="M904" s="5" t="inlineStr">
        <is>
          <t>As a payroll admin, I want frozen and locked periods protected so that paid data never changes by accident.</t>
        </is>
      </c>
      <c r="N904" s="5" t="inlineStr">
        <is>
          <t>• Given a write to attendance, pay-affecting leave, payroll inputs or paid expenses, when it happens, then the lock service is checked in the same transaction (YX-LOCK-01).
• Given a period is approved in payroll, when approval succeeds, then payroll, attendance and pay-affecting leave for it lock together (YX-LOCK-04).
• Given the stages open → frozen → locked → filed, when a period moves, then each stage is shown on the readiness screen.</t>
        </is>
      </c>
      <c r="O904" s="5" t="inlineStr">
        <is>
          <t>YX-LOCK-01, YX-LOCK-04</t>
        </is>
      </c>
      <c r="P904" t="inlineStr">
        <is>
          <t>P08 §A2, P08 §A3</t>
        </is>
      </c>
      <c r="Q904" t="inlineStr">
        <is>
          <t>US-C-057</t>
        </is>
      </c>
      <c r="R904" s="5" t="inlineStr"/>
    </row>
    <row r="905">
      <c r="A905" t="inlineStr">
        <is>
          <t>US-C-078</t>
        </is>
      </c>
      <c r="B905" t="n">
        <v>702</v>
      </c>
      <c r="C905" t="inlineStr">
        <is>
          <t>Story</t>
        </is>
      </c>
      <c r="D905" s="5" t="inlineStr">
        <is>
          <t xml:space="preserve">        Late requests on frozen or locked dates</t>
        </is>
      </c>
      <c r="E905" t="inlineStr">
        <is>
          <t>Step 5 · Payroll and statutory</t>
        </is>
      </c>
      <c r="F905" t="inlineStr">
        <is>
          <t>Period locks</t>
        </is>
      </c>
      <c r="G905" t="inlineStr">
        <is>
          <t>New</t>
        </is>
      </c>
      <c r="I905">
        <f>IF(H905&lt;&gt;"",H905,G905)</f>
        <v/>
      </c>
      <c r="J905" t="inlineStr">
        <is>
          <t>Step 5-a period locks and audit</t>
        </is>
      </c>
      <c r="K905" t="n">
        <v>5</v>
      </c>
      <c r="L905" t="n">
        <v>1</v>
      </c>
      <c r="M905" s="5" t="inlineStr">
        <is>
          <t>As an employee, I want to fix my attendance or leave for last month so that my pay is corrected next month.</t>
        </is>
      </c>
      <c r="N905" s="5" t="inlineStr">
        <is>
          <t>• Given a date in a frozen or locked period, when I raise a request within the company's maximum lateness, then an extra HR approval step is added (YX-LOCK-02, YX-WF-11).
• Given the request is approved, when it posts, then it becomes a dated correction with arrears or LOP reversal in the next payroll; the locked period does not change (YX-LOCK-03, YX-LV-08).
• Given the request is past the maximum lateness, when I try, then only HR can make a correction (YX-LOCK-02).
• Given any request, when it is approved, then it never reopens the period (YX-WF-11).</t>
        </is>
      </c>
      <c r="O905" s="5" t="inlineStr">
        <is>
          <t>YX-LOCK-02, YX-LOCK-03, YX-WF-11, YX-LV-08</t>
        </is>
      </c>
      <c r="P905" t="inlineStr">
        <is>
          <t>P08 §A3, P03 §6</t>
        </is>
      </c>
      <c r="Q905" t="inlineStr">
        <is>
          <t>US-C-077, US-C-003</t>
        </is>
      </c>
      <c r="R905" s="5" t="inlineStr"/>
    </row>
    <row r="906">
      <c r="A906" t="inlineStr">
        <is>
          <t>US-C-079</t>
        </is>
      </c>
      <c r="B906" t="n">
        <v>703</v>
      </c>
      <c r="C906" t="inlineStr">
        <is>
          <t>Story</t>
        </is>
      </c>
      <c r="D906" s="5" t="inlineStr">
        <is>
          <t xml:space="preserve">        HR device backfill for late biometric batches</t>
        </is>
      </c>
      <c r="E906" t="inlineStr">
        <is>
          <t>Step 5 · Payroll and statutory</t>
        </is>
      </c>
      <c r="F906" t="inlineStr">
        <is>
          <t>Period locks</t>
        </is>
      </c>
      <c r="G906" t="inlineStr">
        <is>
          <t>New</t>
        </is>
      </c>
      <c r="I906">
        <f>IF(H906&lt;&gt;"",H906,G906)</f>
        <v/>
      </c>
      <c r="J906" t="inlineStr">
        <is>
          <t>Step 5-a period locks and audit</t>
        </is>
      </c>
      <c r="K906" t="n">
        <v>3</v>
      </c>
      <c r="L906" t="n">
        <v>2</v>
      </c>
      <c r="M906" s="5" t="inlineStr">
        <is>
          <t>As an HR admin, I want to apply a late biometric batch in one audited action so that I do not raise a request per employee.</t>
        </is>
      </c>
      <c r="N906" s="5" t="inlineStr">
        <is>
          <t>• Given a batch with punches for frozen or locked dates, when it arrives, then it is held, not applied (YX-AT-13).
• Given I run device backfill with a reason, when it is applied, then it is one audited action and effects land in the next payroll (YX-LOCK-09, YX-LOCK-03).
• Given a punch for a shift that started before the lock, when it arrives, then it attaches without backfill (YX-AT-13).</t>
        </is>
      </c>
      <c r="O906" s="5" t="inlineStr">
        <is>
          <t>YX-LOCK-09, YX-AT-13, YX-LOCK-03</t>
        </is>
      </c>
      <c r="P906" t="inlineStr">
        <is>
          <t>P08 §A3</t>
        </is>
      </c>
      <c r="Q906" t="inlineStr">
        <is>
          <t>US-C-078, US-C-053</t>
        </is>
      </c>
      <c r="R906" s="5" t="inlineStr"/>
    </row>
    <row r="907">
      <c r="A907" t="inlineStr">
        <is>
          <t>US-C-080</t>
        </is>
      </c>
      <c r="B907" t="n">
        <v>728</v>
      </c>
      <c r="C907" t="inlineStr">
        <is>
          <t>Story</t>
        </is>
      </c>
      <c r="D907" s="5" t="inlineStr">
        <is>
          <t xml:space="preserve">        Reopen a locked payroll</t>
        </is>
      </c>
      <c r="E907" t="inlineStr">
        <is>
          <t>Step 5 · Payroll and statutory</t>
        </is>
      </c>
      <c r="F907" t="inlineStr">
        <is>
          <t>Period locks</t>
        </is>
      </c>
      <c r="G907" t="inlineStr">
        <is>
          <t>New</t>
        </is>
      </c>
      <c r="I907">
        <f>IF(H907&lt;&gt;"",H907,G907)</f>
        <v/>
      </c>
      <c r="J907" t="inlineStr">
        <is>
          <t>Step 5-a period locks and audit</t>
        </is>
      </c>
      <c r="K907" t="n">
        <v>5</v>
      </c>
      <c r="L907" t="n">
        <v>2</v>
      </c>
      <c r="M907" s="5" t="inlineStr">
        <is>
          <t>As a payroll admin, I want to reopen a locked payroll in rare cases with approval so that a serious mistake can be fixed.</t>
        </is>
      </c>
      <c r="N907" s="5" t="inlineStr">
        <is>
          <t>• Given I request reopen, when I submit, then a reason, Payroll Admin and System Admin / owner approval are needed (YX-LOCK-05).
• Given the bank file is released, payslips are published or a return is filed, when I request reopen, then it is refused (YX-LOCK-05).
• Given the reopen is approved and I recalculate, when payslips change, then new versions are made and old ones are kept and marked revised (YX-LOCK-06).</t>
        </is>
      </c>
      <c r="O907" s="5" t="inlineStr">
        <is>
          <t>YX-LOCK-05, YX-LOCK-06</t>
        </is>
      </c>
      <c r="P907" t="inlineStr">
        <is>
          <t>P08 §A4</t>
        </is>
      </c>
      <c r="Q907" t="inlineStr">
        <is>
          <t>US-C-104</t>
        </is>
      </c>
      <c r="R907" s="5" t="inlineStr"/>
    </row>
    <row r="908">
      <c r="A908" s="9" t="inlineStr">
        <is>
          <t>FT-C-13</t>
        </is>
      </c>
      <c r="B908" s="9" t="n">
        <v>704</v>
      </c>
      <c r="C908" s="9" t="inlineStr">
        <is>
          <t>Feature</t>
        </is>
      </c>
      <c r="D908" s="10" t="inlineStr">
        <is>
          <t xml:space="preserve">    Audit log</t>
        </is>
      </c>
      <c r="E908" s="9" t="inlineStr">
        <is>
          <t>Step 5 · Payroll and statutory</t>
        </is>
      </c>
      <c r="F908" s="9" t="inlineStr">
        <is>
          <t>Audit log</t>
        </is>
      </c>
      <c r="G908" s="9" t="inlineStr">
        <is>
          <t>New</t>
        </is>
      </c>
      <c r="H908" s="9" t="n"/>
      <c r="I908" s="9">
        <f>IF(H908&lt;&gt;"",H908,G908)</f>
        <v/>
      </c>
      <c r="J908" s="9" t="inlineStr">
        <is>
          <t>Step 5-a period locks and audit</t>
        </is>
      </c>
      <c r="K908" s="9" t="n"/>
      <c r="L908" s="9" t="n"/>
      <c r="M908" s="10" t="inlineStr"/>
      <c r="N908" s="10" t="inlineStr"/>
      <c r="O908" s="10" t="inlineStr">
        <is>
          <t>YX-AUD-01, YX-AUD-02, YX-AUD-03, YX-AUD-04, YX-AUD-05, YX-AUD-06, YX-AUD-07, YX-AUD-08, YX-AUD-09</t>
        </is>
      </c>
      <c r="P908" s="9" t="inlineStr">
        <is>
          <t>P08 Part B</t>
        </is>
      </c>
      <c r="Q908" s="9" t="inlineStr"/>
      <c r="R908" s="10" t="inlineStr"/>
      <c r="S908" s="9" t="n"/>
    </row>
    <row r="909">
      <c r="A909" t="inlineStr">
        <is>
          <t>US-C-081</t>
        </is>
      </c>
      <c r="B909" t="n">
        <v>704</v>
      </c>
      <c r="C909" t="inlineStr">
        <is>
          <t>Story</t>
        </is>
      </c>
      <c r="D909" s="5" t="inlineStr">
        <is>
          <t xml:space="preserve">        Tamper-proof audit trail</t>
        </is>
      </c>
      <c r="E909" t="inlineStr">
        <is>
          <t>Step 5 · Payroll and statutory</t>
        </is>
      </c>
      <c r="F909" t="inlineStr">
        <is>
          <t>Audit log</t>
        </is>
      </c>
      <c r="G909" t="inlineStr">
        <is>
          <t>New</t>
        </is>
      </c>
      <c r="I909">
        <f>IF(H909&lt;&gt;"",H909,G909)</f>
        <v/>
      </c>
      <c r="J909" t="inlineStr">
        <is>
          <t>Step 5-a period locks and audit</t>
        </is>
      </c>
      <c r="K909" t="n">
        <v>5</v>
      </c>
      <c r="L909" t="n">
        <v>1</v>
      </c>
      <c r="M909" s="5" t="inlineStr">
        <is>
          <t>As a system admin, I want every important change recorded in an audit log that nobody can edit so that we can prove what happened.</t>
        </is>
      </c>
      <c r="N909" s="5" t="inlineStr">
        <is>
          <t>• Given a change in an audited category, when it is saved, then the audit row is written in the same transaction (YX-AUD-01).
• Given an audit row, when anyone tries UPDATE or DELETE, then the database refuses; actor details are a snapshot (YX-AUD-02).
• Given the daily job, when it verifies the hash chain and it fails, then YukthiX security and the tenant's system admins are alerted (YX-AUD-03).</t>
        </is>
      </c>
      <c r="O909" s="5" t="inlineStr">
        <is>
          <t>YX-AUD-01, YX-AUD-02, YX-AUD-03</t>
        </is>
      </c>
      <c r="P909" t="inlineStr">
        <is>
          <t>P08 §B2, P08 §B4</t>
        </is>
      </c>
      <c r="Q909" t="inlineStr"/>
      <c r="R909" s="5" t="inlineStr"/>
    </row>
    <row r="910">
      <c r="A910" t="inlineStr">
        <is>
          <t>US-C-082</t>
        </is>
      </c>
      <c r="B910" t="n">
        <v>705</v>
      </c>
      <c r="C910" t="inlineStr">
        <is>
          <t>Story</t>
        </is>
      </c>
      <c r="D910" s="5" t="inlineStr">
        <is>
          <t xml:space="preserve">        Audit log and record timeline viewer</t>
        </is>
      </c>
      <c r="E910" t="inlineStr">
        <is>
          <t>Step 5 · Payroll and statutory</t>
        </is>
      </c>
      <c r="F910" t="inlineStr">
        <is>
          <t>Audit log</t>
        </is>
      </c>
      <c r="G910" t="inlineStr">
        <is>
          <t>New</t>
        </is>
      </c>
      <c r="I910">
        <f>IF(H910&lt;&gt;"",H910,G910)</f>
        <v/>
      </c>
      <c r="J910" t="inlineStr">
        <is>
          <t>Step 5-a period locks and audit</t>
        </is>
      </c>
      <c r="K910" t="n">
        <v>5</v>
      </c>
      <c r="L910" t="n">
        <v>1</v>
      </c>
      <c r="M910" s="5" t="inlineStr">
        <is>
          <t>As an HR admin, I want to search the audit log for my scope so that I can answer 'who changed this?'.</t>
        </is>
      </c>
      <c r="N910" s="5" t="inlineStr">
        <is>
          <t>• Given a record, when I open its timeline, then I see business events only; field churn is only in the audit log (YX-AUD-05).
• Given restricted areas (POSH, disciplinary, medical), when I am not a member, then I cannot see their audit; Confidential / Special values are masked if I lack the field permission (YX-AUD-06).
• Given I view a salary several times in 30 minutes, when sensitive-view events are written, then they are deduplicated (YX-AUD-04).
• Given I export the audit log, when it downloads, then the export itself is audited (YX-AUD-07).</t>
        </is>
      </c>
      <c r="O910" s="5" t="inlineStr">
        <is>
          <t>YX-AUD-04, YX-AUD-05, YX-AUD-06, YX-AUD-07</t>
        </is>
      </c>
      <c r="P910" t="inlineStr">
        <is>
          <t>P08 §B3, P08 §B5</t>
        </is>
      </c>
      <c r="Q910" t="inlineStr">
        <is>
          <t>US-C-081</t>
        </is>
      </c>
      <c r="R910" s="5" t="inlineStr"/>
    </row>
    <row r="911">
      <c r="A911" t="inlineStr">
        <is>
          <t>US-C-083</t>
        </is>
      </c>
      <c r="B911" t="n">
        <v>706</v>
      </c>
      <c r="C911" t="inlineStr">
        <is>
          <t>Story</t>
        </is>
      </c>
      <c r="D911" s="5" t="inlineStr">
        <is>
          <t xml:space="preserve">        Audit retention and legal hold</t>
        </is>
      </c>
      <c r="E911" t="inlineStr">
        <is>
          <t>Step 5 · Payroll and statutory</t>
        </is>
      </c>
      <c r="F911" t="inlineStr">
        <is>
          <t>Audit log</t>
        </is>
      </c>
      <c r="G911" t="inlineStr">
        <is>
          <t>New</t>
        </is>
      </c>
      <c r="I911">
        <f>IF(H911&lt;&gt;"",H911,G911)</f>
        <v/>
      </c>
      <c r="J911" t="inlineStr">
        <is>
          <t>Step 5-a period locks and audit</t>
        </is>
      </c>
      <c r="K911" t="n">
        <v>3</v>
      </c>
      <c r="L911" t="n">
        <v>2</v>
      </c>
      <c r="M911" s="5" t="inlineStr">
        <is>
          <t>As a system admin, I want audit kept for 8 years and protected by legal hold so that we meet legal needs.</t>
        </is>
      </c>
      <c r="N911" s="5" t="inlineStr">
        <is>
          <t>• Given retention, when a tenant tries to set below 8 years, then it is refused (YX-AUD-08).
• Given rows older than 13 months, when the job runs, then they move to archive; a deletion writes a deletion record (YX-AUD-08).
• Given a case under legal hold, when the job runs, then its audit entries are not archived or deleted (YX-AUD-08).</t>
        </is>
      </c>
      <c r="O911" s="5" t="inlineStr">
        <is>
          <t>YX-AUD-08</t>
        </is>
      </c>
      <c r="P911" t="inlineStr">
        <is>
          <t>P08 §B2</t>
        </is>
      </c>
      <c r="Q911" t="inlineStr">
        <is>
          <t>US-C-081</t>
        </is>
      </c>
      <c r="R911" s="5" t="inlineStr"/>
    </row>
    <row r="912">
      <c r="A912" t="inlineStr">
        <is>
          <t>US-C-084</t>
        </is>
      </c>
      <c r="B912" t="n">
        <v>707</v>
      </c>
      <c r="C912" t="inlineStr">
        <is>
          <t>Story</t>
        </is>
      </c>
      <c r="D912" s="5" t="inlineStr">
        <is>
          <t xml:space="preserve">        Irreversible actions record what the user confirmed</t>
        </is>
      </c>
      <c r="E912" t="inlineStr">
        <is>
          <t>Step 5 · Payroll and statutory</t>
        </is>
      </c>
      <c r="F912" t="inlineStr">
        <is>
          <t>Audit log</t>
        </is>
      </c>
      <c r="G912" t="inlineStr">
        <is>
          <t>New</t>
        </is>
      </c>
      <c r="I912">
        <f>IF(H912&lt;&gt;"",H912,G912)</f>
        <v/>
      </c>
      <c r="J912" t="inlineStr">
        <is>
          <t>Step 5-a period locks and audit</t>
        </is>
      </c>
      <c r="K912" t="n">
        <v>2</v>
      </c>
      <c r="L912" t="n">
        <v>1</v>
      </c>
      <c r="M912" s="5" t="inlineStr">
        <is>
          <t>As an auditor, I want to see what the user saw when they confirmed an irreversible action so that the record is complete.</t>
        </is>
      </c>
      <c r="N912" s="5" t="inlineStr">
        <is>
          <t>• Given an irreversible action (publish payslips, release bank file, approve run, reopen, bulk change), when the user confirms in the dialog, then the audit event stores the dialog's details (YX-AUD-09).
• Given the dialog, when shown, then it says exactly what will happen and how many records.
• Given the user cancels, when the dialog closes, then nothing is changed or audited.</t>
        </is>
      </c>
      <c r="O912" s="5" t="inlineStr">
        <is>
          <t>YX-AUD-09</t>
        </is>
      </c>
      <c r="P912" t="inlineStr">
        <is>
          <t>P08 §6, APX-D §6.4</t>
        </is>
      </c>
      <c r="Q912" t="inlineStr">
        <is>
          <t>US-C-081</t>
        </is>
      </c>
      <c r="R912" s="5" t="inlineStr"/>
    </row>
    <row r="913">
      <c r="A913" s="9" t="inlineStr">
        <is>
          <t>FT-C-14</t>
        </is>
      </c>
      <c r="B913" s="9" t="n">
        <v>708</v>
      </c>
      <c r="C913" s="9" t="inlineStr">
        <is>
          <t>Feature</t>
        </is>
      </c>
      <c r="D913" s="10" t="inlineStr">
        <is>
          <t xml:space="preserve">    Documents, letters and e-sign for payroll</t>
        </is>
      </c>
      <c r="E913" s="9" t="inlineStr">
        <is>
          <t>Step 5 · Payroll and statutory</t>
        </is>
      </c>
      <c r="F913" s="9" t="inlineStr">
        <is>
          <t>Documents, letters and e-sign for payroll</t>
        </is>
      </c>
      <c r="G913" s="9" t="inlineStr">
        <is>
          <t>New</t>
        </is>
      </c>
      <c r="H913" s="9" t="n"/>
      <c r="I913" s="9">
        <f>IF(H913&lt;&gt;"",H913,G913)</f>
        <v/>
      </c>
      <c r="J913" s="9" t="inlineStr">
        <is>
          <t>Step 5-b payroll setup</t>
        </is>
      </c>
      <c r="K913" s="9" t="n"/>
      <c r="L913" s="9" t="n"/>
      <c r="M913" s="10" t="inlineStr"/>
      <c r="N913" s="10" t="inlineStr"/>
      <c r="O913" s="10" t="inlineStr">
        <is>
          <t>YX-DOC-07, YX-DOC-08, YX-DOC-09, YX-DOC-10, YX-DOC-15, YX-DOC-11, YX-DOC-16, YX-DOC-19, YX-DOC-13, YX-DOC-18</t>
        </is>
      </c>
      <c r="P913" s="9" t="inlineStr">
        <is>
          <t>P05</t>
        </is>
      </c>
      <c r="Q913" s="9" t="inlineStr"/>
      <c r="R913" s="10" t="inlineStr"/>
      <c r="S913" s="9" t="n"/>
    </row>
    <row r="914">
      <c r="A914" t="inlineStr">
        <is>
          <t>US-C-085</t>
        </is>
      </c>
      <c r="B914" t="n">
        <v>708</v>
      </c>
      <c r="C914" t="inlineStr">
        <is>
          <t>Story</t>
        </is>
      </c>
      <c r="D914" s="5" t="inlineStr">
        <is>
          <t xml:space="preserve">        Generate payroll letters from templates</t>
        </is>
      </c>
      <c r="E914" t="inlineStr">
        <is>
          <t>Step 5 · Payroll and statutory</t>
        </is>
      </c>
      <c r="F914" t="inlineStr">
        <is>
          <t>Documents, letters and e-sign for payroll</t>
        </is>
      </c>
      <c r="G914" t="inlineStr">
        <is>
          <t>New</t>
        </is>
      </c>
      <c r="I914">
        <f>IF(H914&lt;&gt;"",H914,G914)</f>
        <v/>
      </c>
      <c r="J914" t="inlineStr">
        <is>
          <t>Step 5-b payroll setup</t>
        </is>
      </c>
      <c r="K914" t="n">
        <v>5</v>
      </c>
      <c r="L914" t="n">
        <v>1</v>
      </c>
      <c r="M914" s="5" t="inlineStr">
        <is>
          <t>As an HR admin, I want salary revision and other letters made from templates so that they are correct and consistent.</t>
        </is>
      </c>
      <c r="N914" s="5" t="inlineStr">
        <is>
          <t>• Given a required field is empty, when I generate, then it fails with the list of missing fields (YX-DOC-07).
• Given merge fields, when I author or render, then I can only use fields I may see (YX-DOC-08).
• Given an issued letter, when saved, then it is immutable with a hash; a correction supersedes it; reference numbers have no gaps per entity and type (YX-DOC-09).
• Given an approval-required letter type, when issued, then it goes through P03 first (YX-DOC-10).</t>
        </is>
      </c>
      <c r="O914" s="5" t="inlineStr">
        <is>
          <t>YX-DOC-07, YX-DOC-08, YX-DOC-09, YX-DOC-10, YX-DOC-15</t>
        </is>
      </c>
      <c r="P914" t="inlineStr">
        <is>
          <t>P05 §4.3</t>
        </is>
      </c>
      <c r="Q914" t="inlineStr">
        <is>
          <t>US-C-028, US-C-003</t>
        </is>
      </c>
      <c r="R914" s="5" t="inlineStr"/>
    </row>
    <row r="915">
      <c r="A915" t="inlineStr">
        <is>
          <t>US-C-086</t>
        </is>
      </c>
      <c r="B915" t="n">
        <v>709</v>
      </c>
      <c r="C915" t="inlineStr">
        <is>
          <t>Story</t>
        </is>
      </c>
      <c r="D915" s="5" t="inlineStr">
        <is>
          <t xml:space="preserve">        Letter verification code</t>
        </is>
      </c>
      <c r="E915" t="inlineStr">
        <is>
          <t>Step 5 · Payroll and statutory</t>
        </is>
      </c>
      <c r="F915" t="inlineStr">
        <is>
          <t>Documents, letters and e-sign for payroll</t>
        </is>
      </c>
      <c r="G915" t="inlineStr">
        <is>
          <t>New</t>
        </is>
      </c>
      <c r="I915">
        <f>IF(H915&lt;&gt;"",H915,G915)</f>
        <v/>
      </c>
      <c r="J915" t="inlineStr">
        <is>
          <t>Step 5-b payroll setup</t>
        </is>
      </c>
      <c r="K915" t="n">
        <v>2</v>
      </c>
      <c r="L915" t="n">
        <v>2</v>
      </c>
      <c r="M915" s="5" t="inlineStr">
        <is>
          <t>As a bank officer, I want to verify a salary letter with a QR code so that I know it is real.</t>
        </is>
      </c>
      <c r="N915" s="5" t="inlineStr">
        <is>
          <t>• Given an issued letter, when it renders, then it carries a QR / code unless the company turned it off for that type (YX-DOC-11).
• Given the public verify page, when opened, then it shows only company, letter type, name, date and current / superseded (YX-DOC-11).
• Given a superseded letter, when verified, then it shows 'superseded' (YX-DOC-11).</t>
        </is>
      </c>
      <c r="O915" s="5" t="inlineStr">
        <is>
          <t>YX-DOC-11</t>
        </is>
      </c>
      <c r="P915" t="inlineStr">
        <is>
          <t>P05 §4.3</t>
        </is>
      </c>
      <c r="Q915" t="inlineStr">
        <is>
          <t>US-C-085</t>
        </is>
      </c>
      <c r="R915" s="5" t="inlineStr"/>
    </row>
    <row r="916">
      <c r="A916" t="inlineStr">
        <is>
          <t>US-C-087</t>
        </is>
      </c>
      <c r="B916" t="n">
        <v>710</v>
      </c>
      <c r="C916" t="inlineStr">
        <is>
          <t>Story</t>
        </is>
      </c>
      <c r="D916" s="5" t="inlineStr">
        <is>
          <t xml:space="preserve">        Alumni and nominee access to pay documents</t>
        </is>
      </c>
      <c r="E916" t="inlineStr">
        <is>
          <t>Step 5 · Payroll and statutory</t>
        </is>
      </c>
      <c r="F916" t="inlineStr">
        <is>
          <t>Documents, letters and e-sign for payroll</t>
        </is>
      </c>
      <c r="G916" t="inlineStr">
        <is>
          <t>New</t>
        </is>
      </c>
      <c r="I916">
        <f>IF(H916&lt;&gt;"",H916,G916)</f>
        <v/>
      </c>
      <c r="J916" t="inlineStr">
        <is>
          <t>Step 5-b payroll setup</t>
        </is>
      </c>
      <c r="K916" t="n">
        <v>3</v>
      </c>
      <c r="L916" t="n">
        <v>2</v>
      </c>
      <c r="M916" s="5" t="inlineStr">
        <is>
          <t>As a former employee, I want to download my payslips and Form 16 after I leave so that I have them for loans and tax.</t>
        </is>
      </c>
      <c r="N916" s="5" t="inlineStr">
        <is>
          <t>• Given I exited, when I log in with OTP, then I can only read my own payslips, Form 16 and issued letters, for 7 years (YX-DOC-16).
• Given a death in service, when HR releases documents, then each nominee gets a read-only OTP login limited to those documents, audited (YX-DOC-19).
• Given the last working day passes, when I try other screens, then access is refused (YX-DOC-16).</t>
        </is>
      </c>
      <c r="O916" s="5" t="inlineStr">
        <is>
          <t>YX-DOC-16, YX-DOC-19</t>
        </is>
      </c>
      <c r="P916" t="inlineStr">
        <is>
          <t>P05 §4.6</t>
        </is>
      </c>
      <c r="Q916" t="inlineStr">
        <is>
          <t>US-C-028</t>
        </is>
      </c>
      <c r="R916" s="5" t="inlineStr"/>
    </row>
    <row r="917">
      <c r="A917" t="inlineStr">
        <is>
          <t>US-C-088</t>
        </is>
      </c>
      <c r="B917" t="n">
        <v>711</v>
      </c>
      <c r="C917" t="inlineStr">
        <is>
          <t>Story</t>
        </is>
      </c>
      <c r="D917" s="5" t="inlineStr">
        <is>
          <t xml:space="preserve">        Document retention and deletion</t>
        </is>
      </c>
      <c r="E917" t="inlineStr">
        <is>
          <t>Step 5 · Payroll and statutory</t>
        </is>
      </c>
      <c r="F917" t="inlineStr">
        <is>
          <t>Documents, letters and e-sign for payroll</t>
        </is>
      </c>
      <c r="G917" t="inlineStr">
        <is>
          <t>New</t>
        </is>
      </c>
      <c r="I917">
        <f>IF(H917&lt;&gt;"",H917,G917)</f>
        <v/>
      </c>
      <c r="J917" t="inlineStr">
        <is>
          <t>Step 5-b payroll setup</t>
        </is>
      </c>
      <c r="K917" t="n">
        <v>2</v>
      </c>
      <c r="L917" t="n">
        <v>2</v>
      </c>
      <c r="M917" s="5" t="inlineStr">
        <is>
          <t>As a system admin, I want files deleted or anonymised after their retention period so that we keep data only as long as needed.</t>
        </is>
      </c>
      <c r="N917" s="5" t="inlineStr">
        <is>
          <t>• Given a file past its retention, when the job runs, then it is deleted or anonymised and logged (YX-DOC-13).
• Given a legal hold, when the job runs, then the file is kept (YX-DOC-13).
• Given a medical certificate, when retained, then it stays with the leave record it supports (YX-DOC-18).</t>
        </is>
      </c>
      <c r="O917" s="5" t="inlineStr">
        <is>
          <t>YX-DOC-13, YX-DOC-18</t>
        </is>
      </c>
      <c r="P917" t="inlineStr">
        <is>
          <t>P05 §4.7</t>
        </is>
      </c>
      <c r="Q917" t="inlineStr">
        <is>
          <t>US-C-029</t>
        </is>
      </c>
      <c r="R917" s="5" t="inlineStr"/>
    </row>
    <row r="918">
      <c r="A918" s="9" t="inlineStr">
        <is>
          <t>FT-C-15</t>
        </is>
      </c>
      <c r="B918" s="9" t="n">
        <v>712</v>
      </c>
      <c r="C918" s="9" t="inlineStr">
        <is>
          <t>Feature</t>
        </is>
      </c>
      <c r="D918" s="10" t="inlineStr">
        <is>
          <t xml:space="preserve">    Payroll setup, templates and India packs</t>
        </is>
      </c>
      <c r="E918" s="9" t="inlineStr">
        <is>
          <t>Step 5 · Payroll and statutory</t>
        </is>
      </c>
      <c r="F918" s="9" t="inlineStr">
        <is>
          <t>Payroll setup, templates and India packs</t>
        </is>
      </c>
      <c r="G918" s="9" t="inlineStr">
        <is>
          <t>New</t>
        </is>
      </c>
      <c r="H918" s="9" t="n"/>
      <c r="I918" s="9">
        <f>IF(H918&lt;&gt;"",H918,G918)</f>
        <v/>
      </c>
      <c r="J918" s="9" t="inlineStr">
        <is>
          <t>Step 5-b payroll setup</t>
        </is>
      </c>
      <c r="K918" s="9" t="n"/>
      <c r="L918" s="9" t="n"/>
      <c r="M918" s="10" t="inlineStr"/>
      <c r="N918" s="10" t="inlineStr"/>
      <c r="O918" s="10" t="inlineStr">
        <is>
          <t>YX-PAY-36, YX-PAY-01, YX-PAY-02, YX-PAY-17, YX-PAY-47, YX-STAT-21, YX-PAY-22, YX-STAT-09, YX-STAT-22, YX-PAY-24, YX-WF-01, YX-STAT-01, YX-STAT-03, YX-STAT-11, YX-STAT-13, YX-STAT-14, YX-STAT-15, YX-STAT-24, YX-STAT-27, YX-PAY-53, YX-PAY-10, YX-TAX-15, YX-TAX-02, YX-PAY-35, YX-DOC-15, YX-DOC-14</t>
        </is>
      </c>
      <c r="P918" s="9" t="inlineStr">
        <is>
          <t>M03 §6 flow 1</t>
        </is>
      </c>
      <c r="Q918" s="9" t="inlineStr"/>
      <c r="R918" s="10" t="inlineStr"/>
      <c r="S918" s="9" t="n"/>
    </row>
    <row r="919">
      <c r="A919" t="inlineStr">
        <is>
          <t>US-C-089</t>
        </is>
      </c>
      <c r="B919" t="n">
        <v>712</v>
      </c>
      <c r="C919" t="inlineStr">
        <is>
          <t>Story</t>
        </is>
      </c>
      <c r="D919" s="5" t="inlineStr">
        <is>
          <t xml:space="preserve">        Payroll setup wizard per legal entity</t>
        </is>
      </c>
      <c r="E919" t="inlineStr">
        <is>
          <t>Step 5 · Payroll and statutory</t>
        </is>
      </c>
      <c r="F919" t="inlineStr">
        <is>
          <t>Payroll setup, templates and India packs</t>
        </is>
      </c>
      <c r="G919" t="inlineStr">
        <is>
          <t>New</t>
        </is>
      </c>
      <c r="I919">
        <f>IF(H919&lt;&gt;"",H919,G919)</f>
        <v/>
      </c>
      <c r="J919" t="inlineStr">
        <is>
          <t>Step 5-b payroll setup</t>
        </is>
      </c>
      <c r="K919" t="n">
        <v>5</v>
      </c>
      <c r="L919" t="n">
        <v>1</v>
      </c>
      <c r="M919" s="5" t="inlineStr">
        <is>
          <t>As a payroll admin, I want a setup wizard for each entity so that registrations, pay group and bank format are complete before the first run.</t>
        </is>
      </c>
      <c r="N919" s="5" t="inlineStr">
        <is>
          <t>• Given I switch a statute on, when I save, then a completeness check of its required fields runs and blocks file generation until complete (YX-PAY-36).
• Given TAN, address and responsible person, when returns are drafted, then they come from statutory registrations and are never retyped (YX-PAY-36).
• Given the wizard steps (registrations, pay group and cut-off, template, bank format, accounting, opening balances), when one is incomplete, then the readiness screen shows it.</t>
        </is>
      </c>
      <c r="O919" s="5" t="inlineStr">
        <is>
          <t>YX-PAY-36</t>
        </is>
      </c>
      <c r="P919" t="inlineStr">
        <is>
          <t>M03 §6</t>
        </is>
      </c>
      <c r="Q919" t="inlineStr">
        <is>
          <t>US-C-025</t>
        </is>
      </c>
      <c r="R919" s="5" t="inlineStr"/>
    </row>
    <row r="920">
      <c r="A920" t="inlineStr">
        <is>
          <t>US-C-090</t>
        </is>
      </c>
      <c r="B920" t="n">
        <v>713</v>
      </c>
      <c r="C920" t="inlineStr">
        <is>
          <t>Story</t>
        </is>
      </c>
      <c r="D920" s="5" t="inlineStr">
        <is>
          <t xml:space="preserve">        Salary template with safe formulas</t>
        </is>
      </c>
      <c r="E920" t="inlineStr">
        <is>
          <t>Step 5 · Payroll and statutory</t>
        </is>
      </c>
      <c r="F920" t="inlineStr">
        <is>
          <t>Payroll setup, templates and India packs</t>
        </is>
      </c>
      <c r="G920" t="inlineStr">
        <is>
          <t>New</t>
        </is>
      </c>
      <c r="I920">
        <f>IF(H920&lt;&gt;"",H920,G920)</f>
        <v/>
      </c>
      <c r="J920" t="inlineStr">
        <is>
          <t>Step 5-b payroll setup</t>
        </is>
      </c>
      <c r="K920" t="n">
        <v>8</v>
      </c>
      <c r="L920" t="n">
        <v>1</v>
      </c>
      <c r="M920" s="5" t="inlineStr">
        <is>
          <t>As a payroll admin, I want to build a CTC salary template with formulas so that pay is calculated the same way for everyone.</t>
        </is>
      </c>
      <c r="N920" s="5" t="inlineStr">
        <is>
          <t>• Given a formula, when it runs, then it uses a sandboxed expression language with no code execution (YX-PAY-01).
• Given I save a template, when it has a cycle or wrong order, then save fails; a test run on a sample employee is required (YX-PAY-01).
• Given I edit a template, when I save, then a new version is created and past payslips do not change (YX-PAY-01).
• Given a component with its own proration formula, when prorated, then that formula is used; otherwise amount × payable days ÷ period days, never twice (YX-PAY-02).</t>
        </is>
      </c>
      <c r="O920" s="5" t="inlineStr">
        <is>
          <t>YX-PAY-01, YX-PAY-02</t>
        </is>
      </c>
      <c r="P920" t="inlineStr">
        <is>
          <t>M03 §7</t>
        </is>
      </c>
      <c r="Q920" t="inlineStr">
        <is>
          <t>US-C-089</t>
        </is>
      </c>
      <c r="R920" s="5" t="inlineStr"/>
    </row>
    <row r="921">
      <c r="A921" t="inlineStr">
        <is>
          <t>US-C-091</t>
        </is>
      </c>
      <c r="B921" t="n">
        <v>714</v>
      </c>
      <c r="C921" t="inlineStr">
        <is>
          <t>Story</t>
        </is>
      </c>
      <c r="D921" s="5" t="inlineStr">
        <is>
          <t xml:space="preserve">        Wage flags and the Code wage</t>
        </is>
      </c>
      <c r="E921" t="inlineStr">
        <is>
          <t>Step 5 · Payroll and statutory</t>
        </is>
      </c>
      <c r="F921" t="inlineStr">
        <is>
          <t>Payroll setup, templates and India packs</t>
        </is>
      </c>
      <c r="G921" t="inlineStr">
        <is>
          <t>New</t>
        </is>
      </c>
      <c r="I921">
        <f>IF(H921&lt;&gt;"",H921,G921)</f>
        <v/>
      </c>
      <c r="J921" t="inlineStr">
        <is>
          <t>Step 5-b payroll setup</t>
        </is>
      </c>
      <c r="K921" t="n">
        <v>5</v>
      </c>
      <c r="L921" t="n">
        <v>1</v>
      </c>
      <c r="M921" s="5" t="inlineStr">
        <is>
          <t>As a payroll admin, I want components flagged for PF, ESI and Code wages so that statutory bases are right whatever the component is called.</t>
        </is>
      </c>
      <c r="N921" s="5" t="inlineStr">
        <is>
          <t>• Given component flags, when the PF wage is computed, then it uses flags, not names (YX-PAY-17).
• Given a payslip from 21 Nov 2025, when exclusions exceed 50 % of total pay, then the excess is added back to Code wages (YX-PAY-47, YX-STAT-21).
• Given the add-back wage, when PF, ESI, gratuity and bonus are computed, then they use it as the base (YX-STAT-21).</t>
        </is>
      </c>
      <c r="O921" s="5" t="inlineStr">
        <is>
          <t>YX-PAY-17, YX-PAY-47, YX-STAT-21</t>
        </is>
      </c>
      <c r="P921" t="inlineStr">
        <is>
          <t>M03 §5</t>
        </is>
      </c>
      <c r="Q921" t="inlineStr">
        <is>
          <t>US-C-090, US-C-023</t>
        </is>
      </c>
      <c r="R921" s="5" t="inlineStr"/>
    </row>
    <row r="922">
      <c r="A922" t="inlineStr">
        <is>
          <t>US-C-092</t>
        </is>
      </c>
      <c r="B922" t="n">
        <v>715</v>
      </c>
      <c r="C922" t="inlineStr">
        <is>
          <t>Story</t>
        </is>
      </c>
      <c r="D922" s="5" t="inlineStr">
        <is>
          <t xml:space="preserve">        Assign and revise compensation with checks</t>
        </is>
      </c>
      <c r="E922" t="inlineStr">
        <is>
          <t>Step 5 · Payroll and statutory</t>
        </is>
      </c>
      <c r="F922" t="inlineStr">
        <is>
          <t>Payroll setup, templates and India packs</t>
        </is>
      </c>
      <c r="G922" t="inlineStr">
        <is>
          <t>New</t>
        </is>
      </c>
      <c r="I922">
        <f>IF(H922&lt;&gt;"",H922,G922)</f>
        <v/>
      </c>
      <c r="J922" t="inlineStr">
        <is>
          <t>Step 5-b payroll setup</t>
        </is>
      </c>
      <c r="K922" t="n">
        <v>5</v>
      </c>
      <c r="L922" t="n">
        <v>1</v>
      </c>
      <c r="M922" s="5" t="inlineStr">
        <is>
          <t>As an HR admin, I want to assign or revise an employee's salary through approval so that every change is checked.</t>
        </is>
      </c>
      <c r="N922" s="5" t="inlineStr">
        <is>
          <t>• Given a revision, when submitted, then it goes through P03 and the revision letter comes from P05 (YX-WF-01).
• Given the wage, when it is below max(state minimum for zone and skill, national floor wage), then a warning is shown (YX-PAY-22, YX-STAT-09, YX-STAT-22).
• Given a state rate below the floor, when shown, then the tenant view says the floor is applied (YX-STAT-22).
• Given pay basis hourly or daily, when saved, then the rate and OT / holiday multipliers are stored (YX-PAY-24).</t>
        </is>
      </c>
      <c r="O922" s="5" t="inlineStr">
        <is>
          <t>YX-PAY-22, YX-STAT-09, YX-STAT-22, YX-PAY-24, YX-WF-01</t>
        </is>
      </c>
      <c r="P922" t="inlineStr">
        <is>
          <t>M03 §6 flow 2</t>
        </is>
      </c>
      <c r="Q922" t="inlineStr">
        <is>
          <t>US-C-090, US-C-003</t>
        </is>
      </c>
      <c r="R922" s="5" t="inlineStr"/>
    </row>
    <row r="923">
      <c r="A923" t="inlineStr">
        <is>
          <t>US-C-093</t>
        </is>
      </c>
      <c r="B923" t="n">
        <v>716</v>
      </c>
      <c r="C923" t="inlineStr">
        <is>
          <t>Story</t>
        </is>
      </c>
      <c r="D923" s="5" t="inlineStr">
        <is>
          <t xml:space="preserve">        Load India payroll rule packs</t>
        </is>
      </c>
      <c r="E923" t="inlineStr">
        <is>
          <t>Step 5 · Payroll and statutory</t>
        </is>
      </c>
      <c r="F923" t="inlineStr">
        <is>
          <t>Payroll setup, templates and India packs</t>
        </is>
      </c>
      <c r="G923" t="inlineStr">
        <is>
          <t>New</t>
        </is>
      </c>
      <c r="I923">
        <f>IF(H923&lt;&gt;"",H923,G923)</f>
        <v/>
      </c>
      <c r="J923" t="inlineStr">
        <is>
          <t>Step 5-b payroll setup</t>
        </is>
      </c>
      <c r="K923" t="n">
        <v>5</v>
      </c>
      <c r="L923" t="n">
        <v>1</v>
      </c>
      <c r="M923" s="5" t="inlineStr">
        <is>
          <t>As a payroll admin, I want PF, ESI, PT, LWF, TDS, bonus and gratuity rules loaded as dated data so that calculations follow the law.</t>
        </is>
      </c>
      <c r="N923" s="5" t="inlineStr">
        <is>
          <t>• Given the packs, when loaded, then IN.PF, IN.ESI, IN.PT, IN.LWF, IN.TDS, IN.BONUS, IN.GRATUITY come with sources and golden cases (YX-STAT-01, YX-STAT-03).
• Given PT for a state, when computed for a year, then the ₹2,500 annual cap per employee per employer is enforced (YX-STAT-11).
• Given penalties and interest, when needed, then they come from dated penalty parameters (YX-STAT-14).
• Given TDS rules, when loaded, then each carries a law version IT-1961 or IT-2025 and non-salary sections are data (YX-STAT-24, YX-STAT-15).</t>
        </is>
      </c>
      <c r="O923" s="5" t="inlineStr">
        <is>
          <t>YX-STAT-01, YX-STAT-03, YX-STAT-11, YX-STAT-13, YX-STAT-14, YX-STAT-15, YX-STAT-24</t>
        </is>
      </c>
      <c r="P923" t="inlineStr">
        <is>
          <t>P07 §8</t>
        </is>
      </c>
      <c r="Q923" t="inlineStr">
        <is>
          <t>US-C-024</t>
        </is>
      </c>
      <c r="R923" s="5" t="inlineStr"/>
    </row>
    <row r="924">
      <c r="A924" t="inlineStr">
        <is>
          <t>US-C-094</t>
        </is>
      </c>
      <c r="B924" t="n">
        <v>717</v>
      </c>
      <c r="C924" t="inlineStr">
        <is>
          <t>Story</t>
        </is>
      </c>
      <c r="D924" s="5" t="inlineStr">
        <is>
          <t xml:space="preserve">        Statutory coverage monitor</t>
        </is>
      </c>
      <c r="E924" t="inlineStr">
        <is>
          <t>Step 5 · Payroll and statutory</t>
        </is>
      </c>
      <c r="F924" t="inlineStr">
        <is>
          <t>Payroll setup, templates and India packs</t>
        </is>
      </c>
      <c r="G924" t="inlineStr">
        <is>
          <t>New</t>
        </is>
      </c>
      <c r="I924">
        <f>IF(H924&lt;&gt;"",H924,G924)</f>
        <v/>
      </c>
      <c r="J924" t="inlineStr">
        <is>
          <t>Step 5-b payroll setup</t>
        </is>
      </c>
      <c r="K924" t="n">
        <v>3</v>
      </c>
      <c r="L924" t="n">
        <v>2</v>
      </c>
      <c r="M924" s="5" t="inlineStr">
        <is>
          <t>As a payroll admin, I want to be warned when we cross a headcount threshold for PF or ESI so that we register on time.</t>
        </is>
      </c>
      <c r="N924" s="5" t="inlineStr">
        <is>
          <t>• Given a dated coverage rule, when the daily job counts headcount, then approaching and crossed thresholds are listed on the readiness screen (YX-STAT-27).
• Given a threshold is crossed, when the next run is approved, then approval is blocked until the statute is on with its registration, or 'applied, number awaited' is recorded (YX-PAY-53).
• Given PF once covered, when headcount drops, then coverage stays on (YX-STAT-27).</t>
        </is>
      </c>
      <c r="O924" s="5" t="inlineStr">
        <is>
          <t>YX-STAT-27, YX-PAY-53</t>
        </is>
      </c>
      <c r="P924" t="inlineStr">
        <is>
          <t>P07 §4.5</t>
        </is>
      </c>
      <c r="Q924" t="inlineStr">
        <is>
          <t>US-C-093</t>
        </is>
      </c>
      <c r="R924" s="5" t="inlineStr"/>
    </row>
    <row r="925">
      <c r="A925" t="inlineStr">
        <is>
          <t>US-C-095</t>
        </is>
      </c>
      <c r="B925" t="n">
        <v>718</v>
      </c>
      <c r="C925" t="inlineStr">
        <is>
          <t>Story</t>
        </is>
      </c>
      <c r="D925" s="5" t="inlineStr">
        <is>
          <t xml:space="preserve">        Opening balances and year-to-date import</t>
        </is>
      </c>
      <c r="E925" t="inlineStr">
        <is>
          <t>Step 5 · Payroll and statutory</t>
        </is>
      </c>
      <c r="F925" t="inlineStr">
        <is>
          <t>Payroll setup, templates and India packs</t>
        </is>
      </c>
      <c r="G925" t="inlineStr">
        <is>
          <t>New</t>
        </is>
      </c>
      <c r="I925">
        <f>IF(H925&lt;&gt;"",H925,G925)</f>
        <v/>
      </c>
      <c r="J925" t="inlineStr">
        <is>
          <t>Step 5-b payroll setup</t>
        </is>
      </c>
      <c r="K925" t="n">
        <v>3</v>
      </c>
      <c r="L925" t="n">
        <v>1</v>
      </c>
      <c r="M925" s="5" t="inlineStr">
        <is>
          <t>As a payroll admin, I want to import YTD figures for people who joined mid-year so that tax and YTD totals are right.</t>
        </is>
      </c>
      <c r="N925" s="5" t="inlineStr">
        <is>
          <t>• Given imported YTD lines, when YTD is shown, then only payslips of the same employment in that FY up to this period count (YX-PAY-10).
• Given Form 12B income, when imported, then it feeds the tax projection (YX-TAX-02).
• Given an entity that started mid-year, when the quarterly return is drafted, then prior-month deductee rows come from the import; missing months block with a Fix link (YX-TAX-15).</t>
        </is>
      </c>
      <c r="O925" s="5" t="inlineStr">
        <is>
          <t>YX-PAY-10, YX-TAX-15, YX-TAX-02</t>
        </is>
      </c>
      <c r="P925" t="inlineStr">
        <is>
          <t>M03 §6 flow 1</t>
        </is>
      </c>
      <c r="Q925" t="inlineStr">
        <is>
          <t>US-C-089</t>
        </is>
      </c>
      <c r="R925" s="5" t="inlineStr"/>
    </row>
    <row r="926">
      <c r="A926" t="inlineStr">
        <is>
          <t>US-C-096</t>
        </is>
      </c>
      <c r="B926" t="n">
        <v>719</v>
      </c>
      <c r="C926" t="inlineStr">
        <is>
          <t>Story</t>
        </is>
      </c>
      <c r="D926" s="5" t="inlineStr">
        <is>
          <t xml:space="preserve">        Payslip layout per legal entity</t>
        </is>
      </c>
      <c r="E926" t="inlineStr">
        <is>
          <t>Step 5 · Payroll and statutory</t>
        </is>
      </c>
      <c r="F926" t="inlineStr">
        <is>
          <t>Payroll setup, templates and India packs</t>
        </is>
      </c>
      <c r="G926" t="inlineStr">
        <is>
          <t>New</t>
        </is>
      </c>
      <c r="I926">
        <f>IF(H926&lt;&gt;"",H926,G926)</f>
        <v/>
      </c>
      <c r="J926" t="inlineStr">
        <is>
          <t>Step 5-b payroll setup</t>
        </is>
      </c>
      <c r="K926" t="n">
        <v>3</v>
      </c>
      <c r="L926" t="n">
        <v>1</v>
      </c>
      <c r="M926" s="5" t="inlineStr">
        <is>
          <t>As a payroll admin, I want to design the payslip layout per entity so that payslips look right and show what the law needs.</t>
        </is>
      </c>
      <c r="N926" s="5" t="inlineStr">
        <is>
          <t>• Given the layout editor, when I change sections, order or languages, then I see a sample-employee preview (YX-PAY-35).
• Given the template, when stored, then it is a P05 .docx template rendered by the single pipeline and activated only after placeholders validate and a preview is viewed (YX-DOC-15).
• Given Hindi, Tamil or Telugu, when the PDF renders, then fonts are embedded (YX-DOC-14).
• Given a column with no values, when rendered, then it is hidden (YX-PAY-35).</t>
        </is>
      </c>
      <c r="O926" s="5" t="inlineStr">
        <is>
          <t>YX-PAY-35, YX-DOC-15, YX-DOC-14</t>
        </is>
      </c>
      <c r="P926" t="inlineStr">
        <is>
          <t>M03 §7, APX-F #27</t>
        </is>
      </c>
      <c r="Q926" t="inlineStr">
        <is>
          <t>US-C-085</t>
        </is>
      </c>
      <c r="R926" s="5" t="inlineStr"/>
    </row>
    <row r="927">
      <c r="A927" s="9" t="inlineStr">
        <is>
          <t>FT-C-16</t>
        </is>
      </c>
      <c r="B927" s="9" t="n">
        <v>720</v>
      </c>
      <c r="C927" s="9" t="inlineStr">
        <is>
          <t>Feature</t>
        </is>
      </c>
      <c r="D927" s="10" t="inlineStr">
        <is>
          <t xml:space="preserve">    Monthly payroll run</t>
        </is>
      </c>
      <c r="E927" s="9" t="inlineStr">
        <is>
          <t>Step 5 · Payroll and statutory</t>
        </is>
      </c>
      <c r="F927" s="9" t="inlineStr">
        <is>
          <t>Monthly payroll run</t>
        </is>
      </c>
      <c r="G927" s="9" t="inlineStr">
        <is>
          <t>New</t>
        </is>
      </c>
      <c r="H927" s="9" t="n"/>
      <c r="I927" s="9">
        <f>IF(H927&lt;&gt;"",H927,G927)</f>
        <v/>
      </c>
      <c r="J927" s="9" t="inlineStr">
        <is>
          <t>Step 5-c payroll run</t>
        </is>
      </c>
      <c r="K927" s="9" t="n"/>
      <c r="L927" s="9" t="n"/>
      <c r="M927" s="10" t="inlineStr"/>
      <c r="N927" s="10" t="inlineStr"/>
      <c r="O927" s="10" t="inlineStr">
        <is>
          <t>YX-PAY-05, YX-AT-09, YX-PAY-22, YX-PAY-53, YX-AT-04, YX-PAY-02, YX-PAY-07, YX-PAY-34, YX-PAY-03, YX-PAY-04, YX-PAY-12, YX-STAT-05, YX-PAY-17, YX-PAY-33, YX-PAY-18, YX-PAY-56, YX-STAT-30, YX-PAY-19, YX-PAY-54, YX-STAT-28, YX-STAT-11, YX-PAY-06, YX-WF-05, YX-LOCK-08, YX-AT-08, YX-LOCK-04, YX-PAY-08, YX-PAY-28, YX-PAY-09, YX-PAY-11, YX-PAY-29, YX-PAY-32, YX-PAY-23, YX-PAY-26, YX-PAY-50, YX-LV-10, YX-LV-15, YX-PAY-15, YX-PAY-16, YX-PAY-24, YX-PAY-42</t>
        </is>
      </c>
      <c r="P927" s="9" t="inlineStr">
        <is>
          <t>M03 §6 flow 3</t>
        </is>
      </c>
      <c r="Q927" s="9" t="inlineStr"/>
      <c r="R927" s="10" t="inlineStr"/>
      <c r="S927" s="9" t="n"/>
    </row>
    <row r="928">
      <c r="A928" t="inlineStr">
        <is>
          <t>US-C-097</t>
        </is>
      </c>
      <c r="B928" t="n">
        <v>720</v>
      </c>
      <c r="C928" t="inlineStr">
        <is>
          <t>Story</t>
        </is>
      </c>
      <c r="D928" s="5" t="inlineStr">
        <is>
          <t xml:space="preserve">        Readiness screen and pre-run validation</t>
        </is>
      </c>
      <c r="E928" t="inlineStr">
        <is>
          <t>Step 5 · Payroll and statutory</t>
        </is>
      </c>
      <c r="F928" t="inlineStr">
        <is>
          <t>Monthly payroll run</t>
        </is>
      </c>
      <c r="G928" t="inlineStr">
        <is>
          <t>New</t>
        </is>
      </c>
      <c r="I928">
        <f>IF(H928&lt;&gt;"",H928,G928)</f>
        <v/>
      </c>
      <c r="J928" t="inlineStr">
        <is>
          <t>Step 5-c payroll run</t>
        </is>
      </c>
      <c r="K928" t="n">
        <v>5</v>
      </c>
      <c r="L928" t="n">
        <v>1</v>
      </c>
      <c r="M928" s="5" t="inlineStr">
        <is>
          <t>As a payroll admin, I want to see what blocks the run before I calculate so that I fix problems first.</t>
        </is>
      </c>
      <c r="N928" s="5" t="inlineStr">
        <is>
          <t>• Given the run, when validation runs, then it checks bank details, PAN (warning only), UAN / ESI numbers, compensation, attendance and more (YX-PAY-05).
• Given each group, when the readiness screen opens, then it shows the attendance mode and block / warn (YX-AT-09).
• Given a wage below the minimum, when validation runs, then it warns (YX-PAY-22).
• Given a coverage threshold crossed, when validation runs, then it is listed (YX-PAY-53).</t>
        </is>
      </c>
      <c r="O928" s="5" t="inlineStr">
        <is>
          <t>YX-PAY-05, YX-AT-09, YX-PAY-22, YX-PAY-53</t>
        </is>
      </c>
      <c r="P928" t="inlineStr">
        <is>
          <t>M03 §6 flow 3</t>
        </is>
      </c>
      <c r="Q928" t="inlineStr">
        <is>
          <t>US-C-092, US-C-064</t>
        </is>
      </c>
      <c r="R928" s="5" t="inlineStr"/>
    </row>
    <row r="929">
      <c r="A929" t="inlineStr">
        <is>
          <t>US-C-098</t>
        </is>
      </c>
      <c r="B929" t="n">
        <v>721</v>
      </c>
      <c r="C929" t="inlineStr">
        <is>
          <t>Story</t>
        </is>
      </c>
      <c r="D929" s="5" t="inlineStr">
        <is>
          <t xml:space="preserve">        Payroll inputs: attendance, LOP and one-time pay</t>
        </is>
      </c>
      <c r="E929" t="inlineStr">
        <is>
          <t>Step 5 · Payroll and statutory</t>
        </is>
      </c>
      <c r="F929" t="inlineStr">
        <is>
          <t>Monthly payroll run</t>
        </is>
      </c>
      <c r="G929" t="inlineStr">
        <is>
          <t>New</t>
        </is>
      </c>
      <c r="I929">
        <f>IF(H929&lt;&gt;"",H929,G929)</f>
        <v/>
      </c>
      <c r="J929" t="inlineStr">
        <is>
          <t>Step 5-c payroll run</t>
        </is>
      </c>
      <c r="K929" t="n">
        <v>5</v>
      </c>
      <c r="L929" t="n">
        <v>1</v>
      </c>
      <c r="M929" s="5" t="inlineStr">
        <is>
          <t>As a payroll admin, I want attendance, LOP and one-time pay in one place so that the run has all inputs.</t>
        </is>
      </c>
      <c r="N929" s="5" t="inlineStr">
        <is>
          <t>• Given Punch or Timesheet groups, when inputs load, then payable days, LOP and approved OT come from the attendance feed (YX-AT-04).
• Given Assumed-present groups, when inputs load, then HR enters LOP / payable days by hand (YX-AT-09).
• Given LOP, when prorated, then the company's day basis (calendar, 30 or 26) is used (YX-PAY-02).
• Given the cut-off, when processing starts, then inputs are frozen (YX-PAY-07).</t>
        </is>
      </c>
      <c r="O929" s="5" t="inlineStr">
        <is>
          <t>YX-AT-04, YX-AT-09, YX-PAY-02, YX-PAY-07</t>
        </is>
      </c>
      <c r="P929" t="inlineStr">
        <is>
          <t>M03 §6 flow 3</t>
        </is>
      </c>
      <c r="Q929" t="inlineStr">
        <is>
          <t>US-C-097</t>
        </is>
      </c>
      <c r="R929" s="5" t="inlineStr"/>
    </row>
    <row r="930">
      <c r="A930" t="inlineStr">
        <is>
          <t>US-C-099</t>
        </is>
      </c>
      <c r="B930" t="n">
        <v>722</v>
      </c>
      <c r="C930" t="inlineStr">
        <is>
          <t>Story</t>
        </is>
      </c>
      <c r="D930" s="5" t="inlineStr">
        <is>
          <t xml:space="preserve">        Calculate the run with per-employee progress</t>
        </is>
      </c>
      <c r="E930" t="inlineStr">
        <is>
          <t>Step 5 · Payroll and statutory</t>
        </is>
      </c>
      <c r="F930" t="inlineStr">
        <is>
          <t>Monthly payroll run</t>
        </is>
      </c>
      <c r="G930" t="inlineStr">
        <is>
          <t>New</t>
        </is>
      </c>
      <c r="I930">
        <f>IF(H930&lt;&gt;"",H930,G930)</f>
        <v/>
      </c>
      <c r="J930" t="inlineStr">
        <is>
          <t>Step 5-c payroll run</t>
        </is>
      </c>
      <c r="K930" t="n">
        <v>8</v>
      </c>
      <c r="L930" t="n">
        <v>1</v>
      </c>
      <c r="M930" s="5" t="inlineStr">
        <is>
          <t>As a payroll admin, I want to calculate payroll and see each employee's result so that I can fix failures fast.</t>
        </is>
      </c>
      <c r="N930" s="5" t="inlineStr">
        <is>
          <t>• Given calculation, when it runs, then I see per-employee progress and a failure names the employee, record and field with a Fix link (YX-PAY-34).
• Given a salary change mid-month, when calculated, then the payslip is split into segments and each line shows its segment (YX-PAY-03).
• Given an employee already has a regular payslip for the period and pay group, when another run includes them, then it is rejected (YX-PAY-04).
• Given each line, when saved, then it stores its formula, inputs and rule version for the 'why this number' drawer (YX-PAY-12, YX-STAT-05).</t>
        </is>
      </c>
      <c r="O930" s="5" t="inlineStr">
        <is>
          <t>YX-PAY-34, YX-PAY-03, YX-PAY-04, YX-PAY-12, YX-STAT-05</t>
        </is>
      </c>
      <c r="P930" t="inlineStr">
        <is>
          <t>M03 §6 flow 3</t>
        </is>
      </c>
      <c r="Q930" t="inlineStr">
        <is>
          <t>US-C-098, US-C-091</t>
        </is>
      </c>
      <c r="R930" s="5" t="inlineStr"/>
    </row>
    <row r="931">
      <c r="A931" t="inlineStr">
        <is>
          <t>US-C-100</t>
        </is>
      </c>
      <c r="B931" t="n">
        <v>723</v>
      </c>
      <c r="C931" t="inlineStr">
        <is>
          <t>Story</t>
        </is>
      </c>
      <c r="D931" s="5" t="inlineStr">
        <is>
          <t xml:space="preserve">        PF, EPS and EDLI on every payslip</t>
        </is>
      </c>
      <c r="E931" t="inlineStr">
        <is>
          <t>Step 5 · Payroll and statutory</t>
        </is>
      </c>
      <c r="F931" t="inlineStr">
        <is>
          <t>Monthly payroll run</t>
        </is>
      </c>
      <c r="G931" t="inlineStr">
        <is>
          <t>New</t>
        </is>
      </c>
      <c r="I931">
        <f>IF(H931&lt;&gt;"",H931,G931)</f>
        <v/>
      </c>
      <c r="J931" t="inlineStr">
        <is>
          <t>Step 5-c payroll run</t>
        </is>
      </c>
      <c r="K931" t="n">
        <v>5</v>
      </c>
      <c r="L931" t="n">
        <v>1</v>
      </c>
      <c r="M931" s="5" t="inlineStr">
        <is>
          <t>As a payroll admin, I want PF calculated correctly for every case so that ECR is right.</t>
        </is>
      </c>
      <c r="N931" s="5" t="inlineStr">
        <is>
          <t>• Given PF-eligible employees, when calculated, then employer EPF, EPS, EDLI and admin charges are on every payslip and in CTC (YX-PAY-17).
• Given age 58, pre-2014 members or international workers, when calculated, then the special EPS rules apply (YX-PAY-17, YX-PAY-33).
• Given the EPS higher-pension flag, when calculated, then EPS uses actual wage (YX-PAY-33).</t>
        </is>
      </c>
      <c r="O931" s="5" t="inlineStr">
        <is>
          <t>YX-PAY-17, YX-PAY-33</t>
        </is>
      </c>
      <c r="P931" t="inlineStr">
        <is>
          <t>M03 §5</t>
        </is>
      </c>
      <c r="Q931" t="inlineStr">
        <is>
          <t>US-C-099, US-C-093</t>
        </is>
      </c>
      <c r="R931" s="5" t="inlineStr"/>
    </row>
    <row r="932">
      <c r="A932" t="inlineStr">
        <is>
          <t>US-C-101</t>
        </is>
      </c>
      <c r="B932" t="n">
        <v>724</v>
      </c>
      <c r="C932" t="inlineStr">
        <is>
          <t>Story</t>
        </is>
      </c>
      <c r="D932" s="5" t="inlineStr">
        <is>
          <t xml:space="preserve">        ESI coverage and contributions</t>
        </is>
      </c>
      <c r="E932" t="inlineStr">
        <is>
          <t>Step 5 · Payroll and statutory</t>
        </is>
      </c>
      <c r="F932" t="inlineStr">
        <is>
          <t>Monthly payroll run</t>
        </is>
      </c>
      <c r="G932" t="inlineStr">
        <is>
          <t>New</t>
        </is>
      </c>
      <c r="I932">
        <f>IF(H932&lt;&gt;"",H932,G932)</f>
        <v/>
      </c>
      <c r="J932" t="inlineStr">
        <is>
          <t>Step 5-c payroll run</t>
        </is>
      </c>
      <c r="K932" t="n">
        <v>3</v>
      </c>
      <c r="L932" t="n">
        <v>1</v>
      </c>
      <c r="M932" s="5" t="inlineStr">
        <is>
          <t>As a payroll admin, I want ESI applied by the contribution-period rules so that coverage is right.</t>
        </is>
      </c>
      <c r="N932" s="5" t="inlineStr">
        <is>
          <t>• Given an employee is covered at the start of the contribution period, when pay rises above the ceiling, then coverage continues until the period ends (YX-PAY-18).
• Given ESI amounts, when calculated, then they round up to the next rupee and the daily-wage exemption applies (YX-PAY-18).
• Given consented disability status, when coverage is tested, then the PwD ceiling from P07 is used; a change applies from the next contribution period (YX-PAY-56, YX-STAT-30).</t>
        </is>
      </c>
      <c r="O932" s="5" t="inlineStr">
        <is>
          <t>YX-PAY-18, YX-PAY-56, YX-STAT-30</t>
        </is>
      </c>
      <c r="P932" t="inlineStr">
        <is>
          <t>M03 §5</t>
        </is>
      </c>
      <c r="Q932" t="inlineStr">
        <is>
          <t>US-C-099, US-C-093</t>
        </is>
      </c>
      <c r="R932" s="5" t="inlineStr"/>
    </row>
    <row r="933">
      <c r="A933" t="inlineStr">
        <is>
          <t>US-C-102</t>
        </is>
      </c>
      <c r="B933" t="n">
        <v>725</v>
      </c>
      <c r="C933" t="inlineStr">
        <is>
          <t>Story</t>
        </is>
      </c>
      <c r="D933" s="5" t="inlineStr">
        <is>
          <t xml:space="preserve">        Professional tax and LWF by work state</t>
        </is>
      </c>
      <c r="E933" t="inlineStr">
        <is>
          <t>Step 5 · Payroll and statutory</t>
        </is>
      </c>
      <c r="F933" t="inlineStr">
        <is>
          <t>Monthly payroll run</t>
        </is>
      </c>
      <c r="G933" t="inlineStr">
        <is>
          <t>New</t>
        </is>
      </c>
      <c r="I933">
        <f>IF(H933&lt;&gt;"",H933,G933)</f>
        <v/>
      </c>
      <c r="J933" t="inlineStr">
        <is>
          <t>Step 5-c payroll run</t>
        </is>
      </c>
      <c r="K933" t="n">
        <v>5</v>
      </c>
      <c r="L933" t="n">
        <v>1</v>
      </c>
      <c r="M933" s="5" t="inlineStr">
        <is>
          <t>As a payroll admin, I want PT and LWF deducted for the right state so that no one pays twice.</t>
        </is>
      </c>
      <c r="N933" s="5" t="inlineStr">
        <is>
          <t>• Given the work-location state on the deduction date, when calculated, then state slabs, frequency and deduction month come from P07 (YX-PAY-19).
• Given a state change in the period, when calculated, then exactly one liable state per slot is used and shown on the payslip (YX-PAY-54, YX-STAT-28).
• Given the annual PT cap of ₹2,500, when the year's total would exceed it, then the deduction is reduced (YX-STAT-11, YX-PAY-19).</t>
        </is>
      </c>
      <c r="O933" s="5" t="inlineStr">
        <is>
          <t>YX-PAY-19, YX-PAY-54, YX-STAT-28, YX-STAT-11</t>
        </is>
      </c>
      <c r="P933" t="inlineStr">
        <is>
          <t>M03 §5</t>
        </is>
      </c>
      <c r="Q933" t="inlineStr">
        <is>
          <t>US-C-099, US-C-093</t>
        </is>
      </c>
      <c r="R933" s="5" t="inlineStr"/>
    </row>
    <row r="934">
      <c r="A934" t="inlineStr">
        <is>
          <t>US-C-103</t>
        </is>
      </c>
      <c r="B934" t="n">
        <v>726</v>
      </c>
      <c r="C934" t="inlineStr">
        <is>
          <t>Story</t>
        </is>
      </c>
      <c r="D934" s="5" t="inlineStr">
        <is>
          <t xml:space="preserve">        Variance review before approval</t>
        </is>
      </c>
      <c r="E934" t="inlineStr">
        <is>
          <t>Step 5 · Payroll and statutory</t>
        </is>
      </c>
      <c r="F934" t="inlineStr">
        <is>
          <t>Monthly payroll run</t>
        </is>
      </c>
      <c r="G934" t="inlineStr">
        <is>
          <t>New</t>
        </is>
      </c>
      <c r="I934">
        <f>IF(H934&lt;&gt;"",H934,G934)</f>
        <v/>
      </c>
      <c r="J934" t="inlineStr">
        <is>
          <t>Step 5-c payroll run</t>
        </is>
      </c>
      <c r="K934" t="n">
        <v>3</v>
      </c>
      <c r="L934" t="n">
        <v>1</v>
      </c>
      <c r="M934" s="5" t="inlineStr">
        <is>
          <t>As a payroll admin, I want to see big changes from last month so that mistakes are caught before pay goes out.</t>
        </is>
      </c>
      <c r="N934" s="5" t="inlineStr">
        <is>
          <t>• Given each payslip, when compared to last period, then changes above ±10 % net or any new / removed component are flagged (YX-PAY-06).
• Given flagged lines, when I submit for approval, then each must be acknowledged first (YX-PAY-06).
• Given I change the threshold in settings, when the next run compares, then the new threshold is used.</t>
        </is>
      </c>
      <c r="O934" s="5" t="inlineStr">
        <is>
          <t>YX-PAY-06</t>
        </is>
      </c>
      <c r="P934" t="inlineStr">
        <is>
          <t>M03 §5</t>
        </is>
      </c>
      <c r="Q934" t="inlineStr">
        <is>
          <t>US-C-099</t>
        </is>
      </c>
      <c r="R934" s="5" t="inlineStr"/>
    </row>
    <row r="935">
      <c r="A935" t="inlineStr">
        <is>
          <t>US-C-104</t>
        </is>
      </c>
      <c r="B935" t="n">
        <v>727</v>
      </c>
      <c r="C935" t="inlineStr">
        <is>
          <t>Story</t>
        </is>
      </c>
      <c r="D935" s="5" t="inlineStr">
        <is>
          <t xml:space="preserve">        Approve the run and lock the period</t>
        </is>
      </c>
      <c r="E935" t="inlineStr">
        <is>
          <t>Step 5 · Payroll and statutory</t>
        </is>
      </c>
      <c r="F935" t="inlineStr">
        <is>
          <t>Monthly payroll run</t>
        </is>
      </c>
      <c r="G935" t="inlineStr">
        <is>
          <t>New</t>
        </is>
      </c>
      <c r="I935">
        <f>IF(H935&lt;&gt;"",H935,G935)</f>
        <v/>
      </c>
      <c r="J935" t="inlineStr">
        <is>
          <t>Step 5-c payroll run</t>
        </is>
      </c>
      <c r="K935" t="n">
        <v>5</v>
      </c>
      <c r="L935" t="n">
        <v>1</v>
      </c>
      <c r="M935" s="5" t="inlineStr">
        <is>
          <t>As a finance approver, I want to approve the payroll run as a second person so that pay is checked before release.</t>
        </is>
      </c>
      <c r="N935" s="5" t="inlineStr">
        <is>
          <t>• Given the run, when submitted, then it follows the run's approval chain with maker ≠ checker (YX-PAY-07, YX-WF-05).
• Given Punch groups with block on and open exceptions, when approval is tried, then it is blocked; with warn, they are listed as warnings (YX-LOCK-08, YX-AT-08).
• Given approval, when it succeeds, then the period locks with attendance and pay-affecting leave (YX-LOCK-04).
• Given approval, when done, then bank file, payslip publication and journal become available (YX-PAY-07).</t>
        </is>
      </c>
      <c r="O935" s="5" t="inlineStr">
        <is>
          <t>YX-PAY-07, YX-WF-05, YX-LOCK-08, YX-AT-08, YX-LOCK-04</t>
        </is>
      </c>
      <c r="P935" t="inlineStr">
        <is>
          <t>M03 §6 flow 3, P08 §A4b</t>
        </is>
      </c>
      <c r="Q935" t="inlineStr">
        <is>
          <t>US-C-103, US-C-006, US-C-077, US-C-062</t>
        </is>
      </c>
      <c r="R935" s="5" t="inlineStr"/>
    </row>
    <row r="936">
      <c r="A936" t="inlineStr">
        <is>
          <t>US-C-105</t>
        </is>
      </c>
      <c r="B936" t="n">
        <v>729</v>
      </c>
      <c r="C936" t="inlineStr">
        <is>
          <t>Story</t>
        </is>
      </c>
      <c r="D936" s="5" t="inlineStr">
        <is>
          <t xml:space="preserve">        Cancel a calculated run</t>
        </is>
      </c>
      <c r="E936" t="inlineStr">
        <is>
          <t>Step 5 · Payroll and statutory</t>
        </is>
      </c>
      <c r="F936" t="inlineStr">
        <is>
          <t>Monthly payroll run</t>
        </is>
      </c>
      <c r="G936" t="inlineStr">
        <is>
          <t>New</t>
        </is>
      </c>
      <c r="I936">
        <f>IF(H936&lt;&gt;"",H936,G936)</f>
        <v/>
      </c>
      <c r="J936" t="inlineStr">
        <is>
          <t>Step 5-c payroll run</t>
        </is>
      </c>
      <c r="K936" t="n">
        <v>2</v>
      </c>
      <c r="L936" t="n">
        <v>1</v>
      </c>
      <c r="M936" s="5" t="inlineStr">
        <is>
          <t>As a payroll admin, I want to cancel a wrong run without losing its history so that audits stay clean.</t>
        </is>
      </c>
      <c r="N936" s="5" t="inlineStr">
        <is>
          <t>• Given a calculated run, when I cancel it, then it is marked void, never deleted (YX-PAY-08).
• Given a void run, when viewed, then its payslips show as void (YX-PAY-08).
• Given the cancel, when done, then it is audited (YX-PAY-08).</t>
        </is>
      </c>
      <c r="O936" s="5" t="inlineStr">
        <is>
          <t>YX-PAY-08</t>
        </is>
      </c>
      <c r="P936" t="inlineStr">
        <is>
          <t>M03 §5</t>
        </is>
      </c>
      <c r="Q936" t="inlineStr">
        <is>
          <t>US-C-099</t>
        </is>
      </c>
      <c r="R936" s="5" t="inlineStr"/>
    </row>
    <row r="937">
      <c r="A937" t="inlineStr">
        <is>
          <t>US-C-106</t>
        </is>
      </c>
      <c r="B937" t="n">
        <v>730</v>
      </c>
      <c r="C937" t="inlineStr">
        <is>
          <t>Story</t>
        </is>
      </c>
      <c r="D937" s="5" t="inlineStr">
        <is>
          <t xml:space="preserve">        Salary holds and release</t>
        </is>
      </c>
      <c r="E937" t="inlineStr">
        <is>
          <t>Step 5 · Payroll and statutory</t>
        </is>
      </c>
      <c r="F937" t="inlineStr">
        <is>
          <t>Monthly payroll run</t>
        </is>
      </c>
      <c r="G937" t="inlineStr">
        <is>
          <t>New</t>
        </is>
      </c>
      <c r="I937">
        <f>IF(H937&lt;&gt;"",H937,G937)</f>
        <v/>
      </c>
      <c r="J937" t="inlineStr">
        <is>
          <t>Step 5-c payroll run</t>
        </is>
      </c>
      <c r="K937" t="n">
        <v>3</v>
      </c>
      <c r="L937" t="n">
        <v>1</v>
      </c>
      <c r="M937" s="5" t="inlineStr">
        <is>
          <t>As a payroll admin, I want to hold an employee's pay with a reason and release it later so that we handle absconding or missing documents.</t>
        </is>
      </c>
      <c r="N937" s="5" t="inlineStr">
        <is>
          <t>• Given a hold, when created, then it has a reason code; triggers (absconding, failed payment, exit clearance) create holds automatically (YX-PAY-28).
• Given a held payslip, when the bank file is made, then it is left out (YX-PAY-28).
• Given I release it, when done, then only that run's payslip is released and repeating the action changes nothing (YX-PAY-09).</t>
        </is>
      </c>
      <c r="O937" s="5" t="inlineStr">
        <is>
          <t>YX-PAY-28, YX-PAY-09</t>
        </is>
      </c>
      <c r="P937" t="inlineStr">
        <is>
          <t>M03 §5</t>
        </is>
      </c>
      <c r="Q937" t="inlineStr">
        <is>
          <t>US-C-099</t>
        </is>
      </c>
      <c r="R937" s="5" t="inlineStr"/>
    </row>
    <row r="938">
      <c r="A938" t="inlineStr">
        <is>
          <t>US-C-107</t>
        </is>
      </c>
      <c r="B938" t="n">
        <v>731</v>
      </c>
      <c r="C938" t="inlineStr">
        <is>
          <t>Story</t>
        </is>
      </c>
      <c r="D938" s="5" t="inlineStr">
        <is>
          <t xml:space="preserve">        Recoveries, negative net and court orders</t>
        </is>
      </c>
      <c r="E938" t="inlineStr">
        <is>
          <t>Step 5 · Payroll and statutory</t>
        </is>
      </c>
      <c r="F938" t="inlineStr">
        <is>
          <t>Monthly payroll run</t>
        </is>
      </c>
      <c r="G938" t="inlineStr">
        <is>
          <t>New</t>
        </is>
      </c>
      <c r="I938">
        <f>IF(H938&lt;&gt;"",H938,G938)</f>
        <v/>
      </c>
      <c r="J938" t="inlineStr">
        <is>
          <t>Step 5-c payroll run</t>
        </is>
      </c>
      <c r="K938" t="n">
        <v>5</v>
      </c>
      <c r="L938" t="n">
        <v>1</v>
      </c>
      <c r="M938" s="5" t="inlineStr">
        <is>
          <t>As a payroll admin, I want loan EMIs, advances and court orders deducted in the right order so that pay never goes negative.</t>
        </is>
      </c>
      <c r="N938" s="5" t="inlineStr">
        <is>
          <t>• Given recoveries, when net would fall below the protected minimum, then the recovery is deferred (YX-PAY-11).
• Given net still negative, when calculated, then net is set to zero and the shortfall carries forward to next runs and F&amp;F (YX-PAY-29).
• Given a court attachment, when calculated, then it applies after statutory deductions and before loans, by order date, within the total deduction cap (YX-PAY-32).</t>
        </is>
      </c>
      <c r="O938" s="5" t="inlineStr">
        <is>
          <t>YX-PAY-11, YX-PAY-29, YX-PAY-32</t>
        </is>
      </c>
      <c r="P938" t="inlineStr">
        <is>
          <t>M03 §5</t>
        </is>
      </c>
      <c r="Q938" t="inlineStr">
        <is>
          <t>US-C-099</t>
        </is>
      </c>
      <c r="R938" s="5" t="inlineStr"/>
    </row>
    <row r="939">
      <c r="A939" t="inlineStr">
        <is>
          <t>US-C-108</t>
        </is>
      </c>
      <c r="B939" t="n">
        <v>732</v>
      </c>
      <c r="C939" t="inlineStr">
        <is>
          <t>Story</t>
        </is>
      </c>
      <c r="D939" s="5" t="inlineStr">
        <is>
          <t xml:space="preserve">        Subsistence allowance during suspension</t>
        </is>
      </c>
      <c r="E939" t="inlineStr">
        <is>
          <t>Step 5 · Payroll and statutory</t>
        </is>
      </c>
      <c r="F939" t="inlineStr">
        <is>
          <t>Monthly payroll run</t>
        </is>
      </c>
      <c r="G939" t="inlineStr">
        <is>
          <t>New</t>
        </is>
      </c>
      <c r="I939">
        <f>IF(H939&lt;&gt;"",H939,G939)</f>
        <v/>
      </c>
      <c r="J939" t="inlineStr">
        <is>
          <t>Step 5-c payroll run</t>
        </is>
      </c>
      <c r="K939" t="n">
        <v>2</v>
      </c>
      <c r="L939" t="n">
        <v>2</v>
      </c>
      <c r="M939" s="5" t="inlineStr">
        <is>
          <t>As a payroll admin, I want suspended employees paid subsistence allowance so that we follow standing orders.</t>
        </is>
      </c>
      <c r="N939" s="5" t="inlineStr">
        <is>
          <t>• Given an employee suspended pending inquiry, when the run calculates, then a subsistence-allowance component at the P07 rate replaces normal pay (YX-PAY-23).
• Given the suspension ends mid-period, when calculated, then the period is split (YX-PAY-03).
• Given the state's standing orders, when the rate changes by days of suspension, then the P07 rate for those days is used (YX-PAY-23).</t>
        </is>
      </c>
      <c r="O939" s="5" t="inlineStr">
        <is>
          <t>YX-PAY-23, YX-PAY-03</t>
        </is>
      </c>
      <c r="P939" t="inlineStr">
        <is>
          <t>M03 §5</t>
        </is>
      </c>
      <c r="Q939" t="inlineStr">
        <is>
          <t>US-C-099</t>
        </is>
      </c>
      <c r="R939" s="5" t="inlineStr"/>
    </row>
    <row r="940">
      <c r="A940" t="inlineStr">
        <is>
          <t>US-C-109</t>
        </is>
      </c>
      <c r="B940" t="n">
        <v>733</v>
      </c>
      <c r="C940" t="inlineStr">
        <is>
          <t>Story</t>
        </is>
      </c>
      <c r="D940" s="5" t="inlineStr">
        <is>
          <t xml:space="preserve">        Maternity benefit and injury pay</t>
        </is>
      </c>
      <c r="E940" t="inlineStr">
        <is>
          <t>Step 5 · Payroll and statutory</t>
        </is>
      </c>
      <c r="F940" t="inlineStr">
        <is>
          <t>Monthly payroll run</t>
        </is>
      </c>
      <c r="G940" t="inlineStr">
        <is>
          <t>New</t>
        </is>
      </c>
      <c r="I940">
        <f>IF(H940&lt;&gt;"",H940,G940)</f>
        <v/>
      </c>
      <c r="J940" t="inlineStr">
        <is>
          <t>Step 5-c payroll run</t>
        </is>
      </c>
      <c r="K940" t="n">
        <v>3</v>
      </c>
      <c r="L940" t="n">
        <v>2</v>
      </c>
      <c r="M940" s="5" t="inlineStr">
        <is>
          <t>As a payroll admin, I want maternity and injury days paid by the law and company policy so that no one is underpaid.</t>
        </is>
      </c>
      <c r="N940" s="5" t="inlineStr">
        <is>
          <t>• Given maternity leave, when calculated, then benefit = average daily wage of the last 3 months × days, plus medical bonus if no care given (YX-PAY-26).
• Given an ESIC-covered employee, when calculated, then no employer maternity pay is made (YX-PAY-26, YX-LV-10).
• Given injury leave days, when calculated, then ESI-covered get only a company top-up if set; others get at least the P07 compensation (YX-PAY-50, YX-LV-15).</t>
        </is>
      </c>
      <c r="O940" s="5" t="inlineStr">
        <is>
          <t>YX-PAY-26, YX-PAY-50, YX-LV-10, YX-LV-15</t>
        </is>
      </c>
      <c r="P940" t="inlineStr">
        <is>
          <t>M03 §5</t>
        </is>
      </c>
      <c r="Q940" t="inlineStr">
        <is>
          <t>US-C-099, US-C-044, US-C-045</t>
        </is>
      </c>
      <c r="R940" s="5" t="inlineStr"/>
    </row>
    <row r="941">
      <c r="A941" t="inlineStr">
        <is>
          <t>US-C-110</t>
        </is>
      </c>
      <c r="B941" t="n">
        <v>734</v>
      </c>
      <c r="C941" t="inlineStr">
        <is>
          <t>Story</t>
        </is>
      </c>
      <c r="D941" s="5" t="inlineStr">
        <is>
          <t xml:space="preserve">        Statutory bonus and gratuity provision</t>
        </is>
      </c>
      <c r="E941" t="inlineStr">
        <is>
          <t>Step 5 · Payroll and statutory</t>
        </is>
      </c>
      <c r="F941" t="inlineStr">
        <is>
          <t>Monthly payroll run</t>
        </is>
      </c>
      <c r="G941" t="inlineStr">
        <is>
          <t>New</t>
        </is>
      </c>
      <c r="I941">
        <f>IF(H941&lt;&gt;"",H941,G941)</f>
        <v/>
      </c>
      <c r="J941" t="inlineStr">
        <is>
          <t>Step 5-c payroll run</t>
        </is>
      </c>
      <c r="K941" t="n">
        <v>5</v>
      </c>
      <c r="L941" t="n">
        <v>2</v>
      </c>
      <c r="M941" s="5" t="inlineStr">
        <is>
          <t>As a payroll admin, I want bonus and gratuity calculated by the law so that year-end payouts are right.</t>
        </is>
      </c>
      <c r="N941" s="5" t="inlineStr">
        <is>
          <t>• Given the Payment of Bonus rules, when bonus is computed, then eligibility wage, ceiling and 8.33–20 % come from P07 (YX-PAY-16).
• Given each month, when calculated, then gratuity is provisioned as wage × 15/26 × years, capped (YX-PAY-15).
• Given a fixed-term employee, when eligibility is checked, then pro-rata after 1 year applies (YX-PAY-15).</t>
        </is>
      </c>
      <c r="O941" s="5" t="inlineStr">
        <is>
          <t>YX-PAY-15, YX-PAY-16</t>
        </is>
      </c>
      <c r="P941" t="inlineStr">
        <is>
          <t>M03 §5</t>
        </is>
      </c>
      <c r="Q941" t="inlineStr">
        <is>
          <t>US-C-099</t>
        </is>
      </c>
      <c r="R941" s="5" t="inlineStr"/>
    </row>
    <row r="942">
      <c r="A942" t="inlineStr">
        <is>
          <t>US-C-111</t>
        </is>
      </c>
      <c r="B942" t="n">
        <v>735</v>
      </c>
      <c r="C942" t="inlineStr">
        <is>
          <t>Story</t>
        </is>
      </c>
      <c r="D942" s="5" t="inlineStr">
        <is>
          <t xml:space="preserve">        Hourly and daily rate pay from timesheets</t>
        </is>
      </c>
      <c r="E942" t="inlineStr">
        <is>
          <t>Step 5 · Payroll and statutory</t>
        </is>
      </c>
      <c r="F942" t="inlineStr">
        <is>
          <t>Monthly payroll run</t>
        </is>
      </c>
      <c r="G942" t="inlineStr">
        <is>
          <t>New</t>
        </is>
      </c>
      <c r="I942">
        <f>IF(H942&lt;&gt;"",H942,G942)</f>
        <v/>
      </c>
      <c r="J942" t="inlineStr">
        <is>
          <t>Step 5-c payroll run</t>
        </is>
      </c>
      <c r="K942" t="n">
        <v>3</v>
      </c>
      <c r="L942" t="n">
        <v>2</v>
      </c>
      <c r="M942" s="5" t="inlineStr">
        <is>
          <t>As a payroll admin, I want contract workers paid from approved hours so that pay matches work.</t>
        </is>
      </c>
      <c r="N942" s="5" t="inlineStr">
        <is>
          <t>• Given rate-based pay, when calculated, then pay = approved hours (or days) × rate × category multiplier (YX-PAY-24).
• Given unapproved hours, when calculated, then they are never paid (YX-PAY-24).
• Given OT and holiday multipliers from the rate card, when applied, then each line shows the multiplier (YX-PAY-12).</t>
        </is>
      </c>
      <c r="O942" s="5" t="inlineStr">
        <is>
          <t>YX-PAY-24, YX-PAY-12</t>
        </is>
      </c>
      <c r="P942" t="inlineStr">
        <is>
          <t>M03 §5</t>
        </is>
      </c>
      <c r="Q942" t="inlineStr">
        <is>
          <t>US-C-099, US-C-063</t>
        </is>
      </c>
      <c r="R942" s="5" t="inlineStr"/>
    </row>
    <row r="943">
      <c r="A943" t="inlineStr">
        <is>
          <t>US-C-112</t>
        </is>
      </c>
      <c r="B943" t="n">
        <v>736</v>
      </c>
      <c r="C943" t="inlineStr">
        <is>
          <t>Story</t>
        </is>
      </c>
      <c r="D943" s="5" t="inlineStr">
        <is>
          <t xml:space="preserve">        Journal export and employee cost rates</t>
        </is>
      </c>
      <c r="E943" t="inlineStr">
        <is>
          <t>Step 5 · Payroll and statutory</t>
        </is>
      </c>
      <c r="F943" t="inlineStr">
        <is>
          <t>Monthly payroll run</t>
        </is>
      </c>
      <c r="G943" t="inlineStr">
        <is>
          <t>New</t>
        </is>
      </c>
      <c r="I943">
        <f>IF(H943&lt;&gt;"",H943,G943)</f>
        <v/>
      </c>
      <c r="J943" t="inlineStr">
        <is>
          <t>Step 5-c payroll run</t>
        </is>
      </c>
      <c r="K943" t="n">
        <v>3</v>
      </c>
      <c r="L943" t="n">
        <v>2</v>
      </c>
      <c r="M943" s="5" t="inlineStr">
        <is>
          <t>As a finance user, I want a journal export and monthly cost rates so that accounts and project costing are right.</t>
        </is>
      </c>
      <c r="N943" s="5" t="inlineStr">
        <is>
          <t>• Given an approved run, when I export the journal, then it follows the entity's accounting mapping (YX-PAY-07).
• Given a paid month, when cost rates are computed, then cost = employer cost ÷ standard hours from the approved payslip; open months are marked provisional (YX-PAY-42).
• Given cost rates, when someone without payroll / finance scope asks, then they are hidden (YX-PAY-42).</t>
        </is>
      </c>
      <c r="O943" s="5" t="inlineStr">
        <is>
          <t>YX-PAY-07, YX-PAY-42</t>
        </is>
      </c>
      <c r="P943" t="inlineStr">
        <is>
          <t>M03 §6 flow 3</t>
        </is>
      </c>
      <c r="Q943" t="inlineStr">
        <is>
          <t>US-C-104</t>
        </is>
      </c>
      <c r="R943" s="5" t="inlineStr"/>
    </row>
    <row r="944">
      <c r="A944" s="9" t="inlineStr">
        <is>
          <t>FT-C-17</t>
        </is>
      </c>
      <c r="B944" s="9" t="n">
        <v>737</v>
      </c>
      <c r="C944" s="9" t="inlineStr">
        <is>
          <t>Feature</t>
        </is>
      </c>
      <c r="D944" s="10" t="inlineStr">
        <is>
          <t xml:space="preserve">    Bank file, payments and payslips</t>
        </is>
      </c>
      <c r="E944" s="9" t="inlineStr">
        <is>
          <t>Step 5 · Payroll and statutory</t>
        </is>
      </c>
      <c r="F944" s="9" t="inlineStr">
        <is>
          <t>Bank file, payments and payslips</t>
        </is>
      </c>
      <c r="G944" s="9" t="inlineStr">
        <is>
          <t>New</t>
        </is>
      </c>
      <c r="H944" s="9" t="n"/>
      <c r="I944" s="9">
        <f>IF(H944&lt;&gt;"",H944,G944)</f>
        <v/>
      </c>
      <c r="J944" s="9" t="inlineStr">
        <is>
          <t>Step 5-d pay-out and payslips</t>
        </is>
      </c>
      <c r="K944" s="9" t="n"/>
      <c r="L944" s="9" t="n"/>
      <c r="M944" s="10" t="inlineStr"/>
      <c r="N944" s="10" t="inlineStr"/>
      <c r="O944" s="10" t="inlineStr">
        <is>
          <t>YX-PAY-13, YX-AUD-09, YX-PAY-14, YX-PAY-31, YX-PAY-07, YX-PAY-12, YX-PAY-35, YX-DOC-01, YX-NTF-15, YX-NTF-04, YX-PAY-25</t>
        </is>
      </c>
      <c r="P944" s="9" t="inlineStr">
        <is>
          <t>M03 §6 flow 3</t>
        </is>
      </c>
      <c r="Q944" s="9" t="inlineStr"/>
      <c r="R944" s="10" t="inlineStr"/>
      <c r="S944" s="9" t="n"/>
    </row>
    <row r="945">
      <c r="A945" t="inlineStr">
        <is>
          <t>US-C-113</t>
        </is>
      </c>
      <c r="B945" t="n">
        <v>737</v>
      </c>
      <c r="C945" t="inlineStr">
        <is>
          <t>Story</t>
        </is>
      </c>
      <c r="D945" s="5" t="inlineStr">
        <is>
          <t xml:space="preserve">        Generate the bank file</t>
        </is>
      </c>
      <c r="E945" t="inlineStr">
        <is>
          <t>Step 5 · Payroll and statutory</t>
        </is>
      </c>
      <c r="F945" t="inlineStr">
        <is>
          <t>Bank file, payments and payslips</t>
        </is>
      </c>
      <c r="G945" t="inlineStr">
        <is>
          <t>New</t>
        </is>
      </c>
      <c r="I945">
        <f>IF(H945&lt;&gt;"",H945,G945)</f>
        <v/>
      </c>
      <c r="J945" t="inlineStr">
        <is>
          <t>Step 5-d pay-out and payslips</t>
        </is>
      </c>
      <c r="K945" t="n">
        <v>5</v>
      </c>
      <c r="L945" t="n">
        <v>1</v>
      </c>
      <c r="M945" s="5" t="inlineStr">
        <is>
          <t>As a payroll admin, I want a bank file for the approved run so that salaries are paid on time.</t>
        </is>
      </c>
      <c r="N945" s="5" t="inlineStr">
        <is>
          <t>• Given an approved run, when the bank file is made, then account numbers and IFSC stay as text with leading zeros (YX-PAY-13).
• Given the file, when built, then it includes only approved, unwithheld, verified-account payslips (YX-PAY-13).
• Given a file already made, when regenerated, then a reason is required (YX-PAY-13).
• Given I release it, when I confirm in the irreversible-action dialog, then the confirmation is audited (YX-AUD-09).</t>
        </is>
      </c>
      <c r="O945" s="5" t="inlineStr">
        <is>
          <t>YX-PAY-13, YX-AUD-09</t>
        </is>
      </c>
      <c r="P945" t="inlineStr">
        <is>
          <t>M03 §6 flow 3</t>
        </is>
      </c>
      <c r="Q945" t="inlineStr">
        <is>
          <t>US-C-104, US-C-084</t>
        </is>
      </c>
      <c r="R945" s="5" t="inlineStr"/>
    </row>
    <row r="946">
      <c r="A946" t="inlineStr">
        <is>
          <t>US-C-114</t>
        </is>
      </c>
      <c r="B946" t="n">
        <v>738</v>
      </c>
      <c r="C946" t="inlineStr">
        <is>
          <t>Story</t>
        </is>
      </c>
      <c r="D946" s="5" t="inlineStr">
        <is>
          <t xml:space="preserve">        Record payment status and handle failures</t>
        </is>
      </c>
      <c r="E946" t="inlineStr">
        <is>
          <t>Step 5 · Payroll and statutory</t>
        </is>
      </c>
      <c r="F946" t="inlineStr">
        <is>
          <t>Bank file, payments and payslips</t>
        </is>
      </c>
      <c r="G946" t="inlineStr">
        <is>
          <t>New</t>
        </is>
      </c>
      <c r="I946">
        <f>IF(H946&lt;&gt;"",H946,G946)</f>
        <v/>
      </c>
      <c r="J946" t="inlineStr">
        <is>
          <t>Step 5-d pay-out and payslips</t>
        </is>
      </c>
      <c r="K946" t="n">
        <v>5</v>
      </c>
      <c r="L946" t="n">
        <v>1</v>
      </c>
      <c r="M946" s="5" t="inlineStr">
        <is>
          <t>As a payroll admin, I want to mark payments paid, failed or returned so that failed salaries get paid again.</t>
        </is>
      </c>
      <c r="N946" s="5" t="inlineStr">
        <is>
          <t>• Given bank results, when recorded, then each payslip has paid / failed / returned status (YX-PAY-14).
• Given a return, when recorded, then the employee is notified in the app (+ SMS with no amounts) to fix bank details (YX-PAY-14).
• Given corrected bank details, when checker approves and penny-drop passes, then the cooling period is skipped (YX-PAY-14).
• Given a failed payment, when the next bank file or off-cycle is made, then it is included (YX-PAY-14).</t>
        </is>
      </c>
      <c r="O946" s="5" t="inlineStr">
        <is>
          <t>YX-PAY-14</t>
        </is>
      </c>
      <c r="P946" t="inlineStr">
        <is>
          <t>M03 §6 flow 3</t>
        </is>
      </c>
      <c r="Q946" t="inlineStr">
        <is>
          <t>US-C-113</t>
        </is>
      </c>
      <c r="R946" s="5" t="inlineStr"/>
    </row>
    <row r="947">
      <c r="A947" t="inlineStr">
        <is>
          <t>US-C-115</t>
        </is>
      </c>
      <c r="B947" t="n">
        <v>739</v>
      </c>
      <c r="C947" t="inlineStr">
        <is>
          <t>Story</t>
        </is>
      </c>
      <c r="D947" s="5" t="inlineStr">
        <is>
          <t xml:space="preserve">        Cash and cheque disbursement register</t>
        </is>
      </c>
      <c r="E947" t="inlineStr">
        <is>
          <t>Step 5 · Payroll and statutory</t>
        </is>
      </c>
      <c r="F947" t="inlineStr">
        <is>
          <t>Bank file, payments and payslips</t>
        </is>
      </c>
      <c r="G947" t="inlineStr">
        <is>
          <t>New</t>
        </is>
      </c>
      <c r="I947">
        <f>IF(H947&lt;&gt;"",H947,G947)</f>
        <v/>
      </c>
      <c r="J947" t="inlineStr">
        <is>
          <t>Step 5-d pay-out and payslips</t>
        </is>
      </c>
      <c r="K947" t="n">
        <v>3</v>
      </c>
      <c r="L947" t="n">
        <v>2</v>
      </c>
      <c r="M947" s="5" t="inlineStr">
        <is>
          <t>As a payroll admin, I want to pay some workers by cash or cheque with proof so that it is still controlled.</t>
        </is>
      </c>
      <c r="N947" s="5" t="inlineStr">
        <is>
          <t>• Given the company enabled cash / cheque, when I set it for an employee, then a reason and approval are needed and it is audited (YX-PAY-31).
• Given such payslips, when the bank file is made, then they go to the disbursement register instead (YX-PAY-31).
• Given payment, when recorded, then a signature or acknowledgement upload is required (YX-PAY-31).</t>
        </is>
      </c>
      <c r="O947" s="5" t="inlineStr">
        <is>
          <t>YX-PAY-31</t>
        </is>
      </c>
      <c r="P947" t="inlineStr">
        <is>
          <t>M03 §5</t>
        </is>
      </c>
      <c r="Q947" t="inlineStr">
        <is>
          <t>US-C-113</t>
        </is>
      </c>
      <c r="R947" s="5" t="inlineStr"/>
    </row>
    <row r="948">
      <c r="A948" t="inlineStr">
        <is>
          <t>US-C-116</t>
        </is>
      </c>
      <c r="B948" t="n">
        <v>740</v>
      </c>
      <c r="C948" t="inlineStr">
        <is>
          <t>Story</t>
        </is>
      </c>
      <c r="D948" s="5" t="inlineStr">
        <is>
          <t xml:space="preserve">        Publish payslips and view them</t>
        </is>
      </c>
      <c r="E948" t="inlineStr">
        <is>
          <t>Step 5 · Payroll and statutory</t>
        </is>
      </c>
      <c r="F948" t="inlineStr">
        <is>
          <t>Bank file, payments and payslips</t>
        </is>
      </c>
      <c r="G948" t="inlineStr">
        <is>
          <t>New</t>
        </is>
      </c>
      <c r="I948">
        <f>IF(H948&lt;&gt;"",H948,G948)</f>
        <v/>
      </c>
      <c r="J948" t="inlineStr">
        <is>
          <t>Step 5-d pay-out and payslips</t>
        </is>
      </c>
      <c r="K948" t="n">
        <v>5</v>
      </c>
      <c r="L948" t="n">
        <v>1</v>
      </c>
      <c r="M948" s="5" t="inlineStr">
        <is>
          <t>As an employee, I want to see my payslip in the app with an explanation of each number so that I understand my pay.</t>
        </is>
      </c>
      <c r="N948" s="5" t="inlineStr">
        <is>
          <t>• Given an approved run, when HR publishes, then employees get the payslip in the app and a notification (YX-PAY-07).
• Given a payslip line, when I tap 'why this number', then I see the formula, inputs and rule version (YX-PAY-12).
• Given the PDF, when rendered, then it uses the entity's payslip layout (YX-PAY-35).
• Given I download it, when the link is made, then it is a short-lived signed link (YX-DOC-01).</t>
        </is>
      </c>
      <c r="O948" s="5" t="inlineStr">
        <is>
          <t>YX-PAY-07, YX-PAY-12, YX-PAY-35, YX-DOC-01</t>
        </is>
      </c>
      <c r="P948" t="inlineStr">
        <is>
          <t>M03 §7</t>
        </is>
      </c>
      <c r="Q948" t="inlineStr">
        <is>
          <t>US-C-104, US-C-096</t>
        </is>
      </c>
      <c r="R948" s="5" t="inlineStr"/>
    </row>
    <row r="949">
      <c r="A949" t="inlineStr">
        <is>
          <t>US-C-117</t>
        </is>
      </c>
      <c r="B949" t="n">
        <v>741</v>
      </c>
      <c r="C949" t="inlineStr">
        <is>
          <t>Story</t>
        </is>
      </c>
      <c r="D949" s="5" t="inlineStr">
        <is>
          <t xml:space="preserve">        Payslip PDF by email (company option)</t>
        </is>
      </c>
      <c r="E949" t="inlineStr">
        <is>
          <t>Step 5 · Payroll and statutory</t>
        </is>
      </c>
      <c r="F949" t="inlineStr">
        <is>
          <t>Bank file, payments and payslips</t>
        </is>
      </c>
      <c r="G949" t="inlineStr">
        <is>
          <t>New</t>
        </is>
      </c>
      <c r="I949">
        <f>IF(H949&lt;&gt;"",H949,G949)</f>
        <v/>
      </c>
      <c r="J949" t="inlineStr">
        <is>
          <t>Step 5-d pay-out and payslips</t>
        </is>
      </c>
      <c r="K949" t="n">
        <v>3</v>
      </c>
      <c r="L949" t="n">
        <v>2</v>
      </c>
      <c r="M949" s="5" t="inlineStr">
        <is>
          <t>As an employee, I want my payslip emailed as a protected PDF so that I have a copy in my mail.</t>
        </is>
      </c>
      <c r="N949" s="5" t="inlineStr">
        <is>
          <t>• Given the entity's payslip email policy is off (default), when payslips publish, then no PDF is emailed (YX-NTF-15).
• Given it is on, when sent, then the PDF is AES-256 password protected, the email states the scheme but not the password, and shows no amount (YX-NTF-15, YX-NTF-04).
• Given an unverified email address, when sending, then nothing is sent (YX-NTF-15).</t>
        </is>
      </c>
      <c r="O949" s="5" t="inlineStr">
        <is>
          <t>YX-NTF-15, YX-NTF-04</t>
        </is>
      </c>
      <c r="P949" t="inlineStr">
        <is>
          <t>P04 §4.5b</t>
        </is>
      </c>
      <c r="Q949" t="inlineStr">
        <is>
          <t>US-C-116, US-C-015</t>
        </is>
      </c>
      <c r="R949" s="5" t="inlineStr"/>
    </row>
    <row r="950">
      <c r="A950" t="inlineStr">
        <is>
          <t>US-C-118</t>
        </is>
      </c>
      <c r="B950" t="n">
        <v>742</v>
      </c>
      <c r="C950" t="inlineStr">
        <is>
          <t>Story</t>
        </is>
      </c>
      <c r="D950" s="5" t="inlineStr">
        <is>
          <t xml:space="preserve">        Employee raises a query on a payslip</t>
        </is>
      </c>
      <c r="E950" t="inlineStr">
        <is>
          <t>Step 5 · Payroll and statutory</t>
        </is>
      </c>
      <c r="F950" t="inlineStr">
        <is>
          <t>Bank file, payments and payslips</t>
        </is>
      </c>
      <c r="G950" t="inlineStr">
        <is>
          <t>New</t>
        </is>
      </c>
      <c r="I950">
        <f>IF(H950&lt;&gt;"",H950,G950)</f>
        <v/>
      </c>
      <c r="J950" t="inlineStr">
        <is>
          <t>Step 5-d pay-out and payslips</t>
        </is>
      </c>
      <c r="K950" t="n">
        <v>3</v>
      </c>
      <c r="L950" t="n">
        <v>2</v>
      </c>
      <c r="M950" s="5" t="inlineStr">
        <is>
          <t>As an employee, I want to ask a question about my payslip in the app so that I get an answer without email.</t>
        </is>
      </c>
      <c r="N950" s="5" t="inlineStr">
        <is>
          <t>• Given a payslip or a line, when I raise a query, then it lands in the Payroll Admin query queue (YX-PAY-25).
• Given a reply, when sent, then it stays in the app (YX-PAY-25).
• Given each query action, when taken, then it is audited (YX-PAY-25).</t>
        </is>
      </c>
      <c r="O950" s="5" t="inlineStr">
        <is>
          <t>YX-PAY-25</t>
        </is>
      </c>
      <c r="P950" t="inlineStr">
        <is>
          <t>M03 §7</t>
        </is>
      </c>
      <c r="Q950" t="inlineStr">
        <is>
          <t>US-C-116</t>
        </is>
      </c>
      <c r="R950" s="5" t="inlineStr"/>
    </row>
    <row r="951">
      <c r="A951" s="9" t="inlineStr">
        <is>
          <t>FT-C-18</t>
        </is>
      </c>
      <c r="B951" s="9" t="n">
        <v>743</v>
      </c>
      <c r="C951" s="9" t="inlineStr">
        <is>
          <t>Feature</t>
        </is>
      </c>
      <c r="D951" s="10" t="inlineStr">
        <is>
          <t xml:space="preserve">    Income tax (TDS) on salary</t>
        </is>
      </c>
      <c r="E951" s="9" t="inlineStr">
        <is>
          <t>Step 5 · Payroll and statutory</t>
        </is>
      </c>
      <c r="F951" s="9" t="inlineStr">
        <is>
          <t>Income tax (TDS) on salary</t>
        </is>
      </c>
      <c r="G951" s="9" t="inlineStr">
        <is>
          <t>New</t>
        </is>
      </c>
      <c r="H951" s="9" t="n"/>
      <c r="I951" s="9">
        <f>IF(H951&lt;&gt;"",H951,G951)</f>
        <v/>
      </c>
      <c r="J951" s="9" t="inlineStr">
        <is>
          <t>Step 5-e income tax</t>
        </is>
      </c>
      <c r="K951" s="9" t="n"/>
      <c r="L951" s="9" t="n"/>
      <c r="M951" s="10" t="inlineStr"/>
      <c r="N951" s="10" t="inlineStr"/>
      <c r="O951" s="10" t="inlineStr">
        <is>
          <t>YX-TAX-01, YX-TAX-02, YX-TAX-06, YX-PAY-10, YX-TAX-03, YX-TAX-05, YX-TAX-04, YX-TAX-10, YX-TAX-11, YX-TAX-12, YX-TAX-09, YX-TAX-21, YX-TAX-13, YX-TAX-19, YX-STAT-24, YX-TAX-07, YX-TAX-20, YX-DOC-16</t>
        </is>
      </c>
      <c r="P951" s="9" t="inlineStr">
        <is>
          <t>M03 §5 Tax</t>
        </is>
      </c>
      <c r="Q951" s="9" t="inlineStr"/>
      <c r="R951" s="10" t="inlineStr"/>
      <c r="S951" s="9" t="n"/>
    </row>
    <row r="952">
      <c r="A952" t="inlineStr">
        <is>
          <t>US-C-119</t>
        </is>
      </c>
      <c r="B952" t="n">
        <v>743</v>
      </c>
      <c r="C952" t="inlineStr">
        <is>
          <t>Story</t>
        </is>
      </c>
      <c r="D952" s="5" t="inlineStr">
        <is>
          <t xml:space="preserve">        Employee picks a tax regime</t>
        </is>
      </c>
      <c r="E952" t="inlineStr">
        <is>
          <t>Step 5 · Payroll and statutory</t>
        </is>
      </c>
      <c r="F952" t="inlineStr">
        <is>
          <t>Income tax (TDS) on salary</t>
        </is>
      </c>
      <c r="G952" t="inlineStr">
        <is>
          <t>New</t>
        </is>
      </c>
      <c r="I952">
        <f>IF(H952&lt;&gt;"",H952,G952)</f>
        <v/>
      </c>
      <c r="J952" t="inlineStr">
        <is>
          <t>Step 5-e income tax</t>
        </is>
      </c>
      <c r="K952" t="n">
        <v>3</v>
      </c>
      <c r="L952" t="n">
        <v>1</v>
      </c>
      <c r="M952" s="5" t="inlineStr">
        <is>
          <t>As an employee, I want to compare the old and new regime and choose one so that I pay less tax.</t>
        </is>
      </c>
      <c r="N952" s="5" t="inlineStr">
        <is>
          <t>• Given no choice, when tax is computed, then the new regime is used (YX-TAX-01).
• Given the cut-off has passed, when I try to change, then only HR can change it with a reason (YX-TAX-01).
• Given my choice, when tax is computed, then the slab set matches the regime (YX-TAX-01).</t>
        </is>
      </c>
      <c r="O952" s="5" t="inlineStr">
        <is>
          <t>YX-TAX-01</t>
        </is>
      </c>
      <c r="P952" t="inlineStr">
        <is>
          <t>M03 §7</t>
        </is>
      </c>
      <c r="Q952" t="inlineStr">
        <is>
          <t>US-C-093</t>
        </is>
      </c>
      <c r="R952" s="5" t="inlineStr"/>
    </row>
    <row r="953">
      <c r="A953" t="inlineStr">
        <is>
          <t>US-C-120</t>
        </is>
      </c>
      <c r="B953" t="n">
        <v>744</v>
      </c>
      <c r="C953" t="inlineStr">
        <is>
          <t>Story</t>
        </is>
      </c>
      <c r="D953" s="5" t="inlineStr">
        <is>
          <t xml:space="preserve">        Monthly TDS projection and tax sheet</t>
        </is>
      </c>
      <c r="E953" t="inlineStr">
        <is>
          <t>Step 5 · Payroll and statutory</t>
        </is>
      </c>
      <c r="F953" t="inlineStr">
        <is>
          <t>Income tax (TDS) on salary</t>
        </is>
      </c>
      <c r="G953" t="inlineStr">
        <is>
          <t>New</t>
        </is>
      </c>
      <c r="I953">
        <f>IF(H953&lt;&gt;"",H953,G953)</f>
        <v/>
      </c>
      <c r="J953" t="inlineStr">
        <is>
          <t>Step 5-e income tax</t>
        </is>
      </c>
      <c r="K953" t="n">
        <v>5</v>
      </c>
      <c r="L953" t="n">
        <v>1</v>
      </c>
      <c r="M953" s="5" t="inlineStr">
        <is>
          <t>As an employee, I want to see how my monthly TDS is worked out so that I trust the deduction.</t>
        </is>
      </c>
      <c r="N953" s="5" t="inlineStr">
        <is>
          <t>• Given a run, when TDS is computed, then TDS = (projected annual tax − tax already deducted) ÷ remaining periods, including Form 12B and other income (YX-TAX-02).
• Given an employee, when components are set, then only one tax component is allowed (YX-TAX-02).
• Given my tax sheet, when shown, then it equals the tax deducted, from the same function (YX-TAX-06).
• Given YTD, when shown, then only same-employment payslips in the FY up to now count (YX-PAY-10).</t>
        </is>
      </c>
      <c r="O953" s="5" t="inlineStr">
        <is>
          <t>YX-TAX-02, YX-TAX-06, YX-PAY-10</t>
        </is>
      </c>
      <c r="P953" t="inlineStr">
        <is>
          <t>M03 §5</t>
        </is>
      </c>
      <c r="Q953" t="inlineStr">
        <is>
          <t>US-C-119, US-C-099</t>
        </is>
      </c>
      <c r="R953" s="5" t="inlineStr"/>
    </row>
    <row r="954">
      <c r="A954" t="inlineStr">
        <is>
          <t>US-C-121</t>
        </is>
      </c>
      <c r="B954" t="n">
        <v>745</v>
      </c>
      <c r="C954" t="inlineStr">
        <is>
          <t>Story</t>
        </is>
      </c>
      <c r="D954" s="5" t="inlineStr">
        <is>
          <t xml:space="preserve">        Declarations and proof verification</t>
        </is>
      </c>
      <c r="E954" t="inlineStr">
        <is>
          <t>Step 5 · Payroll and statutory</t>
        </is>
      </c>
      <c r="F954" t="inlineStr">
        <is>
          <t>Income tax (TDS) on salary</t>
        </is>
      </c>
      <c r="G954" t="inlineStr">
        <is>
          <t>New</t>
        </is>
      </c>
      <c r="I954">
        <f>IF(H954&lt;&gt;"",H954,G954)</f>
        <v/>
      </c>
      <c r="J954" t="inlineStr">
        <is>
          <t>Step 5-e income tax</t>
        </is>
      </c>
      <c r="K954" t="n">
        <v>5</v>
      </c>
      <c r="L954" t="n">
        <v>1</v>
      </c>
      <c r="M954" s="5" t="inlineStr">
        <is>
          <t>As an employee, I want to declare investments and upload proofs so that my tax is reduced.</t>
        </is>
      </c>
      <c r="N954" s="5" t="inlineStr">
        <is>
          <t>• Given proofs are not yet verified, when TDS is projected, then declarations are used (YX-TAX-03).
• Given the proof cut-off has passed, when projected, then only verified amounts count and extra tax is spread over the remaining periods (YX-TAX-03).
• Given each line, when verified, then payroll or HR approves, rejects or partly approves with a comment; I cannot approve my own (YX-TAX-05).</t>
        </is>
      </c>
      <c r="O954" s="5" t="inlineStr">
        <is>
          <t>YX-TAX-03, YX-TAX-05</t>
        </is>
      </c>
      <c r="P954" t="inlineStr">
        <is>
          <t>M03 §7</t>
        </is>
      </c>
      <c r="Q954" t="inlineStr">
        <is>
          <t>US-C-120, US-C-028</t>
        </is>
      </c>
      <c r="R954" s="5" t="inlineStr"/>
    </row>
    <row r="955">
      <c r="A955" t="inlineStr">
        <is>
          <t>US-C-122</t>
        </is>
      </c>
      <c r="B955" t="n">
        <v>746</v>
      </c>
      <c r="C955" t="inlineStr">
        <is>
          <t>Story</t>
        </is>
      </c>
      <c r="D955" s="5" t="inlineStr">
        <is>
          <t xml:space="preserve">        HRA exemption month by month</t>
        </is>
      </c>
      <c r="E955" t="inlineStr">
        <is>
          <t>Step 5 · Payroll and statutory</t>
        </is>
      </c>
      <c r="F955" t="inlineStr">
        <is>
          <t>Income tax (TDS) on salary</t>
        </is>
      </c>
      <c r="G955" t="inlineStr">
        <is>
          <t>New</t>
        </is>
      </c>
      <c r="I955">
        <f>IF(H955&lt;&gt;"",H955,G955)</f>
        <v/>
      </c>
      <c r="J955" t="inlineStr">
        <is>
          <t>Step 5-e income tax</t>
        </is>
      </c>
      <c r="K955" t="n">
        <v>2</v>
      </c>
      <c r="L955" t="n">
        <v>1</v>
      </c>
      <c r="M955" s="5" t="inlineStr">
        <is>
          <t>As an employee paying rent, I want HRA exemption worked out correctly so that I get my tax benefit.</t>
        </is>
      </c>
      <c r="N955" s="5" t="inlineStr">
        <is>
          <t>• Given rent for some months, when computed, then exemption is calculated per month over months of actual employment and rent (YX-TAX-04).
• Given rent above the P07 threshold, when declared, then landlord PAN is required (YX-TAX-04).
• Given the result, when shown in the tax sheet, then each month's value is listed.</t>
        </is>
      </c>
      <c r="O955" s="5" t="inlineStr">
        <is>
          <t>YX-TAX-04</t>
        </is>
      </c>
      <c r="P955" t="inlineStr">
        <is>
          <t>M03 §5</t>
        </is>
      </c>
      <c r="Q955" t="inlineStr">
        <is>
          <t>US-C-121</t>
        </is>
      </c>
      <c r="R955" s="5" t="inlineStr"/>
    </row>
    <row r="956">
      <c r="A956" t="inlineStr">
        <is>
          <t>US-C-123</t>
        </is>
      </c>
      <c r="B956" t="n">
        <v>747</v>
      </c>
      <c r="C956" t="inlineStr">
        <is>
          <t>Story</t>
        </is>
      </c>
      <c r="D956" s="5" t="inlineStr">
        <is>
          <t xml:space="preserve">        Missing PAN and residential status</t>
        </is>
      </c>
      <c r="E956" t="inlineStr">
        <is>
          <t>Step 5 · Payroll and statutory</t>
        </is>
      </c>
      <c r="F956" t="inlineStr">
        <is>
          <t>Income tax (TDS) on salary</t>
        </is>
      </c>
      <c r="G956" t="inlineStr">
        <is>
          <t>New</t>
        </is>
      </c>
      <c r="I956">
        <f>IF(H956&lt;&gt;"",H956,G956)</f>
        <v/>
      </c>
      <c r="J956" t="inlineStr">
        <is>
          <t>Step 5-e income tax</t>
        </is>
      </c>
      <c r="K956" t="n">
        <v>3</v>
      </c>
      <c r="L956" t="n">
        <v>1</v>
      </c>
      <c r="M956" s="5" t="inlineStr">
        <is>
          <t>As a payroll admin, I want TDS handled when PAN is missing or the employee is non-resident so that we deduct the right amount.</t>
        </is>
      </c>
      <c r="N956" s="5" t="inlineStr">
        <is>
          <t>• Given PAN missing or inoperative, when the run happens, then it is not blocked and TDS = higher of 20 % or slab rate, flagged PANNOTAVBL (YX-TAX-10).
• Given each run and filing, when it starts, then PAN operative status is checked via P10 (YX-TAX-10).
• Given a non-resident, when tax is computed, then no 87A rebate; treaty rate only with a valid TRC (YX-TAX-11).</t>
        </is>
      </c>
      <c r="O956" s="5" t="inlineStr">
        <is>
          <t>YX-TAX-10, YX-TAX-11</t>
        </is>
      </c>
      <c r="P956" t="inlineStr">
        <is>
          <t>M03 §5</t>
        </is>
      </c>
      <c r="Q956" t="inlineStr">
        <is>
          <t>US-C-120</t>
        </is>
      </c>
      <c r="R956" s="5" t="inlineStr"/>
    </row>
    <row r="957">
      <c r="A957" t="inlineStr">
        <is>
          <t>US-C-124</t>
        </is>
      </c>
      <c r="B957" t="n">
        <v>748</v>
      </c>
      <c r="C957" t="inlineStr">
        <is>
          <t>Story</t>
        </is>
      </c>
      <c r="D957" s="5" t="inlineStr">
        <is>
          <t xml:space="preserve">        Perquisites, leave encashment and VRS tax</t>
        </is>
      </c>
      <c r="E957" t="inlineStr">
        <is>
          <t>Step 5 · Payroll and statutory</t>
        </is>
      </c>
      <c r="F957" t="inlineStr">
        <is>
          <t>Income tax (TDS) on salary</t>
        </is>
      </c>
      <c r="G957" t="inlineStr">
        <is>
          <t>New</t>
        </is>
      </c>
      <c r="I957">
        <f>IF(H957&lt;&gt;"",H957,G957)</f>
        <v/>
      </c>
      <c r="J957" t="inlineStr">
        <is>
          <t>Step 5-e income tax</t>
        </is>
      </c>
      <c r="K957" t="n">
        <v>5</v>
      </c>
      <c r="L957" t="n">
        <v>2</v>
      </c>
      <c r="M957" s="5" t="inlineStr">
        <is>
          <t>As a payroll admin, I want perquisites and exit payouts taxed correctly so that Form 12BA and TDS are right.</t>
        </is>
      </c>
      <c r="N957" s="5" t="inlineStr">
        <is>
          <t>• Given a company car or accommodation, when valued, then the P07 rules apply and they show in Form 12BA (YX-TAX-12).
• Given leave encashment on exit, when taxed, then the exemption is the least of the four limbs, within the ₹25 L lifetime cap less prior use; in service it is fully taxable (YX-TAX-09).
• Given VRS compensation, when taxed, then the exemption up to the P07 limit applies once per lifetime (YX-TAX-21).</t>
        </is>
      </c>
      <c r="O957" s="5" t="inlineStr">
        <is>
          <t>YX-TAX-12, YX-TAX-09, YX-TAX-21</t>
        </is>
      </c>
      <c r="P957" t="inlineStr">
        <is>
          <t>M03 §5</t>
        </is>
      </c>
      <c r="Q957" t="inlineStr">
        <is>
          <t>US-C-120</t>
        </is>
      </c>
      <c r="R957" s="5" t="inlineStr"/>
    </row>
    <row r="958">
      <c r="A958" t="inlineStr">
        <is>
          <t>US-C-125</t>
        </is>
      </c>
      <c r="B958" t="n">
        <v>749</v>
      </c>
      <c r="C958" t="inlineStr">
        <is>
          <t>Story</t>
        </is>
      </c>
      <c r="D958" s="5" t="inlineStr">
        <is>
          <t xml:space="preserve">        Tax continuity across transfers and rehires</t>
        </is>
      </c>
      <c r="E958" t="inlineStr">
        <is>
          <t>Step 5 · Payroll and statutory</t>
        </is>
      </c>
      <c r="F958" t="inlineStr">
        <is>
          <t>Income tax (TDS) on salary</t>
        </is>
      </c>
      <c r="G958" t="inlineStr">
        <is>
          <t>New</t>
        </is>
      </c>
      <c r="I958">
        <f>IF(H958&lt;&gt;"",H958,G958)</f>
        <v/>
      </c>
      <c r="J958" t="inlineStr">
        <is>
          <t>Step 5-e income tax</t>
        </is>
      </c>
      <c r="K958" t="n">
        <v>3</v>
      </c>
      <c r="L958" t="n">
        <v>2</v>
      </c>
      <c r="M958" s="5" t="inlineStr">
        <is>
          <t>As a payroll admin, I want tax to continue when an employee moves entity or rejoins in the same year so that TDS is not wrong.</t>
        </is>
      </c>
      <c r="N958" s="5" t="inlineStr">
        <is>
          <t>• Given an inter-entity transfer, when it happens, then Form 12B is auto-filled in the new entity and declarations are copied (YX-TAX-13).
• Given a rehire in the same FY, when TDS is computed, then YTD, TDS and Form 130 combine per PAN × TAN × FY (YX-TAX-13, YX-PAY-10).
• Given gratuity paid twice, when exemption is computed, then one lifetime limit is used (YX-TAX-13).</t>
        </is>
      </c>
      <c r="O958" s="5" t="inlineStr">
        <is>
          <t>YX-TAX-13, YX-PAY-10</t>
        </is>
      </c>
      <c r="P958" t="inlineStr">
        <is>
          <t>M03 §5</t>
        </is>
      </c>
      <c r="Q958" t="inlineStr">
        <is>
          <t>US-C-120</t>
        </is>
      </c>
      <c r="R958" s="5" t="inlineStr"/>
    </row>
    <row r="959">
      <c r="A959" t="inlineStr">
        <is>
          <t>US-C-126</t>
        </is>
      </c>
      <c r="B959" t="n">
        <v>750</v>
      </c>
      <c r="C959" t="inlineStr">
        <is>
          <t>Story</t>
        </is>
      </c>
      <c r="D959" s="5" t="inlineStr">
        <is>
          <t xml:space="preserve">        Income-tax law version on every computation</t>
        </is>
      </c>
      <c r="E959" t="inlineStr">
        <is>
          <t>Step 5 · Payroll and statutory</t>
        </is>
      </c>
      <c r="F959" t="inlineStr">
        <is>
          <t>Income tax (TDS) on salary</t>
        </is>
      </c>
      <c r="G959" t="inlineStr">
        <is>
          <t>New</t>
        </is>
      </c>
      <c r="I959">
        <f>IF(H959&lt;&gt;"",H959,G959)</f>
        <v/>
      </c>
      <c r="J959" t="inlineStr">
        <is>
          <t>Step 5-e income tax</t>
        </is>
      </c>
      <c r="K959" t="n">
        <v>3</v>
      </c>
      <c r="L959" t="n">
        <v>1</v>
      </c>
      <c r="M959" s="5" t="inlineStr">
        <is>
          <t>As a payroll admin, I want old and new Income-tax Act forms used for the right periods so that filings are accepted.</t>
        </is>
      </c>
      <c r="N959" s="5" t="inlineStr">
        <is>
          <t>• Given a period up to 31 Mar 2026, when TDS, returns or certificates are made, then IT-1961 forms (24Q, Form 16) are used (YX-TAX-19, YX-STAT-24).
• Given a later period, when made, then IT-2025 forms (Form 138, Form 130) are used (YX-TAX-19).
• Given any computation, when saved, then it records its law version (YX-TAX-19).</t>
        </is>
      </c>
      <c r="O959" s="5" t="inlineStr">
        <is>
          <t>YX-TAX-19, YX-STAT-24</t>
        </is>
      </c>
      <c r="P959" t="inlineStr">
        <is>
          <t>M03 §5, P07 §4.8</t>
        </is>
      </c>
      <c r="Q959" t="inlineStr">
        <is>
          <t>US-C-120</t>
        </is>
      </c>
      <c r="R959" s="5" t="inlineStr"/>
    </row>
    <row r="960">
      <c r="A960" t="inlineStr">
        <is>
          <t>US-C-127</t>
        </is>
      </c>
      <c r="B960" t="n">
        <v>751</v>
      </c>
      <c r="C960" t="inlineStr">
        <is>
          <t>Story</t>
        </is>
      </c>
      <c r="D960" s="5" t="inlineStr">
        <is>
          <t xml:space="preserve">        Year-end Form 130 for employees</t>
        </is>
      </c>
      <c r="E960" t="inlineStr">
        <is>
          <t>Step 5 · Payroll and statutory</t>
        </is>
      </c>
      <c r="F960" t="inlineStr">
        <is>
          <t>Income tax (TDS) on salary</t>
        </is>
      </c>
      <c r="G960" t="inlineStr">
        <is>
          <t>New</t>
        </is>
      </c>
      <c r="I960">
        <f>IF(H960&lt;&gt;"",H960,G960)</f>
        <v/>
      </c>
      <c r="J960" t="inlineStr">
        <is>
          <t>Step 5-e income tax</t>
        </is>
      </c>
      <c r="K960" t="n">
        <v>5</v>
      </c>
      <c r="L960" t="n">
        <v>1</v>
      </c>
      <c r="M960" s="5" t="inlineStr">
        <is>
          <t>As an employee, I want my Form 130 (Form 16) in the app so that I can file my return.</t>
        </is>
      </c>
      <c r="N960" s="5" t="inlineStr">
        <is>
          <t>• Given year end, when Form 130 is made, then it uses tax actually deducted and includes leavers (YX-TAX-07).
• Given Part B, when generated, then it is signed with the company DSC and published to employees and alumni (YX-DOC-16).
• Given a correction return is accepted, when the corrected Part A is ready, then a revised Form 130 / 131 is generated (YX-TAX-20).</t>
        </is>
      </c>
      <c r="O960" s="5" t="inlineStr">
        <is>
          <t>YX-TAX-07, YX-TAX-20, YX-DOC-16</t>
        </is>
      </c>
      <c r="P960" t="inlineStr">
        <is>
          <t>M03 §6 flow 6</t>
        </is>
      </c>
      <c r="Q960" t="inlineStr">
        <is>
          <t>US-C-120, US-C-087</t>
        </is>
      </c>
      <c r="R960" s="5" t="inlineStr"/>
    </row>
    <row r="961">
      <c r="A961" s="9" t="inlineStr">
        <is>
          <t>FT-C-19</t>
        </is>
      </c>
      <c r="B961" s="9" t="n">
        <v>752</v>
      </c>
      <c r="C961" s="9" t="inlineStr">
        <is>
          <t>Feature</t>
        </is>
      </c>
      <c r="D961" s="10" t="inlineStr">
        <is>
          <t xml:space="preserve">    Statutory files, returns and registers</t>
        </is>
      </c>
      <c r="E961" s="9" t="inlineStr">
        <is>
          <t>Step 5 · Payroll and statutory</t>
        </is>
      </c>
      <c r="F961" s="9" t="inlineStr">
        <is>
          <t>Statutory files, returns and registers</t>
        </is>
      </c>
      <c r="G961" s="9" t="inlineStr">
        <is>
          <t>New</t>
        </is>
      </c>
      <c r="H961" s="9" t="n"/>
      <c r="I961" s="9">
        <f>IF(H961&lt;&gt;"",H961,G961)</f>
        <v/>
      </c>
      <c r="J961" s="9" t="inlineStr">
        <is>
          <t>Step 5-f statutory filings</t>
        </is>
      </c>
      <c r="K961" s="9" t="n"/>
      <c r="L961" s="9" t="n"/>
      <c r="M961" s="10" t="inlineStr"/>
      <c r="N961" s="10" t="inlineStr"/>
      <c r="O961" s="10" t="inlineStr">
        <is>
          <t>YX-STAT-14, YX-PAY-21, YX-PAY-20, YX-PAY-55, YX-STAT-29, YX-PAY-54, YX-PAY-19, YX-TAX-14, YX-TAX-07, YX-TAX-15, YX-PAY-36, YX-TAX-08, YX-TAX-20, YX-TAX-19, YX-PAY-51, YX-STAT-26, YX-PAY-39, YX-STAT-16, YX-STAT-07, YX-PAY-33, YX-STAT-17</t>
        </is>
      </c>
      <c r="P961" s="9" t="inlineStr">
        <is>
          <t>M03 §6 flows 4-5, P07</t>
        </is>
      </c>
      <c r="Q961" s="9" t="inlineStr"/>
      <c r="R961" s="10" t="inlineStr"/>
      <c r="S961" s="9" t="n"/>
    </row>
    <row r="962">
      <c r="A962" t="inlineStr">
        <is>
          <t>US-C-128</t>
        </is>
      </c>
      <c r="B962" t="n">
        <v>752</v>
      </c>
      <c r="C962" t="inlineStr">
        <is>
          <t>Story</t>
        </is>
      </c>
      <c r="D962" s="5" t="inlineStr">
        <is>
          <t xml:space="preserve">        Statutory hub and compliance calendar</t>
        </is>
      </c>
      <c r="E962" t="inlineStr">
        <is>
          <t>Step 5 · Payroll and statutory</t>
        </is>
      </c>
      <c r="F962" t="inlineStr">
        <is>
          <t>Statutory files, returns and registers</t>
        </is>
      </c>
      <c r="G962" t="inlineStr">
        <is>
          <t>New</t>
        </is>
      </c>
      <c r="I962">
        <f>IF(H962&lt;&gt;"",H962,G962)</f>
        <v/>
      </c>
      <c r="J962" t="inlineStr">
        <is>
          <t>Step 5-f statutory filings</t>
        </is>
      </c>
      <c r="K962" t="n">
        <v>5</v>
      </c>
      <c r="L962" t="n">
        <v>1</v>
      </c>
      <c r="M962" s="5" t="inlineStr">
        <is>
          <t>As a payroll admin, I want one hub showing every statutory task with due dates so that nothing is filed late.</t>
        </is>
      </c>
      <c r="N962" s="5" t="inlineStr">
        <is>
          <t>• Given each statute and month, when I open the hub, then I see status, file, acknowledgement, due date and P07 penalty estimate if late (YX-STAT-14).
• Given a file, when downloaded, then only payroll scope can download and each download is audited (YX-PAY-21).
• Given a due date is near, when the scheduler runs, then the owner is reminded.</t>
        </is>
      </c>
      <c r="O962" s="5" t="inlineStr">
        <is>
          <t>YX-STAT-14, YX-PAY-21</t>
        </is>
      </c>
      <c r="P962" t="inlineStr">
        <is>
          <t>M03 §7</t>
        </is>
      </c>
      <c r="Q962" t="inlineStr">
        <is>
          <t>US-C-104, US-C-018</t>
        </is>
      </c>
      <c r="R962" s="5" t="inlineStr"/>
    </row>
    <row r="963">
      <c r="A963" t="inlineStr">
        <is>
          <t>US-C-129</t>
        </is>
      </c>
      <c r="B963" t="n">
        <v>753</v>
      </c>
      <c r="C963" t="inlineStr">
        <is>
          <t>Story</t>
        </is>
      </c>
      <c r="D963" s="5" t="inlineStr">
        <is>
          <t xml:space="preserve">        PF ECR and ESI return files</t>
        </is>
      </c>
      <c r="E963" t="inlineStr">
        <is>
          <t>Step 5 · Payroll and statutory</t>
        </is>
      </c>
      <c r="F963" t="inlineStr">
        <is>
          <t>Statutory files, returns and registers</t>
        </is>
      </c>
      <c r="G963" t="inlineStr">
        <is>
          <t>New</t>
        </is>
      </c>
      <c r="I963">
        <f>IF(H963&lt;&gt;"",H963,G963)</f>
        <v/>
      </c>
      <c r="J963" t="inlineStr">
        <is>
          <t>Step 5-f statutory filings</t>
        </is>
      </c>
      <c r="K963" t="n">
        <v>5</v>
      </c>
      <c r="L963" t="n">
        <v>1</v>
      </c>
      <c r="M963" s="5" t="inlineStr">
        <is>
          <t>As a payroll admin, I want PF ECR and ESI files made from the locked run so that I upload them to the portals.</t>
        </is>
      </c>
      <c r="N963" s="5" t="inlineStr">
        <is>
          <t>• Given a locked period, when files are made, then they read statutory values stored on the payslip, not current settings (YX-PAY-20).
• Given a period already generated, when regenerated before filing, then a reason is needed; after filing it is refused (YX-PAY-21).
• Given ELI-eligible employees, when the ECR is built, then it carries the scheme fields and expected vs received incentive is tracked (YX-PAY-55, YX-STAT-29).</t>
        </is>
      </c>
      <c r="O963" s="5" t="inlineStr">
        <is>
          <t>YX-PAY-20, YX-PAY-21, YX-PAY-55, YX-STAT-29</t>
        </is>
      </c>
      <c r="P963" t="inlineStr">
        <is>
          <t>M03 §6 flow 4</t>
        </is>
      </c>
      <c r="Q963" t="inlineStr">
        <is>
          <t>US-C-128, US-C-100, US-C-101</t>
        </is>
      </c>
      <c r="R963" s="5" t="inlineStr"/>
    </row>
    <row r="964">
      <c r="A964" t="inlineStr">
        <is>
          <t>US-C-130</t>
        </is>
      </c>
      <c r="B964" t="n">
        <v>754</v>
      </c>
      <c r="C964" t="inlineStr">
        <is>
          <t>Story</t>
        </is>
      </c>
      <c r="D964" s="5" t="inlineStr">
        <is>
          <t xml:space="preserve">        PT and LWF returns</t>
        </is>
      </c>
      <c r="E964" t="inlineStr">
        <is>
          <t>Step 5 · Payroll and statutory</t>
        </is>
      </c>
      <c r="F964" t="inlineStr">
        <is>
          <t>Statutory files, returns and registers</t>
        </is>
      </c>
      <c r="G964" t="inlineStr">
        <is>
          <t>New</t>
        </is>
      </c>
      <c r="I964">
        <f>IF(H964&lt;&gt;"",H964,G964)</f>
        <v/>
      </c>
      <c r="J964" t="inlineStr">
        <is>
          <t>Step 5-f statutory filings</t>
        </is>
      </c>
      <c r="K964" t="n">
        <v>3</v>
      </c>
      <c r="L964" t="n">
        <v>1</v>
      </c>
      <c r="M964" s="5" t="inlineStr">
        <is>
          <t>As a payroll admin, I want PT and LWF returns per state so that state filings are correct.</t>
        </is>
      </c>
      <c r="N964" s="5" t="inlineStr">
        <is>
          <t>• Given a period, when returns are made, then they are per entity and state and show the state used per employee (YX-PAY-54).
• Given values, when read, then they come from the payslip (YX-PAY-20).
• Given one deduction per period per employment, when the return is built, then no employee appears twice (YX-PAY-19).</t>
        </is>
      </c>
      <c r="O964" s="5" t="inlineStr">
        <is>
          <t>YX-PAY-54, YX-PAY-20, YX-PAY-19</t>
        </is>
      </c>
      <c r="P964" t="inlineStr">
        <is>
          <t>M03 §6 flow 4</t>
        </is>
      </c>
      <c r="Q964" t="inlineStr">
        <is>
          <t>US-C-128, US-C-102</t>
        </is>
      </c>
      <c r="R964" s="5" t="inlineStr"/>
    </row>
    <row r="965">
      <c r="A965" t="inlineStr">
        <is>
          <t>US-C-131</t>
        </is>
      </c>
      <c r="B965" t="n">
        <v>755</v>
      </c>
      <c r="C965" t="inlineStr">
        <is>
          <t>Story</t>
        </is>
      </c>
      <c r="D965" s="5" t="inlineStr">
        <is>
          <t xml:space="preserve">        TDS challan pre-filled with interest</t>
        </is>
      </c>
      <c r="E965" t="inlineStr">
        <is>
          <t>Step 5 · Payroll and statutory</t>
        </is>
      </c>
      <c r="F965" t="inlineStr">
        <is>
          <t>Statutory files, returns and registers</t>
        </is>
      </c>
      <c r="G965" t="inlineStr">
        <is>
          <t>New</t>
        </is>
      </c>
      <c r="I965">
        <f>IF(H965&lt;&gt;"",H965,G965)</f>
        <v/>
      </c>
      <c r="J965" t="inlineStr">
        <is>
          <t>Step 5-f statutory filings</t>
        </is>
      </c>
      <c r="K965" t="n">
        <v>3</v>
      </c>
      <c r="L965" t="n">
        <v>1</v>
      </c>
      <c r="M965" s="5" t="inlineStr">
        <is>
          <t>As a payroll admin, I want the TDS challan pre-filled from approved runs so that I deposit the right amount.</t>
        </is>
      </c>
      <c r="N965" s="5" t="inlineStr">
        <is>
          <t>• Given a deposit month, when the challan opens, then TDS per section and entity TAN come from approved runs (YX-TAX-14).
• Given late deduction or deposit, when computed, then interest and late fee come from P07 parameters (YX-TAX-14, YX-STAT-14).
• Given I edit the challan, when I save, then a reason is required and audited (YX-TAX-14).</t>
        </is>
      </c>
      <c r="O965" s="5" t="inlineStr">
        <is>
          <t>YX-TAX-14, YX-STAT-14</t>
        </is>
      </c>
      <c r="P965" t="inlineStr">
        <is>
          <t>M03 §6 flow 5</t>
        </is>
      </c>
      <c r="Q965" t="inlineStr">
        <is>
          <t>US-C-128, US-C-120</t>
        </is>
      </c>
      <c r="R965" s="5" t="inlineStr"/>
    </row>
    <row r="966">
      <c r="A966" t="inlineStr">
        <is>
          <t>US-C-132</t>
        </is>
      </c>
      <c r="B966" t="n">
        <v>756</v>
      </c>
      <c r="C966" t="inlineStr">
        <is>
          <t>Story</t>
        </is>
      </c>
      <c r="D966" s="5" t="inlineStr">
        <is>
          <t xml:space="preserve">        Quarterly TDS return (Form 138 / 24Q)</t>
        </is>
      </c>
      <c r="E966" t="inlineStr">
        <is>
          <t>Step 5 · Payroll and statutory</t>
        </is>
      </c>
      <c r="F966" t="inlineStr">
        <is>
          <t>Statutory files, returns and registers</t>
        </is>
      </c>
      <c r="G966" t="inlineStr">
        <is>
          <t>New</t>
        </is>
      </c>
      <c r="I966">
        <f>IF(H966&lt;&gt;"",H966,G966)</f>
        <v/>
      </c>
      <c r="J966" t="inlineStr">
        <is>
          <t>Step 5-f statutory filings</t>
        </is>
      </c>
      <c r="K966" t="n">
        <v>5</v>
      </c>
      <c r="L966" t="n">
        <v>1</v>
      </c>
      <c r="M966" s="5" t="inlineStr">
        <is>
          <t>As a payroll admin, I want the quarterly TDS return drafted and validated so that I file it on time.</t>
        </is>
      </c>
      <c r="N966" s="5" t="inlineStr">
        <is>
          <t>• Given the quarter, when the return is drafted, then it uses tax actually deducted and the challan window by deposit date (YX-TAX-07).
• Given an entity that started mid-year, when drafted, then prior-month rows come from imported YTD; missing months block with a Fix link (YX-TAX-15).
• Given deductor details, when filled, then they come from statutory registrations (YX-PAY-36).
• Given a filed return, when anyone tries to change it, then it is locked; corrections need a correction return (YX-TAX-08).</t>
        </is>
      </c>
      <c r="O966" s="5" t="inlineStr">
        <is>
          <t>YX-TAX-07, YX-TAX-15, YX-PAY-36, YX-TAX-08</t>
        </is>
      </c>
      <c r="P966" t="inlineStr">
        <is>
          <t>M03 §6 flow 5</t>
        </is>
      </c>
      <c r="Q966" t="inlineStr">
        <is>
          <t>US-C-131, US-C-126</t>
        </is>
      </c>
      <c r="R966" s="5" t="inlineStr"/>
    </row>
    <row r="967">
      <c r="A967" t="inlineStr">
        <is>
          <t>US-C-133</t>
        </is>
      </c>
      <c r="B967" t="n">
        <v>757</v>
      </c>
      <c r="C967" t="inlineStr">
        <is>
          <t>Story</t>
        </is>
      </c>
      <c r="D967" s="5" t="inlineStr">
        <is>
          <t xml:space="preserve">        Correction returns and revised certificates</t>
        </is>
      </c>
      <c r="E967" t="inlineStr">
        <is>
          <t>Step 5 · Payroll and statutory</t>
        </is>
      </c>
      <c r="F967" t="inlineStr">
        <is>
          <t>Statutory files, returns and registers</t>
        </is>
      </c>
      <c r="G967" t="inlineStr">
        <is>
          <t>New</t>
        </is>
      </c>
      <c r="I967">
        <f>IF(H967&lt;&gt;"",H967,G967)</f>
        <v/>
      </c>
      <c r="J967" t="inlineStr">
        <is>
          <t>Step 5-f statutory filings</t>
        </is>
      </c>
      <c r="K967" t="n">
        <v>3</v>
      </c>
      <c r="L967" t="n">
        <v>2</v>
      </c>
      <c r="M967" s="5" t="inlineStr">
        <is>
          <t>As a payroll admin, I want to file a correction return when we find a mistake so that employees get correct certificates.</t>
        </is>
      </c>
      <c r="N967" s="5" t="inlineStr">
        <is>
          <t>• Given a filed return, when I correct it, then a correction return linked to the original is created (YX-TAX-08).
• Given the correction is accepted, when the corrected Part A is available, then revised Form 130 / 131 are generated and published (YX-TAX-20).
• Given old periods, when corrected, then 24Q / Form 16 are used (YX-TAX-19).</t>
        </is>
      </c>
      <c r="O967" s="5" t="inlineStr">
        <is>
          <t>YX-TAX-08, YX-TAX-20, YX-TAX-19</t>
        </is>
      </c>
      <c r="P967" t="inlineStr">
        <is>
          <t>M03 §5</t>
        </is>
      </c>
      <c r="Q967" t="inlineStr">
        <is>
          <t>US-C-132</t>
        </is>
      </c>
      <c r="R967" s="5" t="inlineStr"/>
    </row>
    <row r="968">
      <c r="A968" t="inlineStr">
        <is>
          <t>US-C-134</t>
        </is>
      </c>
      <c r="B968" t="n">
        <v>758</v>
      </c>
      <c r="C968" t="inlineStr">
        <is>
          <t>Story</t>
        </is>
      </c>
      <c r="D968" s="5" t="inlineStr">
        <is>
          <t xml:space="preserve">        PF and ESI corrections after filing</t>
        </is>
      </c>
      <c r="E968" t="inlineStr">
        <is>
          <t>Step 5 · Payroll and statutory</t>
        </is>
      </c>
      <c r="F968" t="inlineStr">
        <is>
          <t>Statutory files, returns and registers</t>
        </is>
      </c>
      <c r="G968" t="inlineStr">
        <is>
          <t>New</t>
        </is>
      </c>
      <c r="I968">
        <f>IF(H968&lt;&gt;"",H968,G968)</f>
        <v/>
      </c>
      <c r="J968" t="inlineStr">
        <is>
          <t>Step 5-f statutory filings</t>
        </is>
      </c>
      <c r="K968" t="n">
        <v>3</v>
      </c>
      <c r="L968" t="n">
        <v>2</v>
      </c>
      <c r="M968" s="5" t="inlineStr">
        <is>
          <t>As a payroll admin, I want to correct a filed PF or ESI month the legal way so that the portal data is right.</t>
        </is>
      </c>
      <c r="N968" s="5" t="inlineStr">
        <is>
          <t>• Given a filed ECR month, when a correction is needed, then a supplementary / arrear ECR is produced, never a regenerated original (YX-PAY-51).
• Given a filed ESI month, when corrected, then a past-period contribution is produced (YX-PAY-51, YX-STAT-26).
• Given excess remittance, when found, then the P07 treatment (adjustment or refund) is shown (YX-STAT-26).</t>
        </is>
      </c>
      <c r="O968" s="5" t="inlineStr">
        <is>
          <t>YX-PAY-51, YX-STAT-26</t>
        </is>
      </c>
      <c r="P968" t="inlineStr">
        <is>
          <t>M03 §5</t>
        </is>
      </c>
      <c r="Q968" t="inlineStr">
        <is>
          <t>US-C-129</t>
        </is>
      </c>
      <c r="R968" s="5" t="inlineStr"/>
    </row>
    <row r="969">
      <c r="A969" t="inlineStr">
        <is>
          <t>US-C-135</t>
        </is>
      </c>
      <c r="B969" t="n">
        <v>759</v>
      </c>
      <c r="C969" t="inlineStr">
        <is>
          <t>Story</t>
        </is>
      </c>
      <c r="D969" s="5" t="inlineStr">
        <is>
          <t xml:space="preserve">        Always-on digital registers</t>
        </is>
      </c>
      <c r="E969" t="inlineStr">
        <is>
          <t>Step 5 · Payroll and statutory</t>
        </is>
      </c>
      <c r="F969" t="inlineStr">
        <is>
          <t>Statutory files, returns and registers</t>
        </is>
      </c>
      <c r="G969" t="inlineStr">
        <is>
          <t>New</t>
        </is>
      </c>
      <c r="I969">
        <f>IF(H969&lt;&gt;"",H969,G969)</f>
        <v/>
      </c>
      <c r="J969" t="inlineStr">
        <is>
          <t>Step 5-f statutory filings</t>
        </is>
      </c>
      <c r="K969" t="n">
        <v>5</v>
      </c>
      <c r="L969" t="n">
        <v>2</v>
      </c>
      <c r="M969" s="5" t="inlineStr">
        <is>
          <t>As a location admin, I want statutory registers made automatically each month so that I am ready for inspection.</t>
        </is>
      </c>
      <c r="N969" s="5" t="inlineStr">
        <is>
          <t>• Given a period locks, when registers are generated, then every register P07 requires for each location is made in the format valid on that date (YX-PAY-39, YX-STAT-16).
• Given registers, when generated, then they read payslip values and are frozen and DSC-signed (YX-PAY-20, YX-PAY-39).
• Given the compliance calendar, when the month ends, then a register sign-off item appears (YX-PAY-39).</t>
        </is>
      </c>
      <c r="O969" s="5" t="inlineStr">
        <is>
          <t>YX-PAY-39, YX-STAT-16, YX-PAY-20</t>
        </is>
      </c>
      <c r="P969" t="inlineStr">
        <is>
          <t>M03 §6 flow 9</t>
        </is>
      </c>
      <c r="Q969" t="inlineStr">
        <is>
          <t>US-C-128, US-C-077</t>
        </is>
      </c>
      <c r="R969" s="5" t="inlineStr"/>
    </row>
    <row r="970">
      <c r="A970" t="inlineStr">
        <is>
          <t>US-C-137</t>
        </is>
      </c>
      <c r="B970" t="n">
        <v>760</v>
      </c>
      <c r="C970" t="inlineStr">
        <is>
          <t>Story</t>
        </is>
      </c>
      <c r="D970" s="5" t="inlineStr">
        <is>
          <t xml:space="preserve">        Labour-law advisory feed</t>
        </is>
      </c>
      <c r="E970" t="inlineStr">
        <is>
          <t>Step 5 · Payroll and statutory</t>
        </is>
      </c>
      <c r="F970" t="inlineStr">
        <is>
          <t>Statutory files, returns and registers</t>
        </is>
      </c>
      <c r="G970" t="inlineStr">
        <is>
          <t>New</t>
        </is>
      </c>
      <c r="I970">
        <f>IF(H970&lt;&gt;"",H970,G970)</f>
        <v/>
      </c>
      <c r="J970" t="inlineStr">
        <is>
          <t>Step 5-f statutory filings</t>
        </is>
      </c>
      <c r="K970" t="n">
        <v>3</v>
      </c>
      <c r="L970" t="n">
        <v>3</v>
      </c>
      <c r="M970" s="5" t="inlineStr">
        <is>
          <t>As a compliance owner, I want short advisories about new labour laws in my states so that I can act early.</t>
        </is>
      </c>
      <c r="N970" s="5" t="inlineStr">
        <is>
          <t>• Given an advisory, when published, then it cites its source and passed maker ≠ checker review (YX-STAT-17).
• Given my entities' states, when an advisory is published, then only the compliance owner, HR and payroll admins of those tenants see it (YX-STAT-17).
• Given urgent advisories, when published, then they are notified at once; others go in a weekly digest (YX-STAT-17).</t>
        </is>
      </c>
      <c r="O970" s="5" t="inlineStr">
        <is>
          <t>YX-STAT-17</t>
        </is>
      </c>
      <c r="P970" t="inlineStr">
        <is>
          <t>P07 §4.3a</t>
        </is>
      </c>
      <c r="Q970" t="inlineStr">
        <is>
          <t>US-C-026</t>
        </is>
      </c>
      <c r="R970" s="5" t="inlineStr"/>
    </row>
    <row r="971">
      <c r="A971" t="inlineStr">
        <is>
          <t>US-C-136</t>
        </is>
      </c>
      <c r="B971" t="n">
        <v>763</v>
      </c>
      <c r="C971" t="inlineStr">
        <is>
          <t>Story</t>
        </is>
      </c>
      <c r="D971" s="5" t="inlineStr">
        <is>
          <t xml:space="preserve">        Past-dated rule change creates an arrears proposal</t>
        </is>
      </c>
      <c r="E971" t="inlineStr">
        <is>
          <t>Step 5 · Payroll and statutory</t>
        </is>
      </c>
      <c r="F971" t="inlineStr">
        <is>
          <t>Statutory files, returns and registers</t>
        </is>
      </c>
      <c r="G971" t="inlineStr">
        <is>
          <t>New</t>
        </is>
      </c>
      <c r="I971">
        <f>IF(H971&lt;&gt;"",H971,G971)</f>
        <v/>
      </c>
      <c r="J971" t="inlineStr">
        <is>
          <t>Step 5-f statutory filings</t>
        </is>
      </c>
      <c r="K971" t="n">
        <v>3</v>
      </c>
      <c r="L971" t="n">
        <v>2</v>
      </c>
      <c r="M971" s="5" t="inlineStr">
        <is>
          <t>As a payroll admin, I want to be told when a rule is changed backwards in time so that I can pay or recover the difference.</t>
        </is>
      </c>
      <c r="N971" s="5" t="inlineStr">
        <is>
          <t>• Given a past-dated publication, when it is published, then processed payrolls it affects are flagged per tenant (YX-STAT-07).
• Given flagged payrolls, when I open them, then an arrears / recovery proposal is shown; nothing is silently recalculated (YX-STAT-07).
• Given I accept the proposal, when the next run calculates, then the arrears lines appear (YX-PAY-33).</t>
        </is>
      </c>
      <c r="O971" s="5" t="inlineStr">
        <is>
          <t>YX-STAT-07, YX-PAY-33</t>
        </is>
      </c>
      <c r="P971" t="inlineStr">
        <is>
          <t>P07 §4.2</t>
        </is>
      </c>
      <c r="Q971" t="inlineStr">
        <is>
          <t>US-C-139</t>
        </is>
      </c>
      <c r="R971" s="5" t="inlineStr"/>
    </row>
    <row r="972">
      <c r="A972" s="9" t="inlineStr">
        <is>
          <t>FT-C-20</t>
        </is>
      </c>
      <c r="B972" s="9" t="n">
        <v>761</v>
      </c>
      <c r="C972" s="9" t="inlineStr">
        <is>
          <t>Feature</t>
        </is>
      </c>
      <c r="D972" s="10" t="inlineStr">
        <is>
          <t xml:space="preserve">    Off-cycle runs, arrears and full and final</t>
        </is>
      </c>
      <c r="E972" s="9" t="inlineStr">
        <is>
          <t>Step 5 · Payroll and statutory</t>
        </is>
      </c>
      <c r="F972" s="9" t="inlineStr">
        <is>
          <t>Off-cycle runs, arrears and full and final</t>
        </is>
      </c>
      <c r="G972" s="9" t="inlineStr">
        <is>
          <t>New</t>
        </is>
      </c>
      <c r="H972" s="9" t="n"/>
      <c r="I972" s="9">
        <f>IF(H972&lt;&gt;"",H972,G972)</f>
        <v/>
      </c>
      <c r="J972" s="9" t="inlineStr">
        <is>
          <t>Step 5-g off-cycle, arrears and F&amp;F</t>
        </is>
      </c>
      <c r="K972" s="9" t="n"/>
      <c r="L972" s="9" t="n"/>
      <c r="M972" s="10" t="inlineStr"/>
      <c r="N972" s="10" t="inlineStr"/>
      <c r="O972" s="10" t="inlineStr">
        <is>
          <t>YX-PAY-07, YX-PAY-04, YX-PAY-13, YX-PAY-52, YX-PAY-33, YX-PAY-48, YX-LV-04, YX-LV-12, YX-PAY-15, YX-PAY-49, YX-STAT-23, YX-PAY-27, YX-TAX-12, YX-DOC-19, YX-PAY-30, YX-DOC-12</t>
        </is>
      </c>
      <c r="P972" s="9" t="inlineStr">
        <is>
          <t>M03 §6 flow 7</t>
        </is>
      </c>
      <c r="Q972" s="9" t="inlineStr"/>
      <c r="R972" s="10" t="inlineStr"/>
      <c r="S972" s="9" t="n"/>
    </row>
    <row r="973">
      <c r="A973" t="inlineStr">
        <is>
          <t>US-C-138</t>
        </is>
      </c>
      <c r="B973" t="n">
        <v>761</v>
      </c>
      <c r="C973" t="inlineStr">
        <is>
          <t>Story</t>
        </is>
      </c>
      <c r="D973" s="5" t="inlineStr">
        <is>
          <t xml:space="preserve">        Off-cycle runs for bonus and corrections</t>
        </is>
      </c>
      <c r="E973" t="inlineStr">
        <is>
          <t>Step 5 · Payroll and statutory</t>
        </is>
      </c>
      <c r="F973" t="inlineStr">
        <is>
          <t>Off-cycle runs, arrears and full and final</t>
        </is>
      </c>
      <c r="G973" t="inlineStr">
        <is>
          <t>New</t>
        </is>
      </c>
      <c r="I973">
        <f>IF(H973&lt;&gt;"",H973,G973)</f>
        <v/>
      </c>
      <c r="J973" t="inlineStr">
        <is>
          <t>Step 5-g off-cycle, arrears and F&amp;F</t>
        </is>
      </c>
      <c r="K973" t="n">
        <v>3</v>
      </c>
      <c r="L973" t="n">
        <v>1</v>
      </c>
      <c r="M973" s="5" t="inlineStr">
        <is>
          <t>As a payroll admin, I want off-cycle runs for bonus or corrections so that I do not wait for the monthly run.</t>
        </is>
      </c>
      <c r="N973" s="5" t="inlineStr">
        <is>
          <t>• Given an off-cycle run, when created, then it uses the same engine and approval as the regular run (YX-PAY-07).
• Given an off-cycle run, when created, then it does not count as the regular payslip for the period (YX-PAY-04).
• Given it is approved, when paid, then it has its own bank file (YX-PAY-13).</t>
        </is>
      </c>
      <c r="O973" s="5" t="inlineStr">
        <is>
          <t>YX-PAY-07, YX-PAY-04, YX-PAY-13</t>
        </is>
      </c>
      <c r="P973" t="inlineStr">
        <is>
          <t>M03 §6 flow 7</t>
        </is>
      </c>
      <c r="Q973" t="inlineStr">
        <is>
          <t>US-C-113</t>
        </is>
      </c>
      <c r="R973" s="5" t="inlineStr"/>
    </row>
    <row r="974">
      <c r="A974" t="inlineStr">
        <is>
          <t>US-C-139</t>
        </is>
      </c>
      <c r="B974" t="n">
        <v>762</v>
      </c>
      <c r="C974" t="inlineStr">
        <is>
          <t>Story</t>
        </is>
      </c>
      <c r="D974" s="5" t="inlineStr">
        <is>
          <t xml:space="preserve">        Arrears engine for back-dated changes</t>
        </is>
      </c>
      <c r="E974" t="inlineStr">
        <is>
          <t>Step 5 · Payroll and statutory</t>
        </is>
      </c>
      <c r="F974" t="inlineStr">
        <is>
          <t>Off-cycle runs, arrears and full and final</t>
        </is>
      </c>
      <c r="G974" t="inlineStr">
        <is>
          <t>New</t>
        </is>
      </c>
      <c r="I974">
        <f>IF(H974&lt;&gt;"",H974,G974)</f>
        <v/>
      </c>
      <c r="J974" t="inlineStr">
        <is>
          <t>Step 5-g off-cycle, arrears and F&amp;F</t>
        </is>
      </c>
      <c r="K974" t="n">
        <v>5</v>
      </c>
      <c r="L974" t="n">
        <v>1</v>
      </c>
      <c r="M974" s="5" t="inlineStr">
        <is>
          <t>As a payroll admin, I want back-dated salary changes paid as arrears month by month so that PF and tax are right.</t>
        </is>
      </c>
      <c r="N974" s="5" t="inlineStr">
        <is>
          <t>• Given a back-dated revision, when arrears run, then each month's difference = corrected − as-paid (YX-PAY-52).
• Given months before go-live, when computed, then as-paid comes from the imported as-paid lines (YX-PAY-52).
• Given PF / ESI / PT on arrears, when computed, then the P07 basis rules apply and PF/ESI are attributed to the month they relate to where the rule says so (YX-PAY-33).</t>
        </is>
      </c>
      <c r="O974" s="5" t="inlineStr">
        <is>
          <t>YX-PAY-52, YX-PAY-33</t>
        </is>
      </c>
      <c r="P974" t="inlineStr">
        <is>
          <t>M03 §5</t>
        </is>
      </c>
      <c r="Q974" t="inlineStr">
        <is>
          <t>US-C-099</t>
        </is>
      </c>
      <c r="R974" s="5" t="inlineStr"/>
    </row>
    <row r="975">
      <c r="A975" t="inlineStr">
        <is>
          <t>US-C-140</t>
        </is>
      </c>
      <c r="B975" t="n">
        <v>764</v>
      </c>
      <c r="C975" t="inlineStr">
        <is>
          <t>Story</t>
        </is>
      </c>
      <c r="D975" s="5" t="inlineStr">
        <is>
          <t xml:space="preserve">        Full and final run within 2 working days</t>
        </is>
      </c>
      <c r="E975" t="inlineStr">
        <is>
          <t>Step 5 · Payroll and statutory</t>
        </is>
      </c>
      <c r="F975" t="inlineStr">
        <is>
          <t>Off-cycle runs, arrears and full and final</t>
        </is>
      </c>
      <c r="G975" t="inlineStr">
        <is>
          <t>New</t>
        </is>
      </c>
      <c r="I975">
        <f>IF(H975&lt;&gt;"",H975,G975)</f>
        <v/>
      </c>
      <c r="J975" t="inlineStr">
        <is>
          <t>Step 5-g off-cycle, arrears and F&amp;F</t>
        </is>
      </c>
      <c r="K975" t="n">
        <v>5</v>
      </c>
      <c r="L975" t="n">
        <v>1</v>
      </c>
      <c r="M975" s="5" t="inlineStr">
        <is>
          <t>As a payroll admin, I want the F&amp;F run created on the approved last working day so that we pay leavers within 2 working days.</t>
        </is>
      </c>
      <c r="N975" s="5" t="inlineStr">
        <is>
          <t>• Given an approved LWD for any exit type, when it comes, then the F&amp;F off-cycle run is created with a 2-working-day deadline from the entity's calendar (YX-PAY-48).
• Given a negative leave balance, when F&amp;F runs, then it is deducted at the encashment rate or converted to LWP per type (YX-LV-04).
• Given notice-period leave effects, when F&amp;F runs, then the shortfall days are included (YX-LV-12).
• Given gratuity eligibility, when F&amp;F runs, then gratuity is paid by the law (5 years; fixed-term pro-rata after 1 year) (YX-PAY-15).</t>
        </is>
      </c>
      <c r="O975" s="5" t="inlineStr">
        <is>
          <t>YX-PAY-48, YX-LV-04, YX-LV-12, YX-PAY-15</t>
        </is>
      </c>
      <c r="P975" t="inlineStr">
        <is>
          <t>M03 §6 flow 7</t>
        </is>
      </c>
      <c r="Q975" t="inlineStr">
        <is>
          <t>US-C-138</t>
        </is>
      </c>
      <c r="R975" s="5" t="inlineStr"/>
    </row>
    <row r="976">
      <c r="A976" t="inlineStr">
        <is>
          <t>US-C-141</t>
        </is>
      </c>
      <c r="B976" t="n">
        <v>765</v>
      </c>
      <c r="C976" t="inlineStr">
        <is>
          <t>Story</t>
        </is>
      </c>
      <c r="D976" s="5" t="inlineStr">
        <is>
          <t xml:space="preserve">        Retrenchment lines in F&amp;F</t>
        </is>
      </c>
      <c r="E976" t="inlineStr">
        <is>
          <t>Step 5 · Payroll and statutory</t>
        </is>
      </c>
      <c r="F976" t="inlineStr">
        <is>
          <t>Off-cycle runs, arrears and full and final</t>
        </is>
      </c>
      <c r="G976" t="inlineStr">
        <is>
          <t>New</t>
        </is>
      </c>
      <c r="I976">
        <f>IF(H976&lt;&gt;"",H976,G976)</f>
        <v/>
      </c>
      <c r="J976" t="inlineStr">
        <is>
          <t>Step 5-g off-cycle, arrears and F&amp;F</t>
        </is>
      </c>
      <c r="K976" t="n">
        <v>3</v>
      </c>
      <c r="L976" t="n">
        <v>2</v>
      </c>
      <c r="M976" s="5" t="inlineStr">
        <is>
          <t>As a payroll admin, I want retrenchment compensation added to F&amp;F automatically so that we follow the IR Code.</t>
        </is>
      </c>
      <c r="N976" s="5" t="inlineStr">
        <is>
          <t>• Given a retrenchment exit, when F&amp;F runs, then compensation = 15 days' average pay × completed years (YX-PAY-49, YX-STAT-23).
• Given notice was not given, when F&amp;F runs, then notice pay in lieu is added (YX-PAY-49).
• Given a retrenchment, when F&amp;F runs, then the Worker Re-skilling Fund line is added and a remittance calendar item is created (YX-PAY-49, YX-STAT-23).</t>
        </is>
      </c>
      <c r="O976" s="5" t="inlineStr">
        <is>
          <t>YX-PAY-49, YX-STAT-23</t>
        </is>
      </c>
      <c r="P976" t="inlineStr">
        <is>
          <t>M03 §5</t>
        </is>
      </c>
      <c r="Q976" t="inlineStr">
        <is>
          <t>US-C-140</t>
        </is>
      </c>
      <c r="R976" s="5" t="inlineStr"/>
    </row>
    <row r="977">
      <c r="A977" t="inlineStr">
        <is>
          <t>US-C-142</t>
        </is>
      </c>
      <c r="B977" t="n">
        <v>766</v>
      </c>
      <c r="C977" t="inlineStr">
        <is>
          <t>Story</t>
        </is>
      </c>
      <c r="D977" s="5" t="inlineStr">
        <is>
          <t xml:space="preserve">        F&amp;F on death in service</t>
        </is>
      </c>
      <c r="E977" t="inlineStr">
        <is>
          <t>Step 5 · Payroll and statutory</t>
        </is>
      </c>
      <c r="F977" t="inlineStr">
        <is>
          <t>Off-cycle runs, arrears and full and final</t>
        </is>
      </c>
      <c r="G977" t="inlineStr">
        <is>
          <t>New</t>
        </is>
      </c>
      <c r="I977">
        <f>IF(H977&lt;&gt;"",H977,G977)</f>
        <v/>
      </c>
      <c r="J977" t="inlineStr">
        <is>
          <t>Step 5-g off-cycle, arrears and F&amp;F</t>
        </is>
      </c>
      <c r="K977" t="n">
        <v>3</v>
      </c>
      <c r="L977" t="n">
        <v>2</v>
      </c>
      <c r="M977" s="5" t="inlineStr">
        <is>
          <t>As an HR admin, I want F&amp;F paid to nominees by their share so that the family gets money quickly and correctly.</t>
        </is>
      </c>
      <c r="N977" s="5" t="inlineStr">
        <is>
          <t>• Given nominations, when F&amp;F runs, then each nominee is paid their share % to a verified bank account (YX-PAY-27).
• Given no valid nomination, when HR verifies heirs' documents, then legal heirs are paid (YX-PAY-27).
• Given death, when gratuity is computed, then the 5-year condition is waived and heir TDS follows P07 (YX-TAX-12).
• Given nominees, when HR releases documents, then they get the nominee login (YX-DOC-19).</t>
        </is>
      </c>
      <c r="O977" s="5" t="inlineStr">
        <is>
          <t>YX-PAY-27, YX-TAX-12, YX-DOC-19</t>
        </is>
      </c>
      <c r="P977" t="inlineStr">
        <is>
          <t>M03 §5</t>
        </is>
      </c>
      <c r="Q977" t="inlineStr">
        <is>
          <t>US-C-140, US-C-087</t>
        </is>
      </c>
      <c r="R977" s="5" t="inlineStr"/>
    </row>
    <row r="978">
      <c r="A978" t="inlineStr">
        <is>
          <t>US-C-143</t>
        </is>
      </c>
      <c r="B978" t="n">
        <v>767</v>
      </c>
      <c r="C978" t="inlineStr">
        <is>
          <t>Story</t>
        </is>
      </c>
      <c r="D978" s="5" t="inlineStr">
        <is>
          <t xml:space="preserve">        Overpayment recovery plan</t>
        </is>
      </c>
      <c r="E978" t="inlineStr">
        <is>
          <t>Step 5 · Payroll and statutory</t>
        </is>
      </c>
      <c r="F978" t="inlineStr">
        <is>
          <t>Off-cycle runs, arrears and full and final</t>
        </is>
      </c>
      <c r="G978" t="inlineStr">
        <is>
          <t>New</t>
        </is>
      </c>
      <c r="I978">
        <f>IF(H978&lt;&gt;"",H978,G978)</f>
        <v/>
      </c>
      <c r="J978" t="inlineStr">
        <is>
          <t>Step 5-g off-cycle, arrears and F&amp;F</t>
        </is>
      </c>
      <c r="K978" t="n">
        <v>3</v>
      </c>
      <c r="L978" t="n">
        <v>2</v>
      </c>
      <c r="M978" s="5" t="inlineStr">
        <is>
          <t>As a payroll admin, I want to recover an overpayment in instalments with the employee's consent so that it is fair and legal.</t>
        </is>
      </c>
      <c r="N978" s="5" t="inlineStr">
        <is>
          <t>• Given an overpayment, when a plan is made, then the employee's consent is recorded as a P05 acknowledgement (YX-PAY-30, YX-DOC-12).
• Given a recovery across the FY, when reported, then it is in the correct year with 89(1) / Form 10E data (YX-PAY-30).
• Given a write-off, when done, then approval with a reason is needed and it is audited (YX-PAY-30).</t>
        </is>
      </c>
      <c r="O978" s="5" t="inlineStr">
        <is>
          <t>YX-PAY-30, YX-DOC-12</t>
        </is>
      </c>
      <c r="P978" t="inlineStr">
        <is>
          <t>M03 §5</t>
        </is>
      </c>
      <c r="Q978" t="inlineStr">
        <is>
          <t>US-C-107, US-C-030</t>
        </is>
      </c>
      <c r="R978" s="5" t="inlineStr"/>
    </row>
    <row r="979">
      <c r="A979" s="9" t="inlineStr">
        <is>
          <t>FT-C-21</t>
        </is>
      </c>
      <c r="B979" s="9" t="n">
        <v>768</v>
      </c>
      <c r="C979" s="9" t="inlineStr">
        <is>
          <t>Feature</t>
        </is>
      </c>
      <c r="D979" s="10" t="inlineStr">
        <is>
          <t xml:space="preserve">    Consultant payouts and non-salary TDS</t>
        </is>
      </c>
      <c r="E979" s="9" t="inlineStr">
        <is>
          <t>Step 5 · Payroll and statutory</t>
        </is>
      </c>
      <c r="F979" s="9" t="inlineStr">
        <is>
          <t>Consultant payouts and non-salary TDS</t>
        </is>
      </c>
      <c r="G979" s="9" t="inlineStr">
        <is>
          <t>New</t>
        </is>
      </c>
      <c r="H979" s="9" t="n"/>
      <c r="I979" s="9">
        <f>IF(H979&lt;&gt;"",H979,G979)</f>
        <v/>
      </c>
      <c r="J979" s="9" t="inlineStr">
        <is>
          <t>Step 5-h consultants</t>
        </is>
      </c>
      <c r="K979" s="9" t="n"/>
      <c r="L979" s="9" t="n"/>
      <c r="M979" s="10" t="inlineStr"/>
      <c r="N979" s="10" t="inlineStr"/>
      <c r="O979" s="10" t="inlineStr">
        <is>
          <t>YX-PAY-37, YX-PAY-38, YX-WF-05, YX-TAX-16, YX-STAT-15, YX-TAX-17</t>
        </is>
      </c>
      <c r="P979" s="9" t="inlineStr">
        <is>
          <t>M03 §6 flow 8</t>
        </is>
      </c>
      <c r="Q979" s="9" t="inlineStr"/>
      <c r="R979" s="10" t="inlineStr"/>
      <c r="S979" s="9" t="n"/>
    </row>
    <row r="980">
      <c r="A980" t="inlineStr">
        <is>
          <t>US-C-144</t>
        </is>
      </c>
      <c r="B980" t="n">
        <v>768</v>
      </c>
      <c r="C980" t="inlineStr">
        <is>
          <t>Story</t>
        </is>
      </c>
      <c r="D980" s="5" t="inlineStr">
        <is>
          <t xml:space="preserve">        Consultant register</t>
        </is>
      </c>
      <c r="E980" t="inlineStr">
        <is>
          <t>Step 5 · Payroll and statutory</t>
        </is>
      </c>
      <c r="F980" t="inlineStr">
        <is>
          <t>Consultant payouts and non-salary TDS</t>
        </is>
      </c>
      <c r="G980" t="inlineStr">
        <is>
          <t>New</t>
        </is>
      </c>
      <c r="I980">
        <f>IF(H980&lt;&gt;"",H980,G980)</f>
        <v/>
      </c>
      <c r="J980" t="inlineStr">
        <is>
          <t>Step 5-h consultants</t>
        </is>
      </c>
      <c r="K980" t="n">
        <v>3</v>
      </c>
      <c r="L980" t="n">
        <v>2</v>
      </c>
      <c r="M980" s="5" t="inlineStr">
        <is>
          <t>As an HR admin, I want to add consultants with PAN, bank and TDS section so that we pay them correctly.</t>
        </is>
      </c>
      <c r="N980" s="5" t="inlineStr">
        <is>
          <t>• Given a consultant, when paid, then PAN (or recorded absence), a verified bank account and a default TDS section must be recorded (YX-PAY-37).
• Given a GSTIN, when entered, then it is validated (YX-PAY-37).
• Given a consultant, when payroll runs, then they get no payslip, PF, ESI, PT or LWF (YX-PAY-37).</t>
        </is>
      </c>
      <c r="O980" s="5" t="inlineStr">
        <is>
          <t>YX-PAY-37</t>
        </is>
      </c>
      <c r="P980" t="inlineStr">
        <is>
          <t>M03 §7</t>
        </is>
      </c>
      <c r="Q980" t="inlineStr">
        <is>
          <t>US-C-028</t>
        </is>
      </c>
      <c r="R980" s="5" t="inlineStr"/>
    </row>
    <row r="981">
      <c r="A981" t="inlineStr">
        <is>
          <t>US-C-145</t>
        </is>
      </c>
      <c r="B981" t="n">
        <v>769</v>
      </c>
      <c r="C981" t="inlineStr">
        <is>
          <t>Story</t>
        </is>
      </c>
      <c r="D981" s="5" t="inlineStr">
        <is>
          <t xml:space="preserve">        Consultant invoices and approval</t>
        </is>
      </c>
      <c r="E981" t="inlineStr">
        <is>
          <t>Step 5 · Payroll and statutory</t>
        </is>
      </c>
      <c r="F981" t="inlineStr">
        <is>
          <t>Consultant payouts and non-salary TDS</t>
        </is>
      </c>
      <c r="G981" t="inlineStr">
        <is>
          <t>New</t>
        </is>
      </c>
      <c r="I981">
        <f>IF(H981&lt;&gt;"",H981,G981)</f>
        <v/>
      </c>
      <c r="J981" t="inlineStr">
        <is>
          <t>Step 5-h consultants</t>
        </is>
      </c>
      <c r="K981" t="n">
        <v>3</v>
      </c>
      <c r="L981" t="n">
        <v>2</v>
      </c>
      <c r="M981" s="5" t="inlineStr">
        <is>
          <t>As a consultant, I want to upload my monthly invoice so that I am paid without emails.</t>
        </is>
      </c>
      <c r="N981" s="5" t="inlineStr">
        <is>
          <t>• Given an invoice, when I upload it, then a duplicate number in the same FY is rejected (YX-PAY-38).
• Given an invoice, when submitted, then it is approved through P03 with maker ≠ checker (YX-PAY-38, YX-WF-05).
• Given approved invoices, when the bank file is made, then they are paid in it (YX-PAY-38).</t>
        </is>
      </c>
      <c r="O981" s="5" t="inlineStr">
        <is>
          <t>YX-PAY-38, YX-WF-05</t>
        </is>
      </c>
      <c r="P981" t="inlineStr">
        <is>
          <t>M03 §6 flow 8</t>
        </is>
      </c>
      <c r="Q981" t="inlineStr">
        <is>
          <t>US-C-144, US-C-113</t>
        </is>
      </c>
      <c r="R981" s="5" t="inlineStr"/>
    </row>
    <row r="982">
      <c r="A982" t="inlineStr">
        <is>
          <t>US-C-146</t>
        </is>
      </c>
      <c r="B982" t="n">
        <v>770</v>
      </c>
      <c r="C982" t="inlineStr">
        <is>
          <t>Story</t>
        </is>
      </c>
      <c r="D982" s="5" t="inlineStr">
        <is>
          <t xml:space="preserve">        TDS on consultant invoices</t>
        </is>
      </c>
      <c r="E982" t="inlineStr">
        <is>
          <t>Step 5 · Payroll and statutory</t>
        </is>
      </c>
      <c r="F982" t="inlineStr">
        <is>
          <t>Consultant payouts and non-salary TDS</t>
        </is>
      </c>
      <c r="G982" t="inlineStr">
        <is>
          <t>New</t>
        </is>
      </c>
      <c r="I982">
        <f>IF(H982&lt;&gt;"",H982,G982)</f>
        <v/>
      </c>
      <c r="J982" t="inlineStr">
        <is>
          <t>Step 5-h consultants</t>
        </is>
      </c>
      <c r="K982" t="n">
        <v>3</v>
      </c>
      <c r="L982" t="n">
        <v>2</v>
      </c>
      <c r="M982" s="5" t="inlineStr">
        <is>
          <t>As a payroll admin, I want TDS on each invoice by section and threshold so that we deduct the right amount.</t>
        </is>
      </c>
      <c r="N982" s="5" t="inlineStr">
        <is>
          <t>• Given an invoice, when TDS is computed, then the section (194C, 194J(a), 194J(b)), rate by deductee type and thresholds come from P07 (YX-TAX-16, YX-STAT-15).
• Given a s.197 certificate, when valid and within limit, then its rate applies (YX-STAT-15).
• Given no PAN, when computed, then the 206AA rate applies (YX-TAX-16).</t>
        </is>
      </c>
      <c r="O982" s="5" t="inlineStr">
        <is>
          <t>YX-TAX-16, YX-STAT-15</t>
        </is>
      </c>
      <c r="P982" t="inlineStr">
        <is>
          <t>M03 §5</t>
        </is>
      </c>
      <c r="Q982" t="inlineStr">
        <is>
          <t>US-C-145</t>
        </is>
      </c>
      <c r="R982" s="5" t="inlineStr"/>
    </row>
    <row r="983">
      <c r="A983" t="inlineStr">
        <is>
          <t>US-C-147</t>
        </is>
      </c>
      <c r="B983" t="n">
        <v>771</v>
      </c>
      <c r="C983" t="inlineStr">
        <is>
          <t>Story</t>
        </is>
      </c>
      <c r="D983" s="5" t="inlineStr">
        <is>
          <t xml:space="preserve">        Form 140 and Form 131 for consultants</t>
        </is>
      </c>
      <c r="E983" t="inlineStr">
        <is>
          <t>Step 5 · Payroll and statutory</t>
        </is>
      </c>
      <c r="F983" t="inlineStr">
        <is>
          <t>Consultant payouts and non-salary TDS</t>
        </is>
      </c>
      <c r="G983" t="inlineStr">
        <is>
          <t>New</t>
        </is>
      </c>
      <c r="I983">
        <f>IF(H983&lt;&gt;"",H983,G983)</f>
        <v/>
      </c>
      <c r="J983" t="inlineStr">
        <is>
          <t>Step 5-h consultants</t>
        </is>
      </c>
      <c r="K983" t="n">
        <v>3</v>
      </c>
      <c r="L983" t="n">
        <v>2</v>
      </c>
      <c r="M983" s="5" t="inlineStr">
        <is>
          <t>As a payroll admin, I want the consultant TDS return and certificates made for me so that I file on time.</t>
        </is>
      </c>
      <c r="N983" s="5" t="inlineStr">
        <is>
          <t>• Given consultant TDS, when deposited, then it uses the same challan per section as salary TDS (YX-TAX-17).
• Given the quarter, when Form 140 is drafted, then it comes from paid invoices and is reconciled deposit vs deduction (YX-TAX-17).
• Given filing is done, when Part A is available, then Form 131 is generated for each consultant (YX-TAX-17).</t>
        </is>
      </c>
      <c r="O983" s="5" t="inlineStr">
        <is>
          <t>YX-TAX-17</t>
        </is>
      </c>
      <c r="P983" t="inlineStr">
        <is>
          <t>M03 §6 flow 8</t>
        </is>
      </c>
      <c r="Q983" t="inlineStr">
        <is>
          <t>US-C-146, US-C-131</t>
        </is>
      </c>
      <c r="R983" s="5" t="inlineStr"/>
    </row>
    <row r="984">
      <c r="A984" s="9" t="inlineStr">
        <is>
          <t>FT-C-22</t>
        </is>
      </c>
      <c r="B984" s="9" t="n">
        <v>772</v>
      </c>
      <c r="C984" s="9" t="inlineStr">
        <is>
          <t>Feature</t>
        </is>
      </c>
      <c r="D984" s="10" t="inlineStr">
        <is>
          <t xml:space="preserve">    Special pay types and country packs</t>
        </is>
      </c>
      <c r="E984" s="9" t="inlineStr">
        <is>
          <t>Step 5 · Payroll and statutory</t>
        </is>
      </c>
      <c r="F984" s="9" t="inlineStr">
        <is>
          <t>Special pay types and country packs</t>
        </is>
      </c>
      <c r="G984" s="9" t="inlineStr">
        <is>
          <t>New</t>
        </is>
      </c>
      <c r="H984" s="9" t="n"/>
      <c r="I984" s="9">
        <f>IF(H984&lt;&gt;"",H984,G984)</f>
        <v/>
      </c>
      <c r="J984" s="9" t="inlineStr">
        <is>
          <t>Step 5-i special pay (later waves)</t>
        </is>
      </c>
      <c r="K984" s="9" t="n"/>
      <c r="L984" s="9" t="n"/>
      <c r="M984" s="10" t="inlineStr"/>
      <c r="N984" s="10" t="inlineStr"/>
      <c r="O984" s="10" t="inlineStr">
        <is>
          <t>YX-PAY-40, YX-PAY-41, YX-PAY-58, YX-PAY-59, YX-STAT-31, YX-PAY-60, YX-PAY-61, YX-PAY-62, YX-AT-28, YX-PAY-63, YX-STAT-32, YX-AT-27, YX-PAY-57, YX-PAY-46, YX-TAX-18, YX-STAT-18, YX-PAY-43, YX-STAT-19, YX-PAY-44, YX-PAY-45</t>
        </is>
      </c>
      <c r="P984" s="9" t="inlineStr">
        <is>
          <t>M03 §5 extensions</t>
        </is>
      </c>
      <c r="Q984" s="9" t="inlineStr"/>
      <c r="R984" s="10" t="inlineStr"/>
      <c r="S984" s="9" t="n"/>
    </row>
    <row r="985">
      <c r="A985" t="inlineStr">
        <is>
          <t>US-C-148</t>
        </is>
      </c>
      <c r="B985" t="n">
        <v>772</v>
      </c>
      <c r="C985" t="inlineStr">
        <is>
          <t>Story</t>
        </is>
      </c>
      <c r="D985" s="5" t="inlineStr">
        <is>
          <t xml:space="preserve">        Earned wage access draw</t>
        </is>
      </c>
      <c r="E985" t="inlineStr">
        <is>
          <t>Step 5 · Payroll and statutory</t>
        </is>
      </c>
      <c r="F985" t="inlineStr">
        <is>
          <t>Special pay types and country packs</t>
        </is>
      </c>
      <c r="G985" t="inlineStr">
        <is>
          <t>New</t>
        </is>
      </c>
      <c r="I985">
        <f>IF(H985&lt;&gt;"",H985,G985)</f>
        <v/>
      </c>
      <c r="J985" t="inlineStr">
        <is>
          <t>Step 5-i special pay (later waves)</t>
        </is>
      </c>
      <c r="K985" t="n">
        <v>5</v>
      </c>
      <c r="L985" t="n">
        <v>3</v>
      </c>
      <c r="M985" s="5" t="inlineStr">
        <is>
          <t>As an employee, I want to get part of my earned pay early so that I handle an emergency.</t>
        </is>
      </c>
      <c r="N985" s="5" t="inlineStr">
        <is>
          <t>• Given EWA is on for my group and I am eligible, when I open Get paid early, then I see the available amount = policy % × earned-to-date, fee and recovery date (YX-PAY-40).
• Given blackout days, when I try to draw, then it is refused (YX-PAY-40).
• Given a draw, when the next regular payroll runs, then it is recovered in full within the deduction cap (YX-PAY-41).</t>
        </is>
      </c>
      <c r="O985" s="5" t="inlineStr">
        <is>
          <t>YX-PAY-40, YX-PAY-41</t>
        </is>
      </c>
      <c r="P985" t="inlineStr">
        <is>
          <t>M03 §6 flow 10</t>
        </is>
      </c>
      <c r="Q985" t="inlineStr">
        <is>
          <t>US-C-107</t>
        </is>
      </c>
      <c r="R985" s="5" t="inlineStr"/>
    </row>
    <row r="986">
      <c r="A986" t="inlineStr">
        <is>
          <t>US-C-149</t>
        </is>
      </c>
      <c r="B986" t="n">
        <v>773</v>
      </c>
      <c r="C986" t="inlineStr">
        <is>
          <t>Story</t>
        </is>
      </c>
      <c r="D986" s="5" t="inlineStr">
        <is>
          <t xml:space="preserve">        Weekly and fortnightly pay groups</t>
        </is>
      </c>
      <c r="E986" t="inlineStr">
        <is>
          <t>Step 5 · Payroll and statutory</t>
        </is>
      </c>
      <c r="F986" t="inlineStr">
        <is>
          <t>Special pay types and country packs</t>
        </is>
      </c>
      <c r="G986" t="inlineStr">
        <is>
          <t>New</t>
        </is>
      </c>
      <c r="I986">
        <f>IF(H986&lt;&gt;"",H986,G986)</f>
        <v/>
      </c>
      <c r="J986" t="inlineStr">
        <is>
          <t>Step 5-i special pay (later waves)</t>
        </is>
      </c>
      <c r="K986" t="n">
        <v>5</v>
      </c>
      <c r="L986" t="n">
        <v>3</v>
      </c>
      <c r="M986" s="5" t="inlineStr">
        <is>
          <t>As a payroll admin, I want weekly or fortnightly runs for some groups so that daily-wage workers are paid often.</t>
        </is>
      </c>
      <c r="N986" s="5" t="inlineStr">
        <is>
          <t>• Given a weekly pay group, when the period comes, then it gets its own run, readiness, payslip and bank file (YX-PAY-58).
• Given PF / ESI, when computed per run, then they are aggregated into the monthly return (YX-PAY-58).
• Given TDS, when computed, then it is projected on annualised run pay (YX-PAY-58).</t>
        </is>
      </c>
      <c r="O986" s="5" t="inlineStr">
        <is>
          <t>YX-PAY-58</t>
        </is>
      </c>
      <c r="P986" t="inlineStr">
        <is>
          <t>M03 §5</t>
        </is>
      </c>
      <c r="Q986" t="inlineStr">
        <is>
          <t>US-C-104</t>
        </is>
      </c>
      <c r="R986" s="5" t="inlineStr"/>
    </row>
    <row r="987">
      <c r="A987" t="inlineStr">
        <is>
          <t>US-C-150</t>
        </is>
      </c>
      <c r="B987" t="n">
        <v>774</v>
      </c>
      <c r="C987" t="inlineStr">
        <is>
          <t>Story</t>
        </is>
      </c>
      <c r="D987" s="5" t="inlineStr">
        <is>
          <t xml:space="preserve">        Piece-rate pay with minimum-wage top-up</t>
        </is>
      </c>
      <c r="E987" t="inlineStr">
        <is>
          <t>Step 5 · Payroll and statutory</t>
        </is>
      </c>
      <c r="F987" t="inlineStr">
        <is>
          <t>Special pay types and country packs</t>
        </is>
      </c>
      <c r="G987" t="inlineStr">
        <is>
          <t>New</t>
        </is>
      </c>
      <c r="I987">
        <f>IF(H987&lt;&gt;"",H987,G987)</f>
        <v/>
      </c>
      <c r="J987" t="inlineStr">
        <is>
          <t>Step 5-i special pay (later waves)</t>
        </is>
      </c>
      <c r="K987" t="n">
        <v>5</v>
      </c>
      <c r="L987" t="n">
        <v>3</v>
      </c>
      <c r="M987" s="5" t="inlineStr">
        <is>
          <t>As a payroll admin, I want piece-rate workers paid by output with a minimum-wage guarantee so that pay is legal.</t>
        </is>
      </c>
      <c r="N987" s="5" t="inlineStr">
        <is>
          <t>• Given output and the rate card, when calculated, then earnings = Σ(output × rate valid on the output date) (YX-PAY-59).
• Given earnings below the time-rate minimum for days worked, when calculated, then a named top-up line is added (YX-PAY-59, YX-STAT-31).
• Given OT for piece-rated workers, when calculated, then the P07 basis is used (YX-STAT-31).</t>
        </is>
      </c>
      <c r="O987" s="5" t="inlineStr">
        <is>
          <t>YX-PAY-59, YX-STAT-31</t>
        </is>
      </c>
      <c r="P987" t="inlineStr">
        <is>
          <t>M03 §5</t>
        </is>
      </c>
      <c r="Q987" t="inlineStr">
        <is>
          <t>US-C-099</t>
        </is>
      </c>
      <c r="R987" s="5" t="inlineStr"/>
    </row>
    <row r="988">
      <c r="A988" t="inlineStr">
        <is>
          <t>US-C-151</t>
        </is>
      </c>
      <c r="B988" t="n">
        <v>775</v>
      </c>
      <c r="C988" t="inlineStr">
        <is>
          <t>Story</t>
        </is>
      </c>
      <c r="D988" s="5" t="inlineStr">
        <is>
          <t xml:space="preserve">        Incentive and commission plans</t>
        </is>
      </c>
      <c r="E988" t="inlineStr">
        <is>
          <t>Step 5 · Payroll and statutory</t>
        </is>
      </c>
      <c r="F988" t="inlineStr">
        <is>
          <t>Special pay types and country packs</t>
        </is>
      </c>
      <c r="G988" t="inlineStr">
        <is>
          <t>New</t>
        </is>
      </c>
      <c r="I988">
        <f>IF(H988&lt;&gt;"",H988,G988)</f>
        <v/>
      </c>
      <c r="J988" t="inlineStr">
        <is>
          <t>Step 5-i special pay (later waves)</t>
        </is>
      </c>
      <c r="K988" t="n">
        <v>5</v>
      </c>
      <c r="L988" t="n">
        <v>3</v>
      </c>
      <c r="M988" s="5" t="inlineStr">
        <is>
          <t>As a sales manager, I want incentive plans with tiers and caps so that my team is paid for results.</t>
        </is>
      </c>
      <c r="N988" s="5" t="inlineStr">
        <is>
          <t>• Given a plan from a starter template, when set up, then metric source, quota, tiers, accelerators, cap and clawback window are defined (YX-PAY-60).
• Given results, when approved via P03, then they enter the run as one-time pay (YX-PAY-60).
• Given a clawback, when triggered, then it is recovered through payroll recoveries (YX-PAY-60).</t>
        </is>
      </c>
      <c r="O988" s="5" t="inlineStr">
        <is>
          <t>YX-PAY-60</t>
        </is>
      </c>
      <c r="P988" t="inlineStr">
        <is>
          <t>M03 §5</t>
        </is>
      </c>
      <c r="Q988" t="inlineStr">
        <is>
          <t>US-C-099, US-C-003</t>
        </is>
      </c>
      <c r="R988" s="5" t="inlineStr"/>
    </row>
    <row r="989">
      <c r="A989" t="inlineStr">
        <is>
          <t>US-C-152</t>
        </is>
      </c>
      <c r="B989" t="n">
        <v>776</v>
      </c>
      <c r="C989" t="inlineStr">
        <is>
          <t>Story</t>
        </is>
      </c>
      <c r="D989" s="5" t="inlineStr">
        <is>
          <t xml:space="preserve">        Tips and service-charge pooling</t>
        </is>
      </c>
      <c r="E989" t="inlineStr">
        <is>
          <t>Step 5 · Payroll and statutory</t>
        </is>
      </c>
      <c r="F989" t="inlineStr">
        <is>
          <t>Special pay types and country packs</t>
        </is>
      </c>
      <c r="G989" t="inlineStr">
        <is>
          <t>New</t>
        </is>
      </c>
      <c r="I989">
        <f>IF(H989&lt;&gt;"",H989,G989)</f>
        <v/>
      </c>
      <c r="J989" t="inlineStr">
        <is>
          <t>Step 5-i special pay (later waves)</t>
        </is>
      </c>
      <c r="K989" t="n">
        <v>3</v>
      </c>
      <c r="L989" t="n">
        <v>3</v>
      </c>
      <c r="M989" s="5" t="inlineStr">
        <is>
          <t>As an outlet manager, I want tips pooled and shared fairly so that staff get their share through payroll.</t>
        </is>
      </c>
      <c r="N989" s="5" t="inlineStr">
        <is>
          <t>• Given a pool per outlet per period, when distributed, then it is by points, per shift or by hours from attendance (YX-PAY-61).
• Given amounts paid through payroll, when calculated, then they are a named line with PF / ESI / TDS from P07 (YX-PAY-61, YX-STAT-31).
• Given tips paid directly by customers, when recorded, then they appear on statements only (YX-PAY-61).</t>
        </is>
      </c>
      <c r="O989" s="5" t="inlineStr">
        <is>
          <t>YX-PAY-61, YX-STAT-31</t>
        </is>
      </c>
      <c r="P989" t="inlineStr">
        <is>
          <t>M03 §5</t>
        </is>
      </c>
      <c r="Q989" t="inlineStr">
        <is>
          <t>US-C-099</t>
        </is>
      </c>
      <c r="R989" s="5" t="inlineStr"/>
    </row>
    <row r="990">
      <c r="A990" t="inlineStr">
        <is>
          <t>US-C-153</t>
        </is>
      </c>
      <c r="B990" t="n">
        <v>777</v>
      </c>
      <c r="C990" t="inlineStr">
        <is>
          <t>Story</t>
        </is>
      </c>
      <c r="D990" s="5" t="inlineStr">
        <is>
          <t xml:space="preserve">        On-call, standby and call-out pay</t>
        </is>
      </c>
      <c r="E990" t="inlineStr">
        <is>
          <t>Step 5 · Payroll and statutory</t>
        </is>
      </c>
      <c r="F990" t="inlineStr">
        <is>
          <t>Special pay types and country packs</t>
        </is>
      </c>
      <c r="G990" t="inlineStr">
        <is>
          <t>New</t>
        </is>
      </c>
      <c r="I990">
        <f>IF(H990&lt;&gt;"",H990,G990)</f>
        <v/>
      </c>
      <c r="J990" t="inlineStr">
        <is>
          <t>Step 5-i special pay (later waves)</t>
        </is>
      </c>
      <c r="K990" t="n">
        <v>3</v>
      </c>
      <c r="L990" t="n">
        <v>3</v>
      </c>
      <c r="M990" s="5" t="inlineStr">
        <is>
          <t>As a payroll admin, I want standby and call-out paid from roster data so that on-call staff are paid fairly.</t>
        </is>
      </c>
      <c r="N990" s="5" t="inlineStr">
        <is>
          <t>• Given standby slots, when the run calculates, then a standby allowance per slot is paid (YX-PAY-62, YX-AT-28).
• Given a call-out, when calculated, then pay = max(actual hours, call-out minimum) × rate × multiplier (YX-PAY-62).
• Given minimum wage and OT floors, when checked, then P07 values apply (YX-PAY-62).</t>
        </is>
      </c>
      <c r="O990" s="5" t="inlineStr">
        <is>
          <t>YX-PAY-62, YX-AT-28</t>
        </is>
      </c>
      <c r="P990" t="inlineStr">
        <is>
          <t>M03 §5</t>
        </is>
      </c>
      <c r="Q990" t="inlineStr">
        <is>
          <t>US-C-099, US-C-074</t>
        </is>
      </c>
      <c r="R990" s="5" t="inlineStr"/>
    </row>
    <row r="991">
      <c r="A991" t="inlineStr">
        <is>
          <t>US-C-154</t>
        </is>
      </c>
      <c r="B991" t="n">
        <v>778</v>
      </c>
      <c r="C991" t="inlineStr">
        <is>
          <t>Story</t>
        </is>
      </c>
      <c r="D991" s="5" t="inlineStr">
        <is>
          <t xml:space="preserve">        Union dues, settlements and lay-off pay</t>
        </is>
      </c>
      <c r="E991" t="inlineStr">
        <is>
          <t>Step 5 · Payroll and statutory</t>
        </is>
      </c>
      <c r="F991" t="inlineStr">
        <is>
          <t>Special pay types and country packs</t>
        </is>
      </c>
      <c r="G991" t="inlineStr">
        <is>
          <t>New</t>
        </is>
      </c>
      <c r="I991">
        <f>IF(H991&lt;&gt;"",H991,G991)</f>
        <v/>
      </c>
      <c r="J991" t="inlineStr">
        <is>
          <t>Step 5-i special pay (later waves)</t>
        </is>
      </c>
      <c r="K991" t="n">
        <v>5</v>
      </c>
      <c r="L991" t="n">
        <v>3</v>
      </c>
      <c r="M991" s="5" t="inlineStr">
        <is>
          <t>As a payroll admin, I want union dues, wage settlements and lay-off pay handled by the IR rules so that we follow the law.</t>
        </is>
      </c>
      <c r="N991" s="5" t="inlineStr">
        <is>
          <t>• Given check-off dues, when deducted, then a recorded authorisation is required, within the cap, remitted per union with a statement (YX-PAY-63, YX-STAT-32).
• Given a wage settlement by category and date, when applied, then the arrears engine computes the differences (YX-PAY-63).
• Given lay-off days, when calculated, then lay-off compensation per P07 is paid; strike / lockout days follow legality and policy (YX-AT-27, YX-STAT-32).</t>
        </is>
      </c>
      <c r="O991" s="5" t="inlineStr">
        <is>
          <t>YX-PAY-63, YX-STAT-32, YX-AT-27</t>
        </is>
      </c>
      <c r="P991" t="inlineStr">
        <is>
          <t>M03 §5</t>
        </is>
      </c>
      <c r="Q991" t="inlineStr">
        <is>
          <t>US-C-139, US-C-073</t>
        </is>
      </c>
      <c r="R991" s="5" t="inlineStr"/>
    </row>
    <row r="992">
      <c r="A992" t="inlineStr">
        <is>
          <t>US-C-155</t>
        </is>
      </c>
      <c r="B992" t="n">
        <v>779</v>
      </c>
      <c r="C992" t="inlineStr">
        <is>
          <t>Story</t>
        </is>
      </c>
      <c r="D992" s="5" t="inlineStr">
        <is>
          <t xml:space="preserve">        Actuarial census for gratuity and leave</t>
        </is>
      </c>
      <c r="E992" t="inlineStr">
        <is>
          <t>Step 5 · Payroll and statutory</t>
        </is>
      </c>
      <c r="F992" t="inlineStr">
        <is>
          <t>Special pay types and country packs</t>
        </is>
      </c>
      <c r="G992" t="inlineStr">
        <is>
          <t>New</t>
        </is>
      </c>
      <c r="I992">
        <f>IF(H992&lt;&gt;"",H992,G992)</f>
        <v/>
      </c>
      <c r="J992" t="inlineStr">
        <is>
          <t>Step 5-i special pay (later waves)</t>
        </is>
      </c>
      <c r="K992" t="n">
        <v>3</v>
      </c>
      <c r="L992" t="n">
        <v>3</v>
      </c>
      <c r="M992" s="5" t="inlineStr">
        <is>
          <t>As a finance user, I want an actuarial census file per entity so that the actuary can value our liabilities.</t>
        </is>
      </c>
      <c r="N992" s="5" t="inlineStr">
        <is>
          <t>• Given a valuation date, when I generate the census, then it has the standard fields (dates, service, Code wage, leave balances, exits with payouts) (YX-PAY-57).
• Given an actuary's layout, when chosen, then the extra columns are added (YX-PAY-57).
• Given the actuary's result, when uploaded, then the provision is recorded for journals (YX-PAY-57).</t>
        </is>
      </c>
      <c r="O992" s="5" t="inlineStr">
        <is>
          <t>YX-PAY-57</t>
        </is>
      </c>
      <c r="P992" t="inlineStr">
        <is>
          <t>M03 §5</t>
        </is>
      </c>
      <c r="Q992" t="inlineStr">
        <is>
          <t>US-C-110</t>
        </is>
      </c>
      <c r="R992" s="5" t="inlineStr"/>
    </row>
    <row r="993">
      <c r="A993" t="inlineStr">
        <is>
          <t>US-C-156</t>
        </is>
      </c>
      <c r="B993" t="n">
        <v>780</v>
      </c>
      <c r="C993" t="inlineStr">
        <is>
          <t>Story</t>
        </is>
      </c>
      <c r="D993" s="5" t="inlineStr">
        <is>
          <t xml:space="preserve">        ESOP grants, vesting and exercise</t>
        </is>
      </c>
      <c r="E993" t="inlineStr">
        <is>
          <t>Step 5 · Payroll and statutory</t>
        </is>
      </c>
      <c r="F993" t="inlineStr">
        <is>
          <t>Special pay types and country packs</t>
        </is>
      </c>
      <c r="G993" t="inlineStr">
        <is>
          <t>New</t>
        </is>
      </c>
      <c r="I993">
        <f>IF(H993&lt;&gt;"",H993,G993)</f>
        <v/>
      </c>
      <c r="J993" t="inlineStr">
        <is>
          <t>Step 5-i special pay (later waves)</t>
        </is>
      </c>
      <c r="K993" t="n">
        <v>8</v>
      </c>
      <c r="L993" t="n">
        <v>3</v>
      </c>
      <c r="M993" s="5" t="inlineStr">
        <is>
          <t>As an employee with stock options, I want to see my grants and exercise vested units so that I benefit from them.</t>
        </is>
      </c>
      <c r="N993" s="5" t="inlineStr">
        <is>
          <t>• Given a plan pool, when a grant exceeds the unallocated pool, then it is blocked (YX-PAY-46).
• Given vesting, when dates or confirmed milestones pass, then units vest; only vested units in the window can be exercised (YX-PAY-46).
• Given an exercise, when taxed, then perquisite = (FMV − price) × units with FMV per P07 (YX-TAX-18, YX-STAT-18).
• Given an exit, when processed, then unvested units lapse and vested follow leaver rules (YX-PAY-46).</t>
        </is>
      </c>
      <c r="O993" s="5" t="inlineStr">
        <is>
          <t>YX-PAY-46, YX-TAX-18, YX-STAT-18</t>
        </is>
      </c>
      <c r="P993" t="inlineStr">
        <is>
          <t>M03 §6 flow 12</t>
        </is>
      </c>
      <c r="Q993" t="inlineStr">
        <is>
          <t>US-C-120</t>
        </is>
      </c>
      <c r="R993" s="5" t="inlineStr"/>
    </row>
    <row r="994">
      <c r="A994" t="inlineStr">
        <is>
          <t>US-C-157</t>
        </is>
      </c>
      <c r="B994" t="n">
        <v>781</v>
      </c>
      <c r="C994" t="inlineStr">
        <is>
          <t>Story</t>
        </is>
      </c>
      <c r="D994" s="5" t="inlineStr">
        <is>
          <t xml:space="preserve">        Country packs for legal entities</t>
        </is>
      </c>
      <c r="E994" t="inlineStr">
        <is>
          <t>Step 5 · Payroll and statutory</t>
        </is>
      </c>
      <c r="F994" t="inlineStr">
        <is>
          <t>Special pay types and country packs</t>
        </is>
      </c>
      <c r="G994" t="inlineStr">
        <is>
          <t>New</t>
        </is>
      </c>
      <c r="I994">
        <f>IF(H994&lt;&gt;"",H994,G994)</f>
        <v/>
      </c>
      <c r="J994" t="inlineStr">
        <is>
          <t>Step 5-i special pay (later waves)</t>
        </is>
      </c>
      <c r="K994" t="n">
        <v>5</v>
      </c>
      <c r="L994" t="n">
        <v>3</v>
      </c>
      <c r="M994" s="5" t="inlineStr">
        <is>
          <t>As a payroll admin, I want each entity to use its country's pack so that we can pay staff outside India.</t>
        </is>
      </c>
      <c r="N994" s="5" t="inlineStr">
        <is>
          <t>• Given an entity's country, when pay groups, components, tax and files are set, then they come only from that country's P07 pack valid on the period date (YX-PAY-43).
• Given a new pack, when added, then it is pack data, calculators and golden cases only, flagged 'verify' until a local partner confirms (YX-STAT-19).
• Given module code, when reviewed, then it never branches on country (YX-STAT-19).</t>
        </is>
      </c>
      <c r="O994" s="5" t="inlineStr">
        <is>
          <t>YX-PAY-43, YX-STAT-19</t>
        </is>
      </c>
      <c r="P994" t="inlineStr">
        <is>
          <t>M03 §6 flow 11, P07 §4.6</t>
        </is>
      </c>
      <c r="Q994" t="inlineStr">
        <is>
          <t>US-C-099</t>
        </is>
      </c>
      <c r="R994" s="5" t="inlineStr"/>
    </row>
    <row r="995">
      <c r="A995" t="inlineStr">
        <is>
          <t>US-C-158</t>
        </is>
      </c>
      <c r="B995" t="n">
        <v>782</v>
      </c>
      <c r="C995" t="inlineStr">
        <is>
          <t>Story</t>
        </is>
      </c>
      <c r="D995" s="5" t="inlineStr">
        <is>
          <t xml:space="preserve">        UAE WPS file and end-of-service gratuity</t>
        </is>
      </c>
      <c r="E995" t="inlineStr">
        <is>
          <t>Step 5 · Payroll and statutory</t>
        </is>
      </c>
      <c r="F995" t="inlineStr">
        <is>
          <t>Special pay types and country packs</t>
        </is>
      </c>
      <c r="G995" t="inlineStr">
        <is>
          <t>New</t>
        </is>
      </c>
      <c r="I995">
        <f>IF(H995&lt;&gt;"",H995,G995)</f>
        <v/>
      </c>
      <c r="J995" t="inlineStr">
        <is>
          <t>Step 5-i special pay (later waves)</t>
        </is>
      </c>
      <c r="K995" t="n">
        <v>5</v>
      </c>
      <c r="L995" t="n">
        <v>3</v>
      </c>
      <c r="M995" s="5" t="inlineStr">
        <is>
          <t>As a payroll admin for a UAE entity, I want the WPS SIF file and EOSB provision so that we pay legally in the UAE.</t>
        </is>
      </c>
      <c r="N995" s="5" t="inlineStr">
        <is>
          <t>• Given a WPS-covered entity, when the run is approved, then the SIF file is produced in the pack's format (YX-PAY-44).
• Given each month, when calculated, then end-of-service gratuity is provisioned per the pack (YX-PAY-44).
• Given the statutory hub, when opened, then UAE cards show WPS per run (YX-PAY-44).</t>
        </is>
      </c>
      <c r="O995" s="5" t="inlineStr">
        <is>
          <t>YX-PAY-44</t>
        </is>
      </c>
      <c r="P995" t="inlineStr">
        <is>
          <t>M03 §5</t>
        </is>
      </c>
      <c r="Q995" t="inlineStr">
        <is>
          <t>US-C-157</t>
        </is>
      </c>
      <c r="R995" s="5" t="inlineStr"/>
    </row>
    <row r="996">
      <c r="A996" t="inlineStr">
        <is>
          <t>US-C-159</t>
        </is>
      </c>
      <c r="B996" t="n">
        <v>783</v>
      </c>
      <c r="C996" t="inlineStr">
        <is>
          <t>Story</t>
        </is>
      </c>
      <c r="D996" s="5" t="inlineStr">
        <is>
          <t xml:space="preserve">        US 1099-NEC reporting for contractors</t>
        </is>
      </c>
      <c r="E996" t="inlineStr">
        <is>
          <t>Step 5 · Payroll and statutory</t>
        </is>
      </c>
      <c r="F996" t="inlineStr">
        <is>
          <t>Special pay types and country packs</t>
        </is>
      </c>
      <c r="G996" t="inlineStr">
        <is>
          <t>New</t>
        </is>
      </c>
      <c r="I996">
        <f>IF(H996&lt;&gt;"",H996,G996)</f>
        <v/>
      </c>
      <c r="J996" t="inlineStr">
        <is>
          <t>Step 5-i special pay (later waves)</t>
        </is>
      </c>
      <c r="K996" t="n">
        <v>3</v>
      </c>
      <c r="L996" t="n">
        <v>3</v>
      </c>
      <c r="M996" s="5" t="inlineStr">
        <is>
          <t>As a finance user, I want 1099-NEC data for US contractors so that we report payments in the US.</t>
        </is>
      </c>
      <c r="N996" s="5" t="inlineStr">
        <is>
          <t>• Given US contractors in the consultant register, when set up, then a W-9 is stored with TIN masked (YX-PAY-45).
• Given the calendar year, when totals reach the threshold, then 1099-NEC file and recipient PDF are produced (YX-PAY-45).
• Given US contractors, when paid, then no US withholding is calculated (YX-PAY-45).</t>
        </is>
      </c>
      <c r="O996" s="5" t="inlineStr">
        <is>
          <t>YX-PAY-45</t>
        </is>
      </c>
      <c r="P996" t="inlineStr">
        <is>
          <t>M03 §5</t>
        </is>
      </c>
      <c r="Q996" t="inlineStr">
        <is>
          <t>US-C-157, US-C-144</t>
        </is>
      </c>
      <c r="R996" s="5" t="inlineStr"/>
    </row>
    <row r="997">
      <c r="A997" s="9" t="inlineStr">
        <is>
          <t>FT-C-23</t>
        </is>
      </c>
      <c r="B997" s="9" t="n">
        <v>784</v>
      </c>
      <c r="C997" s="9" t="inlineStr">
        <is>
          <t>Feature</t>
        </is>
      </c>
      <c r="D997" s="10" t="inlineStr">
        <is>
          <t xml:space="preserve">    Finish the payroll screens against the real API</t>
        </is>
      </c>
      <c r="E997" s="9" t="inlineStr">
        <is>
          <t>Step 5 · Payroll and statutory</t>
        </is>
      </c>
      <c r="F997" s="9" t="inlineStr">
        <is>
          <t>Finish the payroll screens against the real API</t>
        </is>
      </c>
      <c r="G997" s="9" t="inlineStr">
        <is>
          <t>New</t>
        </is>
      </c>
      <c r="H997" s="9" t="n"/>
      <c r="I997" s="9">
        <f>IF(H997&lt;&gt;"",H997,G997)</f>
        <v/>
      </c>
      <c r="J997" s="9" t="inlineStr">
        <is>
          <t>Step 5-j payroll screens</t>
        </is>
      </c>
      <c r="K997" s="9" t="n"/>
      <c r="L997" s="9" t="n"/>
      <c r="M997" s="10" t="inlineStr"/>
      <c r="N997" s="10" t="inlineStr"/>
      <c r="O997" s="10" t="inlineStr">
        <is>
          <t>YX-PAY-34, YX-AUD-09, YX-PAY-01, YX-PAY-35, YX-PAY-12, YX-TAX-06, YX-PAY-25</t>
        </is>
      </c>
      <c r="P997" s="9" t="inlineStr">
        <is>
          <t>M03 §7, packages/yx-ui/review/PAY-CHECKLIST.md</t>
        </is>
      </c>
      <c r="Q997" s="9" t="inlineStr"/>
      <c r="R997" s="10" t="inlineStr"/>
      <c r="S997" s="9" t="n"/>
    </row>
    <row r="998">
      <c r="A998" t="inlineStr">
        <is>
          <t>US-C-160</t>
        </is>
      </c>
      <c r="B998" t="n">
        <v>784</v>
      </c>
      <c r="C998" t="inlineStr">
        <is>
          <t>Story</t>
        </is>
      </c>
      <c r="D998" s="5" t="inlineStr">
        <is>
          <t xml:space="preserve">        Finish run screens (home to payments) against the API</t>
        </is>
      </c>
      <c r="E998" t="inlineStr">
        <is>
          <t>Step 5 · Payroll and statutory</t>
        </is>
      </c>
      <c r="F998" t="inlineStr">
        <is>
          <t>Finish the payroll screens against the real API</t>
        </is>
      </c>
      <c r="G998" t="inlineStr">
        <is>
          <t>New</t>
        </is>
      </c>
      <c r="I998">
        <f>IF(H998&lt;&gt;"",H998,G998)</f>
        <v/>
      </c>
      <c r="J998" t="inlineStr">
        <is>
          <t>Step 5-j payroll screens</t>
        </is>
      </c>
      <c r="K998" t="n">
        <v>5</v>
      </c>
      <c r="L998" t="n">
        <v>1</v>
      </c>
      <c r="M998" s="5" t="inlineStr">
        <is>
          <t>As the founder, I want the payroll run screens (pay-01 to pay-11 in packages/yx-ui/src/screens/pay) using the real API so that the parked UI fixes are done.</t>
        </is>
      </c>
      <c r="N998" s="5" t="inlineStr">
        <is>
          <t>• Given each story pay-01 to pay-11, when it loads, then data comes from the API with empty, loading and error states (PAY-CHECKLIST §E).
• Given every item of packages/yx-ui/review/PAY-CHECKLIST.md, when the reviewer checks each story at 1440, 871 and 390 widths, then all pass or are listed with a fix.
• Given calculation, publish or file generation, when it runs, then per-employee progress and named failures with Fix links show (YX-PAY-34).
• Given lock, bank file release or publish, when pressed, then a confirm dialog says exactly what happens (YX-AUD-09).</t>
        </is>
      </c>
      <c r="O998" s="5" t="inlineStr">
        <is>
          <t>YX-PAY-34, YX-AUD-09</t>
        </is>
      </c>
      <c r="P998" t="inlineStr">
        <is>
          <t>M03 §7</t>
        </is>
      </c>
      <c r="Q998" t="inlineStr">
        <is>
          <t>US-C-116, US-C-114</t>
        </is>
      </c>
      <c r="R998" s="5" t="inlineStr"/>
    </row>
    <row r="999">
      <c r="A999" t="inlineStr">
        <is>
          <t>US-C-161</t>
        </is>
      </c>
      <c r="B999" t="n">
        <v>785</v>
      </c>
      <c r="C999" t="inlineStr">
        <is>
          <t>Story</t>
        </is>
      </c>
      <c r="D999" s="5" t="inlineStr">
        <is>
          <t xml:space="preserve">        Finish setup and compensation screens against the API</t>
        </is>
      </c>
      <c r="E999" t="inlineStr">
        <is>
          <t>Step 5 · Payroll and statutory</t>
        </is>
      </c>
      <c r="F999" t="inlineStr">
        <is>
          <t>Finish the payroll screens against the real API</t>
        </is>
      </c>
      <c r="G999" t="inlineStr">
        <is>
          <t>New</t>
        </is>
      </c>
      <c r="I999">
        <f>IF(H999&lt;&gt;"",H999,G999)</f>
        <v/>
      </c>
      <c r="J999" t="inlineStr">
        <is>
          <t>Step 5-j payroll screens</t>
        </is>
      </c>
      <c r="K999" t="n">
        <v>5</v>
      </c>
      <c r="L999" t="n">
        <v>1</v>
      </c>
      <c r="M999" s="5" t="inlineStr">
        <is>
          <t>As the founder, I want the payroll setup screens (pay-12 to pay-19, pay-28 to pay-30) on the real API so that admins can set up payroll themselves.</t>
        </is>
      </c>
      <c r="N999" s="5" t="inlineStr">
        <is>
          <t>• Given each story, when it loads, then data comes from the API with empty, loading and error states.
• Given the PAY-CHECKLIST money rules, when totals show, then gross = sum of earnings and net = gross − deductions, in Indian format.
• Given the template builder, when I save a formula with a cycle, then the API error is shown inline (YX-PAY-01).
• Given the payslip layout editor, when I change it, then the preview is the real render (YX-PAY-35).</t>
        </is>
      </c>
      <c r="O999" s="5" t="inlineStr">
        <is>
          <t>YX-PAY-01, YX-PAY-35</t>
        </is>
      </c>
      <c r="P999" t="inlineStr">
        <is>
          <t>M03 §7</t>
        </is>
      </c>
      <c r="Q999" t="inlineStr">
        <is>
          <t>US-C-090, US-C-096</t>
        </is>
      </c>
      <c r="R999" s="5" t="inlineStr"/>
    </row>
    <row r="1000">
      <c r="A1000" t="inlineStr">
        <is>
          <t>US-C-162</t>
        </is>
      </c>
      <c r="B1000" t="n">
        <v>786</v>
      </c>
      <c r="C1000" t="inlineStr">
        <is>
          <t>Story</t>
        </is>
      </c>
      <c r="D1000" s="5" t="inlineStr">
        <is>
          <t xml:space="preserve">        Finish employee pay, tax and query screens against the API</t>
        </is>
      </c>
      <c r="E1000" t="inlineStr">
        <is>
          <t>Step 5 · Payroll and statutory</t>
        </is>
      </c>
      <c r="F1000" t="inlineStr">
        <is>
          <t>Finish the payroll screens against the real API</t>
        </is>
      </c>
      <c r="G1000" t="inlineStr">
        <is>
          <t>New</t>
        </is>
      </c>
      <c r="I1000">
        <f>IF(H1000&lt;&gt;"",H1000,G1000)</f>
        <v/>
      </c>
      <c r="J1000" t="inlineStr">
        <is>
          <t>Step 5-j payroll screens</t>
        </is>
      </c>
      <c r="K1000" t="n">
        <v>5</v>
      </c>
      <c r="L1000" t="n">
        <v>1</v>
      </c>
      <c r="M1000" s="5" t="inlineStr">
        <is>
          <t>As the founder, I want employee-facing pay screens (payslip viewer, tax workspace, proofs, queries, loans, EWA) on the real API so that employees see real data.</t>
        </is>
      </c>
      <c r="N1000" s="5" t="inlineStr">
        <is>
          <t>• Given the payslip viewer, when an employee opens it, then they see only their own pay (PAY-CHECKLIST §D) and 'why this number' from line explanations (YX-PAY-12).
• Given the tax workspace, when it loads, then the tax sheet equals the TDS deducted (YX-TAX-06).
• Given the query queue, when an admin replies, then the employee sees it in the app (YX-PAY-25).
• Given every checklist item, when reviewed once, then failures are fixed and the review is not repeated in rounds.</t>
        </is>
      </c>
      <c r="O1000" s="5" t="inlineStr">
        <is>
          <t>YX-PAY-12, YX-TAX-06, YX-PAY-25</t>
        </is>
      </c>
      <c r="P1000" t="inlineStr">
        <is>
          <t>M03 §7</t>
        </is>
      </c>
      <c r="Q1000" t="inlineStr">
        <is>
          <t>US-C-121, US-C-118</t>
        </is>
      </c>
      <c r="R1000" s="5" t="inlineStr"/>
    </row>
    <row r="1001">
      <c r="A1001" s="7" t="inlineStr">
        <is>
          <t>EP-D-01</t>
        </is>
      </c>
      <c r="B1001" s="7" t="n">
        <v>800</v>
      </c>
      <c r="C1001" s="7" t="inlineStr">
        <is>
          <t>Epic</t>
        </is>
      </c>
      <c r="D1001" s="8" t="inlineStr">
        <is>
          <t>Mobile app for employees and managers</t>
        </is>
      </c>
      <c r="E1001" s="7" t="inlineStr">
        <is>
          <t>Mobile app for employees and managers</t>
        </is>
      </c>
      <c r="F1001" s="7" t="inlineStr"/>
      <c r="G1001" s="7" t="inlineStr">
        <is>
          <t>New</t>
        </is>
      </c>
      <c r="H1001" s="7" t="n"/>
      <c r="I1001" s="7">
        <f>IF(H1001&lt;&gt;"",H1001,G1001)</f>
        <v/>
      </c>
      <c r="J1001" s="7" t="inlineStr">
        <is>
          <t>Wave 2 · Mobile app</t>
        </is>
      </c>
      <c r="K1001" s="7" t="n"/>
      <c r="L1001" s="7" t="n"/>
      <c r="M1001" s="8" t="inlineStr"/>
      <c r="N1001" s="8" t="inlineStr"/>
      <c r="O1001" s="8" t="inlineStr"/>
      <c r="P1001" s="7" t="inlineStr">
        <is>
          <t>M04</t>
        </is>
      </c>
      <c r="Q1001" s="7" t="inlineStr"/>
      <c r="R1001" s="8" t="inlineStr"/>
      <c r="S1001" s="7" t="n"/>
    </row>
    <row r="1002">
      <c r="A1002" s="9" t="inlineStr">
        <is>
          <t>FT-D-001</t>
        </is>
      </c>
      <c r="B1002" s="9" t="n">
        <v>800</v>
      </c>
      <c r="C1002" s="9" t="inlineStr">
        <is>
          <t>Feature</t>
        </is>
      </c>
      <c r="D1002" s="10" t="inlineStr">
        <is>
          <t xml:space="preserve">    App shell, sign-in and security</t>
        </is>
      </c>
      <c r="E1002" s="9" t="inlineStr">
        <is>
          <t>Mobile app for employees and managers</t>
        </is>
      </c>
      <c r="F1002" s="9" t="inlineStr">
        <is>
          <t>App shell, sign-in and security</t>
        </is>
      </c>
      <c r="G1002" s="9" t="inlineStr">
        <is>
          <t>New</t>
        </is>
      </c>
      <c r="H1002" s="9" t="n"/>
      <c r="I1002" s="9">
        <f>IF(H1002&lt;&gt;"",H1002,G1002)</f>
        <v/>
      </c>
      <c r="J1002" s="9" t="inlineStr">
        <is>
          <t>Wave 2 · Mobile app</t>
        </is>
      </c>
      <c r="K1002" s="9" t="n"/>
      <c r="L1002" s="9" t="n"/>
      <c r="M1002" s="10" t="inlineStr"/>
      <c r="N1002" s="10" t="inlineStr"/>
      <c r="O1002" s="10" t="inlineStr"/>
      <c r="P1002" s="9" t="inlineStr">
        <is>
          <t>M04</t>
        </is>
      </c>
      <c r="Q1002" s="9" t="inlineStr"/>
      <c r="R1002" s="10" t="inlineStr"/>
      <c r="S1002" s="9" t="n"/>
    </row>
    <row r="1003">
      <c r="A1003" t="inlineStr">
        <is>
          <t>US-D-001</t>
        </is>
      </c>
      <c r="B1003" t="n">
        <v>801</v>
      </c>
      <c r="C1003" t="inlineStr">
        <is>
          <t>Story</t>
        </is>
      </c>
      <c r="D1003" s="5" t="inlineStr">
        <is>
          <t xml:space="preserve">        Employee opens the app with five tabs</t>
        </is>
      </c>
      <c r="E1003" t="inlineStr">
        <is>
          <t>Mobile app for employees and managers</t>
        </is>
      </c>
      <c r="F1003" t="inlineStr">
        <is>
          <t>App shell, sign-in and security</t>
        </is>
      </c>
      <c r="G1003" t="inlineStr">
        <is>
          <t>New</t>
        </is>
      </c>
      <c r="I1003">
        <f>IF(H1003&lt;&gt;"",H1003,G1003)</f>
        <v/>
      </c>
      <c r="J1003" t="inlineStr">
        <is>
          <t>Wave 2 · Mobile app</t>
        </is>
      </c>
      <c r="K1003" t="n">
        <v>5</v>
      </c>
      <c r="L1003" t="n">
        <v>1</v>
      </c>
      <c r="M1003" s="5" t="inlineStr">
        <is>
          <t>As an employee, I want an installable app with Home, Time, Requests, Pay and Me tabs so that I can do my HR work on my phone.</t>
        </is>
      </c>
      <c r="N1003" s="5" t="inlineStr">
        <is>
          <t>• Given an employee opens the app link on Android Chrome, when the page loads, then an install prompt appears and the app opens with the five tabs (M04 §3, Q1).
• Given a new employee-facing flow is added by any module, when it is released, then it has a mobile screen in the same wave and a row in the APX-D §5 tab map (YX-MOB-01).
• Given a mid-range Android phone on a throttled 3G profile, when Home or Time is opened, then it is interactive in 3 s or less (YX-MOB-06).
• Given the Home and Time tabs, when the build runs, then their JavaScript is 200 KB gzipped or less (YX-MOB-06).</t>
        </is>
      </c>
      <c r="O1003" s="5" t="inlineStr">
        <is>
          <t>YX-MOB-01, YX-MOB-06</t>
        </is>
      </c>
      <c r="P1003" t="inlineStr">
        <is>
          <t>M04</t>
        </is>
      </c>
      <c r="Q1003" t="inlineStr"/>
      <c r="R1003" s="5" t="inlineStr"/>
    </row>
    <row r="1004">
      <c r="A1004" t="inlineStr">
        <is>
          <t>US-D-002</t>
        </is>
      </c>
      <c r="B1004" t="n">
        <v>802</v>
      </c>
      <c r="C1004" t="inlineStr">
        <is>
          <t>Story</t>
        </is>
      </c>
      <c r="D1004" s="5" t="inlineStr">
        <is>
          <t xml:space="preserve">        Employee signs in with mobile OTP and unlocks with fingerprint or PIN</t>
        </is>
      </c>
      <c r="E1004" t="inlineStr">
        <is>
          <t>Mobile app for employees and managers</t>
        </is>
      </c>
      <c r="F1004" t="inlineStr">
        <is>
          <t>App shell, sign-in and security</t>
        </is>
      </c>
      <c r="G1004" t="inlineStr">
        <is>
          <t>New</t>
        </is>
      </c>
      <c r="I1004">
        <f>IF(H1004&lt;&gt;"",H1004,G1004)</f>
        <v/>
      </c>
      <c r="J1004" t="inlineStr">
        <is>
          <t>Wave 2 · Mobile app</t>
        </is>
      </c>
      <c r="K1004" t="n">
        <v>3</v>
      </c>
      <c r="L1004" t="n">
        <v>1</v>
      </c>
      <c r="M1004" s="5" t="inlineStr">
        <is>
          <t>As an employee, I want to sign in with an OTP to my mobile number and then unlock with my fingerprint or a PIN so that I don't need a password.</t>
        </is>
      </c>
      <c r="N1004" s="5" t="inlineStr">
        <is>
          <t>• Given an invited employee enters their registered mobile number, when they enter the OTP, then they are signed in and asked to pick a language (M04 Q2, §6 first run).
• Given OTP requests from one number, when the rate limit is reached, then more OTPs are refused, and each sent OTP counts toward the P04 SMS quota (M04 Q2).
• Given a signed-in employee, when they set up a passkey or a 4-digit app PIN, then later opens use it instead of a new OTP (M04 Q2).
• Given a personal device, when 30 days pass, then the session ends unless the company set a shorter time (M04 Q8).</t>
        </is>
      </c>
      <c r="O1004" s="5" t="inlineStr"/>
      <c r="P1004" t="inlineStr">
        <is>
          <t>M04</t>
        </is>
      </c>
      <c r="Q1004" t="inlineStr">
        <is>
          <t>US-D-001</t>
        </is>
      </c>
      <c r="R1004" s="5" t="inlineStr"/>
    </row>
    <row r="1005">
      <c r="A1005" t="inlineStr">
        <is>
          <t>US-D-003</t>
        </is>
      </c>
      <c r="B1005" t="n">
        <v>803</v>
      </c>
      <c r="C1005" t="inlineStr">
        <is>
          <t>Story</t>
        </is>
      </c>
      <c r="D1005" s="5" t="inlineStr">
        <is>
          <t xml:space="preserve">        Sensitive screens ask me to re-authenticate</t>
        </is>
      </c>
      <c r="E1005" t="inlineStr">
        <is>
          <t>Mobile app for employees and managers</t>
        </is>
      </c>
      <c r="F1005" t="inlineStr">
        <is>
          <t>App shell, sign-in and security</t>
        </is>
      </c>
      <c r="G1005" t="inlineStr">
        <is>
          <t>New</t>
        </is>
      </c>
      <c r="I1005">
        <f>IF(H1005&lt;&gt;"",H1005,G1005)</f>
        <v/>
      </c>
      <c r="J1005" t="inlineStr">
        <is>
          <t>Wave 2 · Mobile app</t>
        </is>
      </c>
      <c r="K1005" t="n">
        <v>2</v>
      </c>
      <c r="L1005" t="n">
        <v>1</v>
      </c>
      <c r="M1005" s="5" t="inlineStr">
        <is>
          <t>As an employee, I want Pay, documents and bank or ID fields to ask for my fingerprint or PIN so that nobody else can see them on my phone.</t>
        </is>
      </c>
      <c r="N1005" s="5" t="inlineStr">
        <is>
          <t>• Given a signed-in employee, when they open Pay, documents or a bank / ID field, then the app asks for biometric or PIN first (YX-MOB-07).
• Given the employee stays idle 15 minutes on one of these screens, when they act again, then they must re-authenticate (YX-MOB-07, M04 Q8).
• Given an employee downloads a payslip PDF, when it opens, then it carries a watermark with their name and the download time (YX-MOB-07).</t>
        </is>
      </c>
      <c r="O1005" s="5" t="inlineStr">
        <is>
          <t>YX-MOB-07</t>
        </is>
      </c>
      <c r="P1005" t="inlineStr">
        <is>
          <t>M04</t>
        </is>
      </c>
      <c r="Q1005" t="inlineStr">
        <is>
          <t>US-D-002</t>
        </is>
      </c>
      <c r="R1005" s="5" t="inlineStr"/>
    </row>
    <row r="1006">
      <c r="A1006" t="inlineStr">
        <is>
          <t>US-D-004</t>
        </is>
      </c>
      <c r="B1006" t="n">
        <v>804</v>
      </c>
      <c r="C1006" t="inlineStr">
        <is>
          <t>Story</t>
        </is>
      </c>
      <c r="D1006" s="5" t="inlineStr">
        <is>
          <t xml:space="preserve">        Employee or HR signs out a lost phone</t>
        </is>
      </c>
      <c r="E1006" t="inlineStr">
        <is>
          <t>Mobile app for employees and managers</t>
        </is>
      </c>
      <c r="F1006" t="inlineStr">
        <is>
          <t>App shell, sign-in and security</t>
        </is>
      </c>
      <c r="G1006" t="inlineStr">
        <is>
          <t>New</t>
        </is>
      </c>
      <c r="I1006">
        <f>IF(H1006&lt;&gt;"",H1006,G1006)</f>
        <v/>
      </c>
      <c r="J1006" t="inlineStr">
        <is>
          <t>Wave 2 · Mobile app</t>
        </is>
      </c>
      <c r="K1006" t="n">
        <v>2</v>
      </c>
      <c r="L1006" t="n">
        <v>1</v>
      </c>
      <c r="M1006" s="5" t="inlineStr">
        <is>
          <t>As an employee who lost my phone, I want to sign it out from another device (or ask HR) so that nobody can use my account.</t>
        </is>
      </c>
      <c r="N1006" s="5" t="inlineStr">
        <is>
          <t>• Given an employee with two devices, when they choose Me › Security › Sign out on the lost device, then its sessions and push tokens are revoked at once (YX-MOB-09).
• Given HR signs out an employee's device, when that device makes its next API call, then it gets 401 and push delivery to it stops (YX-MOB-09).
• Given a device is revoked, when the app next opens, then the offline cache on it is cleared (M04 Q7).</t>
        </is>
      </c>
      <c r="O1006" s="5" t="inlineStr">
        <is>
          <t>YX-MOB-09</t>
        </is>
      </c>
      <c r="P1006" t="inlineStr">
        <is>
          <t>M04</t>
        </is>
      </c>
      <c r="Q1006" t="inlineStr">
        <is>
          <t>US-D-002</t>
        </is>
      </c>
      <c r="R1006" s="5" t="inlineStr"/>
    </row>
    <row r="1007">
      <c r="A1007" t="inlineStr">
        <is>
          <t>US-D-005</t>
        </is>
      </c>
      <c r="B1007" t="n">
        <v>805</v>
      </c>
      <c r="C1007" t="inlineStr">
        <is>
          <t>Story</t>
        </is>
      </c>
      <c r="D1007" s="5" t="inlineStr">
        <is>
          <t xml:space="preserve">        Employee uses the app in Hindi, Tamil or Telugu</t>
        </is>
      </c>
      <c r="E1007" t="inlineStr">
        <is>
          <t>Mobile app for employees and managers</t>
        </is>
      </c>
      <c r="F1007" t="inlineStr">
        <is>
          <t>App shell, sign-in and security</t>
        </is>
      </c>
      <c r="G1007" t="inlineStr">
        <is>
          <t>New</t>
        </is>
      </c>
      <c r="I1007">
        <f>IF(H1007&lt;&gt;"",H1007,G1007)</f>
        <v/>
      </c>
      <c r="J1007" t="inlineStr">
        <is>
          <t>Wave 2 · Mobile app</t>
        </is>
      </c>
      <c r="K1007" t="n">
        <v>3</v>
      </c>
      <c r="L1007" t="n">
        <v>1</v>
      </c>
      <c r="M1007" s="5" t="inlineStr">
        <is>
          <t>As an employee, I want the app in my language with local number and date formats so that I can read it easily.</t>
        </is>
      </c>
      <c r="N1007" s="5" t="inlineStr">
        <is>
          <t>• Given an employee picks Tamil, when they open any tab, then every label comes from the translation catalogue in Tamil (YX-MOB-10).
• Given the locale is set, when amounts and dates show, then they use the user's locale format, e.g. ₹1,00,000 (YX-MOB-10).
• Given the Home and Pay tabs in Tamil, when screenshots are checked in CI, then no label is cut off (YX-MOB-10).</t>
        </is>
      </c>
      <c r="O1007" s="5" t="inlineStr">
        <is>
          <t>YX-MOB-10</t>
        </is>
      </c>
      <c r="P1007" t="inlineStr">
        <is>
          <t>M04</t>
        </is>
      </c>
      <c r="Q1007" t="inlineStr">
        <is>
          <t>US-D-001</t>
        </is>
      </c>
      <c r="R1007" s="5" t="inlineStr"/>
    </row>
    <row r="1008">
      <c r="A1008" t="inlineStr">
        <is>
          <t>US-D-006</t>
        </is>
      </c>
      <c r="B1008" t="n">
        <v>806</v>
      </c>
      <c r="C1008" t="inlineStr">
        <is>
          <t>Story</t>
        </is>
      </c>
      <c r="D1008" s="5" t="inlineStr">
        <is>
          <t xml:space="preserve">        Push notifications are grouped and open the right record</t>
        </is>
      </c>
      <c r="E1008" t="inlineStr">
        <is>
          <t>Mobile app for employees and managers</t>
        </is>
      </c>
      <c r="F1008" t="inlineStr">
        <is>
          <t>App shell, sign-in and security</t>
        </is>
      </c>
      <c r="G1008" t="inlineStr">
        <is>
          <t>New</t>
        </is>
      </c>
      <c r="I1008">
        <f>IF(H1008&lt;&gt;"",H1008,G1008)</f>
        <v/>
      </c>
      <c r="J1008" t="inlineStr">
        <is>
          <t>Wave 2 · Mobile app</t>
        </is>
      </c>
      <c r="K1008" t="n">
        <v>3</v>
      </c>
      <c r="L1008" t="n">
        <v>1</v>
      </c>
      <c r="M1008" s="5" t="inlineStr">
        <is>
          <t>As an employee or manager, I want clear push notifications with names, grouped by subject, so that one tap takes me to the action.</t>
        </is>
      </c>
      <c r="N1008" s="5" t="inlineStr">
        <is>
          <t>• Given push is allowed, when a leave request is raised, then the manager sees 'Priya Sharma applied for leave 3–5 Oct', not an ID (YX-MOB-04).
• Given several updates on one subject, when they arrive, then they are grouped into one notification (YX-MOB-04).
• Given a notification is tapped, when the app opens, then it shows the record with its action (YX-MOB-04).
• Given a payslip is ready, when push or WhatsApp is sent, then the text carries no amounts or ID data (P04 Q6).</t>
        </is>
      </c>
      <c r="O1008" s="5" t="inlineStr">
        <is>
          <t>YX-MOB-04</t>
        </is>
      </c>
      <c r="P1008" t="inlineStr">
        <is>
          <t>M04</t>
        </is>
      </c>
      <c r="Q1008" t="inlineStr">
        <is>
          <t>US-D-001</t>
        </is>
      </c>
      <c r="R1008" s="5" t="inlineStr"/>
    </row>
    <row r="1009">
      <c r="A1009" t="inlineStr">
        <is>
          <t>US-D-007</t>
        </is>
      </c>
      <c r="B1009" t="n">
        <v>807</v>
      </c>
      <c r="C1009" t="inlineStr">
        <is>
          <t>Story</t>
        </is>
      </c>
      <c r="D1009" s="5" t="inlineStr">
        <is>
          <t xml:space="preserve">        App opens offline and keeps my drafts</t>
        </is>
      </c>
      <c r="E1009" t="inlineStr">
        <is>
          <t>Mobile app for employees and managers</t>
        </is>
      </c>
      <c r="F1009" t="inlineStr">
        <is>
          <t>App shell, sign-in and security</t>
        </is>
      </c>
      <c r="G1009" t="inlineStr">
        <is>
          <t>New</t>
        </is>
      </c>
      <c r="I1009">
        <f>IF(H1009&lt;&gt;"",H1009,G1009)</f>
        <v/>
      </c>
      <c r="J1009" t="inlineStr">
        <is>
          <t>Wave 2 · Mobile app</t>
        </is>
      </c>
      <c r="K1009" t="n">
        <v>5</v>
      </c>
      <c r="L1009" t="n">
        <v>1</v>
      </c>
      <c r="M1009" s="5" t="inlineStr">
        <is>
          <t>As a field employee with a weak network, I want the app to open offline and save my drafts so that I can submit later.</t>
        </is>
      </c>
      <c r="N1009" s="5" t="inlineStr">
        <is>
          <t>• Given no network, when the employee opens the app, then cached Home, holidays, leave balances and the payslip list (no figures) show with an offline banner (M04 Q7).
• Given the employee fills a leave, expense or regularisation form offline, when they tap submit, then it is saved on the phone with a 'pending sync' chip (M04 Q7).
• Given the phone comes online, when the draft syncs, then the server checks balance and limits again and shows the result (M04 Q7).
• Given sign-out or remote revoke, when it happens, then all cached data and drafts are removed from the device (M04 Q7, YX-MOB-09).</t>
        </is>
      </c>
      <c r="O1009" s="5" t="inlineStr">
        <is>
          <t>YX-MOB-09</t>
        </is>
      </c>
      <c r="P1009" t="inlineStr">
        <is>
          <t>M04</t>
        </is>
      </c>
      <c r="Q1009" t="inlineStr">
        <is>
          <t>US-D-001</t>
        </is>
      </c>
      <c r="R1009" s="5" t="inlineStr"/>
    </row>
    <row r="1010">
      <c r="A1010" t="inlineStr">
        <is>
          <t>US-D-008</t>
        </is>
      </c>
      <c r="B1010" t="n">
        <v>808</v>
      </c>
      <c r="C1010" t="inlineStr">
        <is>
          <t>Story</t>
        </is>
      </c>
      <c r="D1010" s="5" t="inlineStr">
        <is>
          <t xml:space="preserve">        Each release is checked against mobile performance budgets</t>
        </is>
      </c>
      <c r="E1010" t="inlineStr">
        <is>
          <t>Mobile app for employees and managers</t>
        </is>
      </c>
      <c r="F1010" t="inlineStr">
        <is>
          <t>App shell, sign-in and security</t>
        </is>
      </c>
      <c r="G1010" t="inlineStr">
        <is>
          <t>New</t>
        </is>
      </c>
      <c r="I1010">
        <f>IF(H1010&lt;&gt;"",H1010,G1010)</f>
        <v/>
      </c>
      <c r="J1010" t="inlineStr">
        <is>
          <t>Wave 2 · Mobile app</t>
        </is>
      </c>
      <c r="K1010" t="n">
        <v>3</v>
      </c>
      <c r="L1010" t="n">
        <v>2</v>
      </c>
      <c r="M1010" s="5" t="inlineStr">
        <is>
          <t>As a product owner, I want each mobile release checked against size, start time and crash budgets so that the app stays fast on cheap phones.</t>
        </is>
      </c>
      <c r="N1010" s="5" t="inlineStr">
        <is>
          <t>• Given a build over the download-size or cold-start budget on the 2 GB reference phone, when CI runs, then it fails and shows the measured value (YX-MOB-19).
• Given a staged rollout, when crash-free users fall below 99.5 % over 7 days, then the rollout stops automatically (YX-MOB-19).
• Given a user finishes a leave request successfully, when the rating rules allow, then the OS review prompt shows; never after an error and not again within 90 days (YX-MOB-19).
• Given the budget values, when they change, then they are edited as config, not code (YX-MOB-19).</t>
        </is>
      </c>
      <c r="O1010" s="5" t="inlineStr">
        <is>
          <t>YX-MOB-19, YX-MOB-06</t>
        </is>
      </c>
      <c r="P1010" t="inlineStr">
        <is>
          <t>M04</t>
        </is>
      </c>
      <c r="Q1010" t="inlineStr">
        <is>
          <t>US-D-001</t>
        </is>
      </c>
      <c r="R1010" s="5" t="inlineStr"/>
    </row>
    <row r="1011">
      <c r="A1011" s="9" t="inlineStr">
        <is>
          <t>FT-D-002</t>
        </is>
      </c>
      <c r="B1011" s="9" t="n">
        <v>810</v>
      </c>
      <c r="C1011" s="9" t="inlineStr">
        <is>
          <t>Feature</t>
        </is>
      </c>
      <c r="D1011" s="10" t="inlineStr">
        <is>
          <t xml:space="preserve">    Time tab and check-in on the phone</t>
        </is>
      </c>
      <c r="E1011" s="9" t="inlineStr">
        <is>
          <t>Mobile app for employees and managers</t>
        </is>
      </c>
      <c r="F1011" s="9" t="inlineStr">
        <is>
          <t>Time tab and check-in on the phone</t>
        </is>
      </c>
      <c r="G1011" s="9" t="inlineStr">
        <is>
          <t>New</t>
        </is>
      </c>
      <c r="H1011" s="9" t="n"/>
      <c r="I1011" s="9">
        <f>IF(H1011&lt;&gt;"",H1011,G1011)</f>
        <v/>
      </c>
      <c r="J1011" s="9" t="inlineStr">
        <is>
          <t>Wave 2 · Mobile app</t>
        </is>
      </c>
      <c r="K1011" s="9" t="n"/>
      <c r="L1011" s="9" t="n"/>
      <c r="M1011" s="10" t="inlineStr"/>
      <c r="N1011" s="10" t="inlineStr"/>
      <c r="O1011" s="10" t="inlineStr"/>
      <c r="P1011" s="9" t="inlineStr">
        <is>
          <t>M04, M02</t>
        </is>
      </c>
      <c r="Q1011" s="9" t="inlineStr"/>
      <c r="R1011" s="10" t="inlineStr"/>
      <c r="S1011" s="9" t="n"/>
    </row>
    <row r="1012">
      <c r="A1012" t="inlineStr">
        <is>
          <t>US-D-009</t>
        </is>
      </c>
      <c r="B1012" t="n">
        <v>811</v>
      </c>
      <c r="C1012" t="inlineStr">
        <is>
          <t>Story</t>
        </is>
      </c>
      <c r="D1012" s="5" t="inlineStr">
        <is>
          <t xml:space="preserve">        Employee checks in from the check-in sheet</t>
        </is>
      </c>
      <c r="E1012" t="inlineStr">
        <is>
          <t>Mobile app for employees and managers</t>
        </is>
      </c>
      <c r="F1012" t="inlineStr">
        <is>
          <t>Time tab and check-in on the phone</t>
        </is>
      </c>
      <c r="G1012" t="inlineStr">
        <is>
          <t>New</t>
        </is>
      </c>
      <c r="I1012">
        <f>IF(H1012&lt;&gt;"",H1012,G1012)</f>
        <v/>
      </c>
      <c r="J1012" t="inlineStr">
        <is>
          <t>Wave 2 · Mobile app</t>
        </is>
      </c>
      <c r="K1012" t="n">
        <v>5</v>
      </c>
      <c r="L1012" t="n">
        <v>1</v>
      </c>
      <c r="M1012" s="5" t="inlineStr">
        <is>
          <t>As an employee, I want the check-in sheet to show my shift, the map and why I can or can't check in so that I am never confused.</t>
        </is>
      </c>
      <c r="N1012" s="5" t="inlineStr">
        <is>
          <t>• Given an employee opens check-in, when the sheet loads, then it shows the shift, time to start and the location verdict with distance (YX-MOB-05).
• Given GPS is available, when the sheet shows, then a map shows my pin, the accuracy circle and the allowed geofence, with a 'retry location' action (YX-MOB-18).
• Given the employee is outside the geofence in restricted mode, when they tap check-in, then it is blocked with a plain reason such as 'Outside Chennai HQ, 850 m away' (YX-MOB-05, YX-MOB-18).
• Given a refused or abandoned attempt, when it happens, then it is logged on the server and the sheet offers 'ask HR to regularise' in one tap (YX-MOB-18).</t>
        </is>
      </c>
      <c r="O1012" s="5" t="inlineStr">
        <is>
          <t>YX-MOB-05, YX-MOB-18</t>
        </is>
      </c>
      <c r="P1012" t="inlineStr">
        <is>
          <t>M04, M02</t>
        </is>
      </c>
      <c r="Q1012" t="inlineStr">
        <is>
          <t>US-D-001</t>
        </is>
      </c>
      <c r="R1012" s="5" t="inlineStr"/>
    </row>
    <row r="1013">
      <c r="A1013" t="inlineStr">
        <is>
          <t>US-D-010</t>
        </is>
      </c>
      <c r="B1013" t="n">
        <v>812</v>
      </c>
      <c r="C1013" t="inlineStr">
        <is>
          <t>Story</t>
        </is>
      </c>
      <c r="D1013" s="5" t="inlineStr">
        <is>
          <t xml:space="preserve">        Employee checks in without signal</t>
        </is>
      </c>
      <c r="E1013" t="inlineStr">
        <is>
          <t>Mobile app for employees and managers</t>
        </is>
      </c>
      <c r="F1013" t="inlineStr">
        <is>
          <t>Time tab and check-in on the phone</t>
        </is>
      </c>
      <c r="G1013" t="inlineStr">
        <is>
          <t>New</t>
        </is>
      </c>
      <c r="I1013">
        <f>IF(H1013&lt;&gt;"",H1013,G1013)</f>
        <v/>
      </c>
      <c r="J1013" t="inlineStr">
        <is>
          <t>Wave 2 · Mobile app</t>
        </is>
      </c>
      <c r="K1013" t="n">
        <v>3</v>
      </c>
      <c r="L1013" t="n">
        <v>1</v>
      </c>
      <c r="M1013" s="5" t="inlineStr">
        <is>
          <t>As an employee working in a basement, I want my check-in saved on the phone when there is no signal so that I am not marked absent.</t>
        </is>
      </c>
      <c r="N1013" s="5" t="inlineStr">
        <is>
          <t>• Given no network, when the employee checks in, then the punch is queued on the device with device time and GPS and shows 'pending sync' (YX-MOB-18, M04 G8).
• Given the phone comes online, when the queue syncs, then the geofence verdict is computed on the server and HR sees the offline flag and device time (YX-MOB-18).
• Given the server acknowledges the punch, when sync finishes, then the queued item is removed from the phone (M04 §4).</t>
        </is>
      </c>
      <c r="O1013" s="5" t="inlineStr">
        <is>
          <t>YX-MOB-18</t>
        </is>
      </c>
      <c r="P1013" t="inlineStr">
        <is>
          <t>M04, M02</t>
        </is>
      </c>
      <c r="Q1013" t="inlineStr">
        <is>
          <t>US-D-009</t>
        </is>
      </c>
      <c r="R1013" s="5" t="inlineStr"/>
    </row>
    <row r="1014">
      <c r="A1014" t="inlineStr">
        <is>
          <t>US-D-011</t>
        </is>
      </c>
      <c r="B1014" t="n">
        <v>813</v>
      </c>
      <c r="C1014" t="inlineStr">
        <is>
          <t>Story</t>
        </is>
      </c>
      <c r="D1014" s="5" t="inlineStr">
        <is>
          <t xml:space="preserve">        Company binds check-in to one phone per employee</t>
        </is>
      </c>
      <c r="E1014" t="inlineStr">
        <is>
          <t>Mobile app for employees and managers</t>
        </is>
      </c>
      <c r="F1014" t="inlineStr">
        <is>
          <t>Time tab and check-in on the phone</t>
        </is>
      </c>
      <c r="G1014" t="inlineStr">
        <is>
          <t>New</t>
        </is>
      </c>
      <c r="I1014">
        <f>IF(H1014&lt;&gt;"",H1014,G1014)</f>
        <v/>
      </c>
      <c r="J1014" t="inlineStr">
        <is>
          <t>Wave 2 · Mobile app</t>
        </is>
      </c>
      <c r="K1014" t="n">
        <v>3</v>
      </c>
      <c r="L1014" t="n">
        <v>1</v>
      </c>
      <c r="M1014" s="5" t="inlineStr">
        <is>
          <t>As an HR admin, I want check-in tied to each employee's own phone so that nobody punches for a friend.</t>
        </is>
      </c>
      <c r="N1014" s="5" t="inlineStr">
        <is>
          <t>• Given binding is on for restricted-mode staff, when an employee checks in from a phone that is not bound, then the check-in is refused (YX-MOB-08).
• Given binding is off or the employee is exempt, when they check in, then the device is still recorded on the punch (YX-MOB-08).
• Given an employee changes phone, when they request a new binding, then it goes to HR / manager approval through P03 (M04 Q3).</t>
        </is>
      </c>
      <c r="O1014" s="5" t="inlineStr">
        <is>
          <t>YX-MOB-08</t>
        </is>
      </c>
      <c r="P1014" t="inlineStr">
        <is>
          <t>M04, M02</t>
        </is>
      </c>
      <c r="Q1014" t="inlineStr">
        <is>
          <t>US-D-009</t>
        </is>
      </c>
      <c r="R1014" s="5" t="inlineStr"/>
    </row>
    <row r="1015">
      <c r="A1015" t="inlineStr">
        <is>
          <t>US-D-012</t>
        </is>
      </c>
      <c r="B1015" t="n">
        <v>814</v>
      </c>
      <c r="C1015" t="inlineStr">
        <is>
          <t>Story</t>
        </is>
      </c>
      <c r="D1015" s="5" t="inlineStr">
        <is>
          <t xml:space="preserve">        Employee sees late, early and missing marks on the Time calendar</t>
        </is>
      </c>
      <c r="E1015" t="inlineStr">
        <is>
          <t>Mobile app for employees and managers</t>
        </is>
      </c>
      <c r="F1015" t="inlineStr">
        <is>
          <t>Time tab and check-in on the phone</t>
        </is>
      </c>
      <c r="G1015" t="inlineStr">
        <is>
          <t>New</t>
        </is>
      </c>
      <c r="I1015">
        <f>IF(H1015&lt;&gt;"",H1015,G1015)</f>
        <v/>
      </c>
      <c r="J1015" t="inlineStr">
        <is>
          <t>Wave 2 · Mobile app</t>
        </is>
      </c>
      <c r="K1015" t="n">
        <v>2</v>
      </c>
      <c r="L1015" t="n">
        <v>1</v>
      </c>
      <c r="M1015" s="5" t="inlineStr">
        <is>
          <t>As an employee, I want my attendance calendar to mark late, early, missing and OT days so that I can fix problems fast.</t>
        </is>
      </c>
      <c r="N1015" s="5" t="inlineStr">
        <is>
          <t>• Given attendance data, when the Time calendar shows, then late / early / missing / OT days are marked with the UI brief colours, and late is a warning colour, never success (YX-MOB-12).
• Given many punches, when the employee opens a day, then punches are grouped under that day's card (YX-MOB-12).
• Given any request sheet, when the employee fills it, then they are never asked to pick an approver (YX-MOB-12).</t>
        </is>
      </c>
      <c r="O1015" s="5" t="inlineStr">
        <is>
          <t>YX-MOB-12</t>
        </is>
      </c>
      <c r="P1015" t="inlineStr">
        <is>
          <t>M04, M02</t>
        </is>
      </c>
      <c r="Q1015" t="inlineStr">
        <is>
          <t>US-D-001</t>
        </is>
      </c>
      <c r="R1015" s="5" t="inlineStr"/>
    </row>
    <row r="1016">
      <c r="A1016" s="9" t="inlineStr">
        <is>
          <t>FT-D-003</t>
        </is>
      </c>
      <c r="B1016" s="9" t="n">
        <v>820</v>
      </c>
      <c r="C1016" s="9" t="inlineStr">
        <is>
          <t>Feature</t>
        </is>
      </c>
      <c r="D1016" s="10" t="inlineStr">
        <is>
          <t xml:space="preserve">    Requests and manager approvals on the phone</t>
        </is>
      </c>
      <c r="E1016" s="9" t="inlineStr">
        <is>
          <t>Mobile app for employees and managers</t>
        </is>
      </c>
      <c r="F1016" s="9" t="inlineStr">
        <is>
          <t>Requests and manager approvals on the phone</t>
        </is>
      </c>
      <c r="G1016" s="9" t="inlineStr">
        <is>
          <t>New</t>
        </is>
      </c>
      <c r="H1016" s="9" t="n"/>
      <c r="I1016" s="9">
        <f>IF(H1016&lt;&gt;"",H1016,G1016)</f>
        <v/>
      </c>
      <c r="J1016" s="9" t="inlineStr">
        <is>
          <t>Wave 2 · Mobile app</t>
        </is>
      </c>
      <c r="K1016" s="9" t="n"/>
      <c r="L1016" s="9" t="n"/>
      <c r="M1016" s="10" t="inlineStr"/>
      <c r="N1016" s="10" t="inlineStr"/>
      <c r="O1016" s="10" t="inlineStr"/>
      <c r="P1016" s="9" t="inlineStr">
        <is>
          <t>M04, P03</t>
        </is>
      </c>
      <c r="Q1016" s="9" t="inlineStr"/>
      <c r="R1016" s="10" t="inlineStr"/>
      <c r="S1016" s="9" t="n"/>
    </row>
    <row r="1017">
      <c r="A1017" t="inlineStr">
        <is>
          <t>US-D-013</t>
        </is>
      </c>
      <c r="B1017" t="n">
        <v>821</v>
      </c>
      <c r="C1017" t="inlineStr">
        <is>
          <t>Story</t>
        </is>
      </c>
      <c r="D1017" s="5" t="inlineStr">
        <is>
          <t xml:space="preserve">        Employee raises any request from one sheet</t>
        </is>
      </c>
      <c r="E1017" t="inlineStr">
        <is>
          <t>Mobile app for employees and managers</t>
        </is>
      </c>
      <c r="F1017" t="inlineStr">
        <is>
          <t>Requests and manager approvals on the phone</t>
        </is>
      </c>
      <c r="G1017" t="inlineStr">
        <is>
          <t>New</t>
        </is>
      </c>
      <c r="I1017">
        <f>IF(H1017&lt;&gt;"",H1017,G1017)</f>
        <v/>
      </c>
      <c r="J1017" t="inlineStr">
        <is>
          <t>Wave 2 · Mobile app</t>
        </is>
      </c>
      <c r="K1017" t="n">
        <v>3</v>
      </c>
      <c r="L1017" t="n">
        <v>1</v>
      </c>
      <c r="M1017" s="5" t="inlineStr">
        <is>
          <t>As an employee, I want one request sheet for leave, attendance, expense and other requests so that I learn one way to ask.</t>
        </is>
      </c>
      <c r="N1017" s="5" t="inlineStr">
        <is>
          <t>• Given the Requests tab, when the employee taps new request, then every request type registered in P03 is listed (M04 §3).
• Given a type is picked, when the form opens, then it shows a live summary such as leave balance after (M04 §6).
• Given the form is submitted, when the approver is resolved, then P03 resolves it on the server and the employee never picks one (YX-MOB-12).
• Given my requests list, when it opens, then each request shows its status and latest step (M04 §3).</t>
        </is>
      </c>
      <c r="O1017" s="5" t="inlineStr">
        <is>
          <t>YX-MOB-12</t>
        </is>
      </c>
      <c r="P1017" t="inlineStr">
        <is>
          <t>M04, P03</t>
        </is>
      </c>
      <c r="Q1017" t="inlineStr">
        <is>
          <t>US-D-001</t>
        </is>
      </c>
      <c r="R1017" s="5" t="inlineStr"/>
    </row>
    <row r="1018">
      <c r="A1018" t="inlineStr">
        <is>
          <t>US-D-014</t>
        </is>
      </c>
      <c r="B1018" t="n">
        <v>822</v>
      </c>
      <c r="C1018" t="inlineStr">
        <is>
          <t>Story</t>
        </is>
      </c>
      <c r="D1018" s="5" t="inlineStr">
        <is>
          <t xml:space="preserve">        Manager decides a request on an approval card</t>
        </is>
      </c>
      <c r="E1018" t="inlineStr">
        <is>
          <t>Mobile app for employees and managers</t>
        </is>
      </c>
      <c r="F1018" t="inlineStr">
        <is>
          <t>Requests and manager approvals on the phone</t>
        </is>
      </c>
      <c r="G1018" t="inlineStr">
        <is>
          <t>New</t>
        </is>
      </c>
      <c r="I1018">
        <f>IF(H1018&lt;&gt;"",H1018,G1018)</f>
        <v/>
      </c>
      <c r="J1018" t="inlineStr">
        <is>
          <t>Wave 2 · Mobile app</t>
        </is>
      </c>
      <c r="K1018" t="n">
        <v>3</v>
      </c>
      <c r="L1018" t="n">
        <v>1</v>
      </c>
      <c r="M1018" s="5" t="inlineStr">
        <is>
          <t>As a manager, I want an approval card with a summary and the impact so that I can decide in a few taps.</t>
        </is>
      </c>
      <c r="N1018" s="5" t="inlineStr">
        <is>
          <t>• Given a pending leave request, when the manager opens it from a push, then they can approve in 3 taps or fewer (YX-MOB-02).
• Given the card, when it shows, then it has a summary, the impact (e.g. team availability) and approve / reject / send back with a comment (YX-MOB-02).
• Given any approval, when the card shows, then the full form is never editable by the approver (YX-MOB-02).</t>
        </is>
      </c>
      <c r="O1018" s="5" t="inlineStr">
        <is>
          <t>YX-MOB-02</t>
        </is>
      </c>
      <c r="P1018" t="inlineStr">
        <is>
          <t>M04, P03</t>
        </is>
      </c>
      <c r="Q1018" t="inlineStr">
        <is>
          <t>US-D-013</t>
        </is>
      </c>
      <c r="R1018" s="5" t="inlineStr"/>
    </row>
    <row r="1019">
      <c r="A1019" t="inlineStr">
        <is>
          <t>US-D-015</t>
        </is>
      </c>
      <c r="B1019" t="n">
        <v>823</v>
      </c>
      <c r="C1019" t="inlineStr">
        <is>
          <t>Story</t>
        </is>
      </c>
      <c r="D1019" s="5" t="inlineStr">
        <is>
          <t xml:space="preserve">        Manager clears the approvals inbox</t>
        </is>
      </c>
      <c r="E1019" t="inlineStr">
        <is>
          <t>Mobile app for employees and managers</t>
        </is>
      </c>
      <c r="F1019" t="inlineStr">
        <is>
          <t>Requests and manager approvals on the phone</t>
        </is>
      </c>
      <c r="G1019" t="inlineStr">
        <is>
          <t>New</t>
        </is>
      </c>
      <c r="I1019">
        <f>IF(H1019&lt;&gt;"",H1019,G1019)</f>
        <v/>
      </c>
      <c r="J1019" t="inlineStr">
        <is>
          <t>Wave 2 · Mobile app</t>
        </is>
      </c>
      <c r="K1019" t="n">
        <v>3</v>
      </c>
      <c r="L1019" t="n">
        <v>1</v>
      </c>
      <c r="M1019" s="5" t="inlineStr">
        <is>
          <t>As a manager, I want an inbox with only the items waiting for me, grouped by type, so that I can clear it quickly.</t>
        </is>
      </c>
      <c r="N1019" s="5" t="inlineStr">
        <is>
          <t>• Given a manager with pending items, when the inbox opens, then only items awaiting their action show, grouped by type (YX-MOB-03).
• Given drafts exist in the team, when the inbox loads, then drafts never appear (YX-MOB-03).
• Given several low-risk items of one type, when the manager selects them, then they can approve them in bulk (YX-MOB-03).</t>
        </is>
      </c>
      <c r="O1019" s="5" t="inlineStr">
        <is>
          <t>YX-MOB-03</t>
        </is>
      </c>
      <c r="P1019" t="inlineStr">
        <is>
          <t>M04, P03</t>
        </is>
      </c>
      <c r="Q1019" t="inlineStr">
        <is>
          <t>US-D-014</t>
        </is>
      </c>
      <c r="R1019" s="5" t="inlineStr"/>
    </row>
    <row r="1020">
      <c r="A1020" t="inlineStr">
        <is>
          <t>US-D-016</t>
        </is>
      </c>
      <c r="B1020" t="n">
        <v>824</v>
      </c>
      <c r="C1020" t="inlineStr">
        <is>
          <t>Story</t>
        </is>
      </c>
      <c r="D1020" s="5" t="inlineStr">
        <is>
          <t xml:space="preserve">        Manager sees Team today and the team calendar</t>
        </is>
      </c>
      <c r="E1020" t="inlineStr">
        <is>
          <t>Mobile app for employees and managers</t>
        </is>
      </c>
      <c r="F1020" t="inlineStr">
        <is>
          <t>Requests and manager approvals on the phone</t>
        </is>
      </c>
      <c r="G1020" t="inlineStr">
        <is>
          <t>New</t>
        </is>
      </c>
      <c r="I1020">
        <f>IF(H1020&lt;&gt;"",H1020,G1020)</f>
        <v/>
      </c>
      <c r="J1020" t="inlineStr">
        <is>
          <t>Wave 2 · Mobile app</t>
        </is>
      </c>
      <c r="K1020" t="n">
        <v>3</v>
      </c>
      <c r="L1020" t="n">
        <v>1</v>
      </c>
      <c r="M1020" s="5" t="inlineStr">
        <is>
          <t>As a manager, I want to see who is in, late, on leave or not checked in today so that I can plan the day.</t>
        </is>
      </c>
      <c r="N1020" s="5" t="inlineStr">
        <is>
          <t>• Given a manager opens Home, when the Team segment loads, then it shows in / late / on leave / WFH / not checked in for their subtree (M04 Q5).
• Given a team member with an attendance exception, when the manager taps nudge, then the employee gets a reminder (M04 Q5).
• Given a team member's profile, when the manager opens it, then only fields in P02 scope show, and no salary unless enabled (M04 Q5).</t>
        </is>
      </c>
      <c r="O1020" s="5" t="inlineStr"/>
      <c r="P1020" t="inlineStr">
        <is>
          <t>M04, P03</t>
        </is>
      </c>
      <c r="Q1020" t="inlineStr">
        <is>
          <t>US-D-001</t>
        </is>
      </c>
      <c r="R1020" s="5" t="inlineStr"/>
    </row>
    <row r="1021">
      <c r="A1021" s="9" t="inlineStr">
        <is>
          <t>FT-D-004</t>
        </is>
      </c>
      <c r="B1021" s="9" t="n">
        <v>830</v>
      </c>
      <c r="C1021" s="9" t="inlineStr">
        <is>
          <t>Feature</t>
        </is>
      </c>
      <c r="D1021" s="10" t="inlineStr">
        <is>
          <t xml:space="preserve">    Shared kiosk for workers without phones</t>
        </is>
      </c>
      <c r="E1021" s="9" t="inlineStr">
        <is>
          <t>Mobile app for employees and managers</t>
        </is>
      </c>
      <c r="F1021" s="9" t="inlineStr">
        <is>
          <t>Shared kiosk for workers without phones</t>
        </is>
      </c>
      <c r="G1021" s="9" t="inlineStr">
        <is>
          <t>New</t>
        </is>
      </c>
      <c r="H1021" s="9" t="n"/>
      <c r="I1021" s="9">
        <f>IF(H1021&lt;&gt;"",H1021,G1021)</f>
        <v/>
      </c>
      <c r="J1021" s="9" t="inlineStr">
        <is>
          <t>Wave 2 · Mobile app</t>
        </is>
      </c>
      <c r="K1021" s="9" t="n"/>
      <c r="L1021" s="9" t="n"/>
      <c r="M1021" s="10" t="inlineStr"/>
      <c r="N1021" s="10" t="inlineStr"/>
      <c r="O1021" s="10" t="inlineStr"/>
      <c r="P1021" s="9" t="inlineStr">
        <is>
          <t>M04</t>
        </is>
      </c>
      <c r="Q1021" s="9" t="inlineStr"/>
      <c r="R1021" s="10" t="inlineStr"/>
      <c r="S1021" s="9" t="n"/>
    </row>
    <row r="1022">
      <c r="A1022" t="inlineStr">
        <is>
          <t>US-D-017</t>
        </is>
      </c>
      <c r="B1022" t="n">
        <v>831</v>
      </c>
      <c r="C1022" t="inlineStr">
        <is>
          <t>Story</t>
        </is>
      </c>
      <c r="D1022" s="5" t="inlineStr">
        <is>
          <t xml:space="preserve">        Worker checks in at a shared kiosk with code and PIN</t>
        </is>
      </c>
      <c r="E1022" t="inlineStr">
        <is>
          <t>Mobile app for employees and managers</t>
        </is>
      </c>
      <c r="F1022" t="inlineStr">
        <is>
          <t>Shared kiosk for workers without phones</t>
        </is>
      </c>
      <c r="G1022" t="inlineStr">
        <is>
          <t>New</t>
        </is>
      </c>
      <c r="I1022">
        <f>IF(H1022&lt;&gt;"",H1022,G1022)</f>
        <v/>
      </c>
      <c r="J1022" t="inlineStr">
        <is>
          <t>Wave 2 · Mobile app</t>
        </is>
      </c>
      <c r="K1022" t="n">
        <v>3</v>
      </c>
      <c r="L1022" t="n">
        <v>1</v>
      </c>
      <c r="M1022" s="5" t="inlineStr">
        <is>
          <t>As a factory worker without a smartphone, I want to check in at a tablet with my code and PIN so that my attendance is recorded.</t>
        </is>
      </c>
      <c r="N1022" s="5" t="inlineStr">
        <is>
          <t>• Given HR registered a kiosk for a site, when a worker enters employee code + PIN or scans the ID-card QR, then the punch is saved with the kiosk id and location (M04 Q4).
• Given the worker is signed in, when they finish, then they see leave balance and payslip summary and the kiosk logs out after 30 s (M04 Q4).
• Given a kiosk stops sending heartbeats, when the limit passes, then HR is alerted (M04 Q4).</t>
        </is>
      </c>
      <c r="O1022" s="5" t="inlineStr"/>
      <c r="P1022" t="inlineStr">
        <is>
          <t>M04</t>
        </is>
      </c>
      <c r="Q1022" t="inlineStr">
        <is>
          <t>US-D-001</t>
        </is>
      </c>
      <c r="R1022" s="5" t="inlineStr"/>
    </row>
    <row r="1023">
      <c r="A1023" t="inlineStr">
        <is>
          <t>US-D-018</t>
        </is>
      </c>
      <c r="B1023" t="n">
        <v>832</v>
      </c>
      <c r="C1023" t="inlineStr">
        <is>
          <t>Story</t>
        </is>
      </c>
      <c r="D1023" s="5" t="inlineStr">
        <is>
          <t xml:space="preserve">        Worker applies for leave and sees request status at the kiosk</t>
        </is>
      </c>
      <c r="E1023" t="inlineStr">
        <is>
          <t>Mobile app for employees and managers</t>
        </is>
      </c>
      <c r="F1023" t="inlineStr">
        <is>
          <t>Shared kiosk for workers without phones</t>
        </is>
      </c>
      <c r="G1023" t="inlineStr">
        <is>
          <t>New</t>
        </is>
      </c>
      <c r="I1023">
        <f>IF(H1023&lt;&gt;"",H1023,G1023)</f>
        <v/>
      </c>
      <c r="J1023" t="inlineStr">
        <is>
          <t>Wave 2 · Mobile app</t>
        </is>
      </c>
      <c r="K1023" t="n">
        <v>3</v>
      </c>
      <c r="L1023" t="n">
        <v>1</v>
      </c>
      <c r="M1023" s="5" t="inlineStr">
        <is>
          <t>As a worker without the app, I want to apply for leave and see requests raised for me at the kiosk so that I am not left out.</t>
        </is>
      </c>
      <c r="N1023" s="5" t="inlineStr">
        <is>
          <t>• Given a worker signed in with code + PIN, when they pick a leave type and dates, then the request enters the normal P03 chain with channel 'kiosk' (YX-MOB-11).
• Given HR or the supervisor raised a request on the worker's behalf, when the worker signs in, then a banner shows it with its status (YX-MOB-11).
• Given a proxy request is decided, when the worker has no app, then they get an SMS or WhatsApp with no sensitive data (YX-MOB-11).
• Given the worker is idle, when the kiosk timeout passes, then the session logs out (YX-MOB-11).</t>
        </is>
      </c>
      <c r="O1023" s="5" t="inlineStr">
        <is>
          <t>YX-MOB-11</t>
        </is>
      </c>
      <c r="P1023" t="inlineStr">
        <is>
          <t>M04</t>
        </is>
      </c>
      <c r="Q1023" t="inlineStr">
        <is>
          <t>US-D-017</t>
        </is>
      </c>
      <c r="R1023" s="5" t="inlineStr"/>
    </row>
    <row r="1024">
      <c r="A1024" s="9" t="inlineStr">
        <is>
          <t>FT-D-005</t>
        </is>
      </c>
      <c r="B1024" s="9" t="n">
        <v>840</v>
      </c>
      <c r="C1024" s="9" t="inlineStr">
        <is>
          <t>Feature</t>
        </is>
      </c>
      <c r="D1024" s="10" t="inlineStr">
        <is>
          <t xml:space="preserve">    Store apps, Pay tab and non-employee app modes</t>
        </is>
      </c>
      <c r="E1024" s="9" t="inlineStr">
        <is>
          <t>Mobile app for employees and managers</t>
        </is>
      </c>
      <c r="F1024" s="9" t="inlineStr">
        <is>
          <t>Store apps, Pay tab and non-employee app modes</t>
        </is>
      </c>
      <c r="G1024" s="9" t="inlineStr">
        <is>
          <t>New</t>
        </is>
      </c>
      <c r="H1024" s="9" t="n"/>
      <c r="I1024" s="9">
        <f>IF(H1024&lt;&gt;"",H1024,G1024)</f>
        <v/>
      </c>
      <c r="J1024" s="9" t="inlineStr">
        <is>
          <t>Wave 3 · Mobile app</t>
        </is>
      </c>
      <c r="K1024" s="9" t="n"/>
      <c r="L1024" s="9" t="n"/>
      <c r="M1024" s="10" t="inlineStr"/>
      <c r="N1024" s="10" t="inlineStr"/>
      <c r="O1024" s="10" t="inlineStr"/>
      <c r="P1024" s="9" t="inlineStr">
        <is>
          <t>M04</t>
        </is>
      </c>
      <c r="Q1024" s="9" t="inlineStr"/>
      <c r="R1024" s="10" t="inlineStr"/>
      <c r="S1024" s="9" t="n"/>
    </row>
    <row r="1025">
      <c r="A1025" t="inlineStr">
        <is>
          <t>US-D-019</t>
        </is>
      </c>
      <c r="B1025" t="n">
        <v>841</v>
      </c>
      <c r="C1025" t="inlineStr">
        <is>
          <t>Story</t>
        </is>
      </c>
      <c r="D1025" s="5" t="inlineStr">
        <is>
          <t xml:space="preserve">        Employee installs the Android or iOS store app</t>
        </is>
      </c>
      <c r="E1025" t="inlineStr">
        <is>
          <t>Mobile app for employees and managers</t>
        </is>
      </c>
      <c r="F1025" t="inlineStr">
        <is>
          <t>Store apps, Pay tab and non-employee app modes</t>
        </is>
      </c>
      <c r="G1025" t="inlineStr">
        <is>
          <t>New</t>
        </is>
      </c>
      <c r="I1025">
        <f>IF(H1025&lt;&gt;"",H1025,G1025)</f>
        <v/>
      </c>
      <c r="J1025" t="inlineStr">
        <is>
          <t>Wave 3 · Mobile app</t>
        </is>
      </c>
      <c r="K1025" t="n">
        <v>5</v>
      </c>
      <c r="L1025" t="n">
        <v>1</v>
      </c>
      <c r="M1025" s="5" t="inlineStr">
        <is>
          <t>As an employee, I want the app from the Play Store or App Store so that push and fingerprint unlock work reliably.</t>
        </is>
      </c>
      <c r="N1025" s="5" t="inlineStr">
        <is>
          <t>• Given the Capacitor wrapper of the same code, when it is built, then Android and iOS store apps are published with native push (FCM / APNs) (M04 Q1).
• Given the store app, when the employee unlocks it, then native biometrics are used (M04 Q2).
• Given the store app and the PWA, when either is used, then they call the same API; only device registration and kiosk are mobile-only endpoints (M04 §6, YX-MOB-01).</t>
        </is>
      </c>
      <c r="O1025" s="5" t="inlineStr">
        <is>
          <t>YX-MOB-01</t>
        </is>
      </c>
      <c r="P1025" t="inlineStr">
        <is>
          <t>M04</t>
        </is>
      </c>
      <c r="Q1025" t="inlineStr">
        <is>
          <t>US-D-002</t>
        </is>
      </c>
      <c r="R1025" s="5" t="inlineStr"/>
    </row>
    <row r="1026">
      <c r="A1026" t="inlineStr">
        <is>
          <t>US-D-020</t>
        </is>
      </c>
      <c r="B1026" t="n">
        <v>842</v>
      </c>
      <c r="C1026" t="inlineStr">
        <is>
          <t>Story</t>
        </is>
      </c>
      <c r="D1026" s="5" t="inlineStr">
        <is>
          <t xml:space="preserve">        Employee views the payslip on the phone</t>
        </is>
      </c>
      <c r="E1026" t="inlineStr">
        <is>
          <t>Mobile app for employees and managers</t>
        </is>
      </c>
      <c r="F1026" t="inlineStr">
        <is>
          <t>Store apps, Pay tab and non-employee app modes</t>
        </is>
      </c>
      <c r="G1026" t="inlineStr">
        <is>
          <t>New</t>
        </is>
      </c>
      <c r="I1026">
        <f>IF(H1026&lt;&gt;"",H1026,G1026)</f>
        <v/>
      </c>
      <c r="J1026" t="inlineStr">
        <is>
          <t>Wave 3 · Mobile app</t>
        </is>
      </c>
      <c r="K1026" t="n">
        <v>3</v>
      </c>
      <c r="L1026" t="n">
        <v>1</v>
      </c>
      <c r="M1026" s="5" t="inlineStr">
        <is>
          <t>As an employee, I want to open my payslip after a push and see why each number is what it is so that I trust my pay.</t>
        </is>
      </c>
      <c r="N1026" s="5" t="inlineStr">
        <is>
          <t>• Given a payslip is published, when the push 'September payslip is ready' is tapped, then Pay opens after re-authentication (YX-MOB-07).
• Given the payslip viewer, when the employee taps a line, then the 'why this number' drawer explains it (M04 §6).
• Given the employee downloads the PDF, when it opens, then it carries the name and time watermark (YX-MOB-07).</t>
        </is>
      </c>
      <c r="O1026" s="5" t="inlineStr">
        <is>
          <t>YX-MOB-07</t>
        </is>
      </c>
      <c r="P1026" t="inlineStr">
        <is>
          <t>M04</t>
        </is>
      </c>
      <c r="Q1026" t="inlineStr">
        <is>
          <t>US-D-003, US-D-019</t>
        </is>
      </c>
      <c r="R1026" s="5" t="inlineStr"/>
    </row>
    <row r="1027">
      <c r="A1027" t="inlineStr">
        <is>
          <t>US-D-021</t>
        </is>
      </c>
      <c r="B1027" t="n">
        <v>843</v>
      </c>
      <c r="C1027" t="inlineStr">
        <is>
          <t>Story</t>
        </is>
      </c>
      <c r="D1027" s="5" t="inlineStr">
        <is>
          <t xml:space="preserve">        Candidate uses the candidate mode of the app</t>
        </is>
      </c>
      <c r="E1027" t="inlineStr">
        <is>
          <t>Mobile app for employees and managers</t>
        </is>
      </c>
      <c r="F1027" t="inlineStr">
        <is>
          <t>Store apps, Pay tab and non-employee app modes</t>
        </is>
      </c>
      <c r="G1027" t="inlineStr">
        <is>
          <t>New</t>
        </is>
      </c>
      <c r="I1027">
        <f>IF(H1027&lt;&gt;"",H1027,G1027)</f>
        <v/>
      </c>
      <c r="J1027" t="inlineStr">
        <is>
          <t>Wave 3 · Mobile app</t>
        </is>
      </c>
      <c r="K1027" t="n">
        <v>5</v>
      </c>
      <c r="L1027" t="n">
        <v>2</v>
      </c>
      <c r="M1027" s="5" t="inlineStr">
        <is>
          <t>As a candidate, I want a candidate mode of the app for my tests so that I can take Open or AI-only tests on my phone.</t>
        </is>
      </c>
      <c r="N1027" s="5" t="inlineStr">
        <is>
          <t>• Given a candidate signs in through the P02 external login, when the app opens, then only candidate screens show and never employee tabs (YX-MOB-17).
• Given a test in Open or AI-only mode, when the candidate starts it, then it runs in the app with camera checks (YX-MOB-17).
• Given a test needing the secure client or Record &amp; review / Live / screen monitoring, when the candidate tries to start it, then the app refuses and tells them to use a desktop (YX-MOB-17).</t>
        </is>
      </c>
      <c r="O1027" s="5" t="inlineStr">
        <is>
          <t>YX-MOB-17</t>
        </is>
      </c>
      <c r="P1027" t="inlineStr">
        <is>
          <t>M04, T03</t>
        </is>
      </c>
      <c r="Q1027" t="inlineStr">
        <is>
          <t>US-D-019</t>
        </is>
      </c>
      <c r="R1027" s="5" t="inlineStr"/>
    </row>
    <row r="1028">
      <c r="A1028" t="inlineStr">
        <is>
          <t>US-D-022</t>
        </is>
      </c>
      <c r="B1028" t="n">
        <v>844</v>
      </c>
      <c r="C1028" t="inlineStr">
        <is>
          <t>Story</t>
        </is>
      </c>
      <c r="D1028" s="5" t="inlineStr">
        <is>
          <t xml:space="preserve">        Invigilator runs roll call in the invigilator mode</t>
        </is>
      </c>
      <c r="E1028" t="inlineStr">
        <is>
          <t>Mobile app for employees and managers</t>
        </is>
      </c>
      <c r="F1028" t="inlineStr">
        <is>
          <t>Store apps, Pay tab and non-employee app modes</t>
        </is>
      </c>
      <c r="G1028" t="inlineStr">
        <is>
          <t>New</t>
        </is>
      </c>
      <c r="I1028">
        <f>IF(H1028&lt;&gt;"",H1028,G1028)</f>
        <v/>
      </c>
      <c r="J1028" t="inlineStr">
        <is>
          <t>Wave 3 · Mobile app</t>
        </is>
      </c>
      <c r="K1028" t="n">
        <v>5</v>
      </c>
      <c r="L1028" t="n">
        <v>2</v>
      </c>
      <c r="M1028" s="5" t="inlineStr">
        <is>
          <t>As an invigilator, I want an invigilator mode for my centre session so that I can check candidates in, even offline.</t>
        </is>
      </c>
      <c r="N1028" s="5" t="inlineStr">
        <is>
          <t>• Given an invigilator signs in with a device-bound passkey, when the app opens, then only their assigned centre session is available (YX-MOB-17).
• Given roll call, when they scan an admit-card QR and check the photo ID, then the seat is confirmed and an incident can be logged (YX-MOB-17).
• Given check-in photos were taken, when they sync to the server, then they are removed from the device (YX-MOB-17).</t>
        </is>
      </c>
      <c r="O1028" s="5" t="inlineStr">
        <is>
          <t>YX-MOB-17</t>
        </is>
      </c>
      <c r="P1028" t="inlineStr">
        <is>
          <t>M04, T03</t>
        </is>
      </c>
      <c r="Q1028" t="inlineStr">
        <is>
          <t>US-D-019</t>
        </is>
      </c>
      <c r="R1028" s="5" t="inlineStr"/>
    </row>
    <row r="1029">
      <c r="A1029" s="9" t="inlineStr">
        <is>
          <t>FT-D-057</t>
        </is>
      </c>
      <c r="B1029" s="9" t="n">
        <v>1430</v>
      </c>
      <c r="C1029" s="9" t="inlineStr">
        <is>
          <t>Feature</t>
        </is>
      </c>
      <c r="D1029" s="10" t="inlineStr">
        <is>
          <t xml:space="preserve">    Field force and pay-early on the phone</t>
        </is>
      </c>
      <c r="E1029" s="9" t="inlineStr">
        <is>
          <t>Mobile app for employees and managers</t>
        </is>
      </c>
      <c r="F1029" s="9" t="inlineStr">
        <is>
          <t>Field force and pay-early on the phone</t>
        </is>
      </c>
      <c r="G1029" s="9" t="inlineStr">
        <is>
          <t>New</t>
        </is>
      </c>
      <c r="H1029" s="9" t="n"/>
      <c r="I1029" s="9">
        <f>IF(H1029&lt;&gt;"",H1029,G1029)</f>
        <v/>
      </c>
      <c r="J1029" s="9" t="inlineStr">
        <is>
          <t>Wave 5 · Mobile app</t>
        </is>
      </c>
      <c r="K1029" s="9" t="n"/>
      <c r="L1029" s="9" t="n"/>
      <c r="M1029" s="10" t="inlineStr"/>
      <c r="N1029" s="10" t="inlineStr"/>
      <c r="O1029" s="10" t="inlineStr"/>
      <c r="P1029" s="9" t="inlineStr">
        <is>
          <t>M04, M02, M03</t>
        </is>
      </c>
      <c r="Q1029" s="9" t="inlineStr"/>
      <c r="R1029" s="10" t="inlineStr"/>
      <c r="S1029" s="9" t="n"/>
    </row>
    <row r="1030">
      <c r="A1030" t="inlineStr">
        <is>
          <t>US-D-246</t>
        </is>
      </c>
      <c r="B1030" t="n">
        <v>1431</v>
      </c>
      <c r="C1030" t="inlineStr">
        <is>
          <t>Story</t>
        </is>
      </c>
      <c r="D1030" s="5" t="inlineStr">
        <is>
          <t xml:space="preserve">        Field employee is tracked only on duty after consent</t>
        </is>
      </c>
      <c r="E1030" t="inlineStr">
        <is>
          <t>Mobile app for employees and managers</t>
        </is>
      </c>
      <c r="F1030" t="inlineStr">
        <is>
          <t>Field force and pay-early on the phone</t>
        </is>
      </c>
      <c r="G1030" t="inlineStr">
        <is>
          <t>New</t>
        </is>
      </c>
      <c r="I1030">
        <f>IF(H1030&lt;&gt;"",H1030,G1030)</f>
        <v/>
      </c>
      <c r="J1030" t="inlineStr">
        <is>
          <t>Wave 5 · Mobile app</t>
        </is>
      </c>
      <c r="K1030" t="n">
        <v>5</v>
      </c>
      <c r="L1030" t="n">
        <v>2</v>
      </c>
      <c r="M1030" s="5" t="inlineStr">
        <is>
          <t>As a field sales employee, I want location tracking only during duty and only after I agree so that my privacy is respected.</t>
        </is>
      </c>
      <c r="N1030" s="5" t="inlineStr">
        <is>
          <t>• Given the store app, when the employee first uses field duty, then a consent sheet and the OS permission are both needed before tracking (YX-MOB-13).
• Given duty check-in, when tracking runs, then a persistent OS notification 'YukthiX · Tracking on (duty)' and a 'Tracking on' chip show (YX-MOB-13).
• Given check-out, shift end + grace or consent withdrawal, when it happens, then tracking stops at once and no location is requested after (YX-MOB-13).
• Given the PWA, when used for field duty, then points are recorded only while it is open and it says so (YX-MOB-13).</t>
        </is>
      </c>
      <c r="O1030" s="5" t="inlineStr">
        <is>
          <t>YX-MOB-13</t>
        </is>
      </c>
      <c r="P1030" t="inlineStr">
        <is>
          <t>M04, M02, M03</t>
        </is>
      </c>
      <c r="Q1030" t="inlineStr">
        <is>
          <t>US-D-019, US-D-009</t>
        </is>
      </c>
      <c r="R1030" s="5" t="inlineStr"/>
    </row>
    <row r="1031">
      <c r="A1031" t="inlineStr">
        <is>
          <t>US-D-247</t>
        </is>
      </c>
      <c r="B1031" t="n">
        <v>1432</v>
      </c>
      <c r="C1031" t="inlineStr">
        <is>
          <t>Story</t>
        </is>
      </c>
      <c r="D1031" s="5" t="inlineStr">
        <is>
          <t xml:space="preserve">        Field employee checks in and out of planned visits</t>
        </is>
      </c>
      <c r="E1031" t="inlineStr">
        <is>
          <t>Mobile app for employees and managers</t>
        </is>
      </c>
      <c r="F1031" t="inlineStr">
        <is>
          <t>Field force and pay-early on the phone</t>
        </is>
      </c>
      <c r="G1031" t="inlineStr">
        <is>
          <t>New</t>
        </is>
      </c>
      <c r="I1031">
        <f>IF(H1031&lt;&gt;"",H1031,G1031)</f>
        <v/>
      </c>
      <c r="J1031" t="inlineStr">
        <is>
          <t>Wave 5 · Mobile app</t>
        </is>
      </c>
      <c r="K1031" t="n">
        <v>5</v>
      </c>
      <c r="L1031" t="n">
        <v>2</v>
      </c>
      <c r="M1031" s="5" t="inlineStr">
        <is>
          <t>As a field employee, I want my beat plan and visit check-in with a photo so that my visits are recorded.</t>
        </is>
      </c>
      <c r="N1031" s="5" t="inlineStr">
        <is>
          <t>• Given today's beat plan, when the employee opens Time, then planned visits show (M04 §3.1).
• Given a visit, when the employee checks in, then the photo is camera-only (no gallery) and stamped with time and location (YX-MOB-13).
• Given the day ends, when distance is computed, then a draft mileage line goes to Pay › Expenses (YX-EXP-16).
• Given a manager, when they open the Team segment, then the field team map shows during duty time only (M04 §3.1).</t>
        </is>
      </c>
      <c r="O1031" s="5" t="inlineStr">
        <is>
          <t>YX-MOB-13, YX-EXP-16</t>
        </is>
      </c>
      <c r="P1031" t="inlineStr">
        <is>
          <t>M04, M02, M03</t>
        </is>
      </c>
      <c r="Q1031" t="inlineStr">
        <is>
          <t>US-D-246, US-D-155</t>
        </is>
      </c>
      <c r="R1031" s="5" t="inlineStr"/>
    </row>
    <row r="1032">
      <c r="A1032" t="inlineStr">
        <is>
          <t>US-D-248</t>
        </is>
      </c>
      <c r="B1032" t="n">
        <v>1433</v>
      </c>
      <c r="C1032" t="inlineStr">
        <is>
          <t>Story</t>
        </is>
      </c>
      <c r="D1032" s="5" t="inlineStr">
        <is>
          <t xml:space="preserve">        Employee draws pay early with the fee shown first</t>
        </is>
      </c>
      <c r="E1032" t="inlineStr">
        <is>
          <t>Mobile app for employees and managers</t>
        </is>
      </c>
      <c r="F1032" t="inlineStr">
        <is>
          <t>Field force and pay-early on the phone</t>
        </is>
      </c>
      <c r="G1032" t="inlineStr">
        <is>
          <t>New</t>
        </is>
      </c>
      <c r="I1032">
        <f>IF(H1032&lt;&gt;"",H1032,G1032)</f>
        <v/>
      </c>
      <c r="J1032" t="inlineStr">
        <is>
          <t>Wave 5 · Mobile app</t>
        </is>
      </c>
      <c r="K1032" t="n">
        <v>3</v>
      </c>
      <c r="L1032" t="n">
        <v>2</v>
      </c>
      <c r="M1032" s="5" t="inlineStr">
        <is>
          <t>As an employee, I want to see the amount, fee and recovery month before I draw pay early so that there are no surprises.</t>
        </is>
      </c>
      <c r="N1032" s="5" t="inlineStr">
        <is>
          <t>• Given Pay › Get paid early, when opened, then re-authentication is required (YX-MOB-14).
• Given the screen, when shown, then available amount, fee in rupees, who pays it and the recovery payroll month appear before the confirm button (YX-MOB-14).
• Given a draw, when processed, then its status shows until recovered, and the push says only 'your request was processed' (YX-MOB-14).</t>
        </is>
      </c>
      <c r="O1032" s="5" t="inlineStr">
        <is>
          <t>YX-MOB-14</t>
        </is>
      </c>
      <c r="P1032" t="inlineStr">
        <is>
          <t>M04, M02, M03</t>
        </is>
      </c>
      <c r="Q1032" t="inlineStr">
        <is>
          <t>US-D-020</t>
        </is>
      </c>
      <c r="R1032" s="5" t="inlineStr"/>
    </row>
    <row r="1033">
      <c r="A1033" t="inlineStr">
        <is>
          <t>US-D-249</t>
        </is>
      </c>
      <c r="B1033" t="n">
        <v>1434</v>
      </c>
      <c r="C1033" t="inlineStr">
        <is>
          <t>Story</t>
        </is>
      </c>
      <c r="D1033" s="5" t="inlineStr">
        <is>
          <t xml:space="preserve">        Employee asks the WhatsApp assistant simple questions</t>
        </is>
      </c>
      <c r="E1033" t="inlineStr">
        <is>
          <t>Mobile app for employees and managers</t>
        </is>
      </c>
      <c r="F1033" t="inlineStr">
        <is>
          <t>Field force and pay-early on the phone</t>
        </is>
      </c>
      <c r="G1033" t="inlineStr">
        <is>
          <t>New</t>
        </is>
      </c>
      <c r="I1033">
        <f>IF(H1033&lt;&gt;"",H1033,G1033)</f>
        <v/>
      </c>
      <c r="J1033" t="inlineStr">
        <is>
          <t>Wave 5 · Mobile app</t>
        </is>
      </c>
      <c r="K1033" t="n">
        <v>5</v>
      </c>
      <c r="L1033" t="n">
        <v>3</v>
      </c>
      <c r="M1033" s="5" t="inlineStr">
        <is>
          <t>As an employee, I want to ask my leave balance or a policy on WhatsApp so that I get quick answers.</t>
        </is>
      </c>
      <c r="N1033" s="5" t="inlineStr">
        <is>
          <t>• Given a message from a verified employee mobile, when it asks for leave balance, holidays or a policy, then the assistant answers on the company number (M04 Q6).
• Given a payslip, salary or ID question, when asked, then the reply is an in-app link only (M04 Q6).
• Given 'apply leave', when asked, then the assistant starts it and the employee confirms in-app by OTP link (M04 Q6).
• Given an unknown number, when it messages, then nothing personal is answered (M04 Q6).</t>
        </is>
      </c>
      <c r="O1033" s="5" t="inlineStr"/>
      <c r="P1033" t="inlineStr">
        <is>
          <t>M04, M02, M03</t>
        </is>
      </c>
      <c r="Q1033" t="inlineStr">
        <is>
          <t>US-D-013</t>
        </is>
      </c>
      <c r="R1033" s="5" t="inlineStr"/>
    </row>
    <row r="1034">
      <c r="A1034" s="9" t="inlineStr">
        <is>
          <t>FT-D-058</t>
        </is>
      </c>
      <c r="B1034" s="9" t="n">
        <v>1465</v>
      </c>
      <c r="C1034" s="9" t="inlineStr">
        <is>
          <t>Feature</t>
        </is>
      </c>
      <c r="D1034" s="10" t="inlineStr">
        <is>
          <t xml:space="preserve">    Open shifts, visitors and WFH presence on the phone</t>
        </is>
      </c>
      <c r="E1034" s="9" t="inlineStr">
        <is>
          <t>Mobile app for employees and managers</t>
        </is>
      </c>
      <c r="F1034" s="9" t="inlineStr">
        <is>
          <t>Open shifts, visitors and WFH presence on the phone</t>
        </is>
      </c>
      <c r="G1034" s="9" t="inlineStr">
        <is>
          <t>New</t>
        </is>
      </c>
      <c r="H1034" s="9" t="n"/>
      <c r="I1034" s="9">
        <f>IF(H1034&lt;&gt;"",H1034,G1034)</f>
        <v/>
      </c>
      <c r="J1034" s="9" t="inlineStr">
        <is>
          <t>Wave 6 · Mobile app</t>
        </is>
      </c>
      <c r="K1034" s="9" t="n"/>
      <c r="L1034" s="9" t="n"/>
      <c r="M1034" s="10" t="inlineStr"/>
      <c r="N1034" s="10" t="inlineStr"/>
      <c r="O1034" s="10" t="inlineStr"/>
      <c r="P1034" s="9" t="inlineStr">
        <is>
          <t>M04, M02</t>
        </is>
      </c>
      <c r="Q1034" s="9" t="inlineStr"/>
      <c r="R1034" s="10" t="inlineStr"/>
      <c r="S1034" s="9" t="n"/>
    </row>
    <row r="1035">
      <c r="A1035" t="inlineStr">
        <is>
          <t>US-D-250</t>
        </is>
      </c>
      <c r="B1035" t="n">
        <v>1466</v>
      </c>
      <c r="C1035" t="inlineStr">
        <is>
          <t>Story</t>
        </is>
      </c>
      <c r="D1035" s="5" t="inlineStr">
        <is>
          <t xml:space="preserve">        Employee claims open shifts and bids for shifts</t>
        </is>
      </c>
      <c r="E1035" t="inlineStr">
        <is>
          <t>Mobile app for employees and managers</t>
        </is>
      </c>
      <c r="F1035" t="inlineStr">
        <is>
          <t>Open shifts, visitors and WFH presence on the phone</t>
        </is>
      </c>
      <c r="G1035" t="inlineStr">
        <is>
          <t>New</t>
        </is>
      </c>
      <c r="I1035">
        <f>IF(H1035&lt;&gt;"",H1035,G1035)</f>
        <v/>
      </c>
      <c r="J1035" t="inlineStr">
        <is>
          <t>Wave 6 · Mobile app</t>
        </is>
      </c>
      <c r="K1035" t="n">
        <v>5</v>
      </c>
      <c r="L1035" t="n">
        <v>3</v>
      </c>
      <c r="M1035" s="5" t="inlineStr">
        <is>
          <t>As a nurse, I want to see open shifts I'm eligible for and claim them so that I can pick up extra work.</t>
        </is>
      </c>
      <c r="N1035" s="5" t="inlineStr">
        <is>
          <t>• Given open shifts, when the list loads, then only shifts the server finds eligible (skill, pool, conflicts, rest, hour caps) show (YX-MOB-15).
• Given a claim, when made, then it shows 'Claimed · awaiting manager' and never assigns the shift until the award rule and approval complete (YX-MOB-15).
• Given a bid window, when open, then the employee ranks preferences and days off and later sees the award (YX-MOB-15).
• Given a manager, when they open Requests, then roster, claim and bid approval cards show (M04 §3.1).</t>
        </is>
      </c>
      <c r="O1035" s="5" t="inlineStr">
        <is>
          <t>YX-MOB-15</t>
        </is>
      </c>
      <c r="P1035" t="inlineStr">
        <is>
          <t>M04, M02</t>
        </is>
      </c>
      <c r="Q1035" t="inlineStr">
        <is>
          <t>US-D-014</t>
        </is>
      </c>
      <c r="R1035" s="5" t="inlineStr"/>
    </row>
    <row r="1036">
      <c r="A1036" t="inlineStr">
        <is>
          <t>US-D-251</t>
        </is>
      </c>
      <c r="B1036" t="n">
        <v>1467</v>
      </c>
      <c r="C1036" t="inlineStr">
        <is>
          <t>Story</t>
        </is>
      </c>
      <c r="D1036" s="5" t="inlineStr">
        <is>
          <t xml:space="preserve">        Host approves a walk-in visitor from a push</t>
        </is>
      </c>
      <c r="E1036" t="inlineStr">
        <is>
          <t>Mobile app for employees and managers</t>
        </is>
      </c>
      <c r="F1036" t="inlineStr">
        <is>
          <t>Open shifts, visitors and WFH presence on the phone</t>
        </is>
      </c>
      <c r="G1036" t="inlineStr">
        <is>
          <t>New</t>
        </is>
      </c>
      <c r="I1036">
        <f>IF(H1036&lt;&gt;"",H1036,G1036)</f>
        <v/>
      </c>
      <c r="J1036" t="inlineStr">
        <is>
          <t>Wave 6 · Mobile app</t>
        </is>
      </c>
      <c r="K1036" t="n">
        <v>3</v>
      </c>
      <c r="L1036" t="n">
        <v>3</v>
      </c>
      <c r="M1036" s="5" t="inlineStr">
        <is>
          <t>As an employee host, I want a push with the visitor's photo and purpose so that I can approve in one tap.</t>
        </is>
      </c>
      <c r="N1036" s="5" t="inlineStr">
        <is>
          <t>• Given a walk-in for Ravi, when reception registers it, then Ravi gets an approval card with photo, name, company, purpose and location (YX-MOB-16).
• Given Ravi taps approve, reject or 'send someone', when done, then the decision is recorded in one tap (YX-MOB-16).
• Given no decision within the company timeout, when it passes, then the request returns to reception (YX-MOB-16).
• Given the decision is made, when Ravi checks his phone, then the visitor photo is gone (YX-MOB-16).</t>
        </is>
      </c>
      <c r="O1036" s="5" t="inlineStr">
        <is>
          <t>YX-MOB-16</t>
        </is>
      </c>
      <c r="P1036" t="inlineStr">
        <is>
          <t>M04, M02</t>
        </is>
      </c>
      <c r="Q1036" t="inlineStr">
        <is>
          <t>US-D-014</t>
        </is>
      </c>
      <c r="R1036" s="5" t="inlineStr"/>
    </row>
    <row r="1037">
      <c r="A1037" t="inlineStr">
        <is>
          <t>US-D-252</t>
        </is>
      </c>
      <c r="B1037" t="n">
        <v>1468</v>
      </c>
      <c r="C1037" t="inlineStr">
        <is>
          <t>Story</t>
        </is>
      </c>
      <c r="D1037" s="5" t="inlineStr">
        <is>
          <t xml:space="preserve">        Employee sees what WFH presence recorded today</t>
        </is>
      </c>
      <c r="E1037" t="inlineStr">
        <is>
          <t>Mobile app for employees and managers</t>
        </is>
      </c>
      <c r="F1037" t="inlineStr">
        <is>
          <t>Open shifts, visitors and WFH presence on the phone</t>
        </is>
      </c>
      <c r="G1037" t="inlineStr">
        <is>
          <t>New</t>
        </is>
      </c>
      <c r="I1037">
        <f>IF(H1037&lt;&gt;"",H1037,G1037)</f>
        <v/>
      </c>
      <c r="J1037" t="inlineStr">
        <is>
          <t>Wave 6 · Mobile app</t>
        </is>
      </c>
      <c r="K1037" t="n">
        <v>2</v>
      </c>
      <c r="L1037" t="n">
        <v>3</v>
      </c>
      <c r="M1037" s="5" t="inlineStr">
        <is>
          <t>As a work-from-home employee, I want to consent and see what was recorded today so that nothing is hidden from me.</t>
        </is>
      </c>
      <c r="N1037" s="5" t="inlineStr">
        <is>
          <t>• Given WFH presence is on, when the employee first opens it, then a consent sheet is shown (M04 §3.1).
• Given consent, when the day goes on, then the employee sees first / last active and active hours recorded today (M04 §3.1).
• Given consent is withdrawn, when it happens, then recording stops (M04 §3.1).</t>
        </is>
      </c>
      <c r="O1037" s="5" t="inlineStr"/>
      <c r="P1037" t="inlineStr">
        <is>
          <t>M04, M02</t>
        </is>
      </c>
      <c r="Q1037" t="inlineStr">
        <is>
          <t>US-D-001</t>
        </is>
      </c>
      <c r="R1037" s="5" t="inlineStr"/>
    </row>
    <row r="1038">
      <c r="A1038" s="7" t="inlineStr">
        <is>
          <t>EP-D-02</t>
        </is>
      </c>
      <c r="B1038" s="7" t="n">
        <v>850</v>
      </c>
      <c r="C1038" s="7" t="inlineStr">
        <is>
          <t>Epic</t>
        </is>
      </c>
      <c r="D1038" s="8" t="inlineStr">
        <is>
          <t>Benefits administration and flexible benefit plan</t>
        </is>
      </c>
      <c r="E1038" s="7" t="inlineStr">
        <is>
          <t>Benefits administration and flexible benefit plan</t>
        </is>
      </c>
      <c r="F1038" s="7" t="inlineStr"/>
      <c r="G1038" s="7" t="inlineStr">
        <is>
          <t>New</t>
        </is>
      </c>
      <c r="H1038" s="7" t="n"/>
      <c r="I1038" s="7">
        <f>IF(H1038&lt;&gt;"",H1038,G1038)</f>
        <v/>
      </c>
      <c r="J1038" s="7" t="inlineStr">
        <is>
          <t>Wave 3 · Benefits</t>
        </is>
      </c>
      <c r="K1038" s="7" t="n"/>
      <c r="L1038" s="7" t="n"/>
      <c r="M1038" s="8" t="inlineStr"/>
      <c r="N1038" s="8" t="inlineStr"/>
      <c r="O1038" s="8" t="inlineStr"/>
      <c r="P1038" s="7" t="inlineStr">
        <is>
          <t>M11</t>
        </is>
      </c>
      <c r="Q1038" s="7" t="inlineStr"/>
      <c r="R1038" s="8" t="inlineStr"/>
      <c r="S1038" s="7" t="n"/>
    </row>
    <row r="1039">
      <c r="A1039" s="9" t="inlineStr">
        <is>
          <t>FT-D-006</t>
        </is>
      </c>
      <c r="B1039" s="9" t="n">
        <v>850</v>
      </c>
      <c r="C1039" s="9" t="inlineStr">
        <is>
          <t>Feature</t>
        </is>
      </c>
      <c r="D1039" s="10" t="inlineStr">
        <is>
          <t xml:space="preserve">    Benefit plans and policies</t>
        </is>
      </c>
      <c r="E1039" s="9" t="inlineStr">
        <is>
          <t>Benefits administration and flexible benefit plan</t>
        </is>
      </c>
      <c r="F1039" s="9" t="inlineStr">
        <is>
          <t>Benefit plans and policies</t>
        </is>
      </c>
      <c r="G1039" s="9" t="inlineStr">
        <is>
          <t>New</t>
        </is>
      </c>
      <c r="H1039" s="9" t="n"/>
      <c r="I1039" s="9">
        <f>IF(H1039&lt;&gt;"",H1039,G1039)</f>
        <v/>
      </c>
      <c r="J1039" s="9" t="inlineStr">
        <is>
          <t>Wave 3 · Benefits</t>
        </is>
      </c>
      <c r="K1039" s="9" t="n"/>
      <c r="L1039" s="9" t="n"/>
      <c r="M1039" s="10" t="inlineStr"/>
      <c r="N1039" s="10" t="inlineStr"/>
      <c r="O1039" s="10" t="inlineStr"/>
      <c r="P1039" s="9" t="inlineStr">
        <is>
          <t>M11</t>
        </is>
      </c>
      <c r="Q1039" s="9" t="inlineStr"/>
      <c r="R1039" s="10" t="inlineStr"/>
      <c r="S1039" s="9" t="n"/>
    </row>
    <row r="1040">
      <c r="A1040" t="inlineStr">
        <is>
          <t>US-D-023</t>
        </is>
      </c>
      <c r="B1040" t="n">
        <v>851</v>
      </c>
      <c r="C1040" t="inlineStr">
        <is>
          <t>Story</t>
        </is>
      </c>
      <c r="D1040" s="5" t="inlineStr">
        <is>
          <t xml:space="preserve">        Benefits admin sets up plans from starter templates</t>
        </is>
      </c>
      <c r="E1040" t="inlineStr">
        <is>
          <t>Benefits administration and flexible benefit plan</t>
        </is>
      </c>
      <c r="F1040" t="inlineStr">
        <is>
          <t>Benefit plans and policies</t>
        </is>
      </c>
      <c r="G1040" t="inlineStr">
        <is>
          <t>New</t>
        </is>
      </c>
      <c r="I1040">
        <f>IF(H1040&lt;&gt;"",H1040,G1040)</f>
        <v/>
      </c>
      <c r="J1040" t="inlineStr">
        <is>
          <t>Wave 3 · Benefits</t>
        </is>
      </c>
      <c r="K1040" t="n">
        <v>5</v>
      </c>
      <c r="L1040" t="n">
        <v>1</v>
      </c>
      <c r="M1040" s="5" t="inlineStr">
        <is>
          <t>As a benefits admin, I want to create insurance, FBP and NPS plans from starter templates so that we can offer benefits quickly.</t>
        </is>
      </c>
      <c r="N1040" s="5" t="inlineStr">
        <is>
          <t>• Given the Benefits setup card, when the admin starts, then starter templates are offered (GMC 3 L family floater, GPA, GTL, FBP heads, NPS) and clearly labelled as starters (YX-BEN-01).
• Given a plan, when the admin sets eligibility (entity, grade, employment type, tenure) and cost sharing, then it is saved as a company policy with a dated plan year (YX-BEN-01).
• Given a limit above a P07 legal cap, when the admin saves it, then it is refused with the cap shown (YX-BEN-01).
• Given plan options (sum insured, top-up, member type), when saved, then each shows the employer and employee premium share (M11 §4).</t>
        </is>
      </c>
      <c r="O1040" s="5" t="inlineStr">
        <is>
          <t>YX-BEN-01</t>
        </is>
      </c>
      <c r="P1040" t="inlineStr">
        <is>
          <t>M11</t>
        </is>
      </c>
      <c r="Q1040" t="inlineStr"/>
      <c r="R1040" s="5" t="inlineStr"/>
    </row>
    <row r="1041">
      <c r="A1041" t="inlineStr">
        <is>
          <t>US-D-024</t>
        </is>
      </c>
      <c r="B1041" t="n">
        <v>852</v>
      </c>
      <c r="C1041" t="inlineStr">
        <is>
          <t>Story</t>
        </is>
      </c>
      <c r="D1041" s="5" t="inlineStr">
        <is>
          <t xml:space="preserve">        HR adds its own benefit to the catalogue</t>
        </is>
      </c>
      <c r="E1041" t="inlineStr">
        <is>
          <t>Benefits administration and flexible benefit plan</t>
        </is>
      </c>
      <c r="F1041" t="inlineStr">
        <is>
          <t>Benefit plans and policies</t>
        </is>
      </c>
      <c r="G1041" t="inlineStr">
        <is>
          <t>New</t>
        </is>
      </c>
      <c r="I1041">
        <f>IF(H1041&lt;&gt;"",H1041,G1041)</f>
        <v/>
      </c>
      <c r="J1041" t="inlineStr">
        <is>
          <t>Wave 3 · Benefits</t>
        </is>
      </c>
      <c r="K1041" t="n">
        <v>3</v>
      </c>
      <c r="L1041" t="n">
        <v>2</v>
      </c>
      <c r="M1041" s="5" t="inlineStr">
        <is>
          <t>As an HR admin, I want to add our own benefits like gym or childcare so that we don't need custom work.</t>
        </is>
      </c>
      <c r="N1041" s="5" t="inlineStr">
        <is>
          <t>• Given the generic catalogue, when HR creates a benefit of type 'other', then they choose eligibility, cost sharing and treatment (payroll, claim with bills, vendor payment) (YX-BEN-11).
• Given a tax treatment, when HR picks it, then only P07 categories can be chosen (YX-BEN-11).
• Given a custom benefit, when employees enrol, then it shows in enrolment, the benefit statement and cost reports like built-in ones (YX-BEN-11).</t>
        </is>
      </c>
      <c r="O1041" s="5" t="inlineStr">
        <is>
          <t>YX-BEN-11</t>
        </is>
      </c>
      <c r="P1041" t="inlineStr">
        <is>
          <t>M11</t>
        </is>
      </c>
      <c r="Q1041" t="inlineStr">
        <is>
          <t>US-D-023</t>
        </is>
      </c>
      <c r="R1041" s="5" t="inlineStr"/>
    </row>
    <row r="1042">
      <c r="A1042" s="9" t="inlineStr">
        <is>
          <t>FT-D-007</t>
        </is>
      </c>
      <c r="B1042" s="9" t="n">
        <v>860</v>
      </c>
      <c r="C1042" s="9" t="inlineStr">
        <is>
          <t>Feature</t>
        </is>
      </c>
      <c r="D1042" s="10" t="inlineStr">
        <is>
          <t xml:space="preserve">    Insurance enrolment and endorsements</t>
        </is>
      </c>
      <c r="E1042" s="9" t="inlineStr">
        <is>
          <t>Benefits administration and flexible benefit plan</t>
        </is>
      </c>
      <c r="F1042" s="9" t="inlineStr">
        <is>
          <t>Insurance enrolment and endorsements</t>
        </is>
      </c>
      <c r="G1042" s="9" t="inlineStr">
        <is>
          <t>New</t>
        </is>
      </c>
      <c r="H1042" s="9" t="n"/>
      <c r="I1042" s="9">
        <f>IF(H1042&lt;&gt;"",H1042,G1042)</f>
        <v/>
      </c>
      <c r="J1042" s="9" t="inlineStr">
        <is>
          <t>Wave 3 · Benefits</t>
        </is>
      </c>
      <c r="K1042" s="9" t="n"/>
      <c r="L1042" s="9" t="n"/>
      <c r="M1042" s="10" t="inlineStr"/>
      <c r="N1042" s="10" t="inlineStr"/>
      <c r="O1042" s="10" t="inlineStr"/>
      <c r="P1042" s="9" t="inlineStr">
        <is>
          <t>M11, M01</t>
        </is>
      </c>
      <c r="Q1042" s="9" t="inlineStr"/>
      <c r="R1042" s="10" t="inlineStr"/>
      <c r="S1042" s="9" t="n"/>
    </row>
    <row r="1043">
      <c r="A1043" t="inlineStr">
        <is>
          <t>US-D-025</t>
        </is>
      </c>
      <c r="B1043" t="n">
        <v>861</v>
      </c>
      <c r="C1043" t="inlineStr">
        <is>
          <t>Story</t>
        </is>
      </c>
      <c r="D1043" s="5" t="inlineStr">
        <is>
          <t xml:space="preserve">        HR opens an enrolment window</t>
        </is>
      </c>
      <c r="E1043" t="inlineStr">
        <is>
          <t>Benefits administration and flexible benefit plan</t>
        </is>
      </c>
      <c r="F1043" t="inlineStr">
        <is>
          <t>Insurance enrolment and endorsements</t>
        </is>
      </c>
      <c r="G1043" t="inlineStr">
        <is>
          <t>New</t>
        </is>
      </c>
      <c r="I1043">
        <f>IF(H1043&lt;&gt;"",H1043,G1043)</f>
        <v/>
      </c>
      <c r="J1043" t="inlineStr">
        <is>
          <t>Wave 3 · Benefits</t>
        </is>
      </c>
      <c r="K1043" t="n">
        <v>3</v>
      </c>
      <c r="L1043" t="n">
        <v>1</v>
      </c>
      <c r="M1043" s="5" t="inlineStr">
        <is>
          <t>As a benefits admin, I want to open enrolment windows so that employees enrol only at the right time.</t>
        </is>
      </c>
      <c r="N1043" s="5" t="inlineStr">
        <is>
          <t>• Given an open-enrolment window, when it opens, then eligible employees are notified (YX-BEN-02).
• Given a joiner, when they join, then a joining window opens with the policy deadline (starter 30 days) (YX-BEN-02).
• Given no window is open, when an employee tries to change coverage, then it is refused; only HR can change it, with a reason (YX-BEN-02).</t>
        </is>
      </c>
      <c r="O1043" s="5" t="inlineStr">
        <is>
          <t>YX-BEN-02</t>
        </is>
      </c>
      <c r="P1043" t="inlineStr">
        <is>
          <t>M11, M01</t>
        </is>
      </c>
      <c r="Q1043" t="inlineStr">
        <is>
          <t>US-D-023</t>
        </is>
      </c>
      <c r="R1043" s="5" t="inlineStr"/>
    </row>
    <row r="1044">
      <c r="A1044" t="inlineStr">
        <is>
          <t>US-D-026</t>
        </is>
      </c>
      <c r="B1044" t="n">
        <v>862</v>
      </c>
      <c r="C1044" t="inlineStr">
        <is>
          <t>Story</t>
        </is>
      </c>
      <c r="D1044" s="5" t="inlineStr">
        <is>
          <t xml:space="preserve">        Employee enrols with dependants and sees the premium</t>
        </is>
      </c>
      <c r="E1044" t="inlineStr">
        <is>
          <t>Benefits administration and flexible benefit plan</t>
        </is>
      </c>
      <c r="F1044" t="inlineStr">
        <is>
          <t>Insurance enrolment and endorsements</t>
        </is>
      </c>
      <c r="G1044" t="inlineStr">
        <is>
          <t>New</t>
        </is>
      </c>
      <c r="I1044">
        <f>IF(H1044&lt;&gt;"",H1044,G1044)</f>
        <v/>
      </c>
      <c r="J1044" t="inlineStr">
        <is>
          <t>Wave 3 · Benefits</t>
        </is>
      </c>
      <c r="K1044" t="n">
        <v>5</v>
      </c>
      <c r="L1044" t="n">
        <v>1</v>
      </c>
      <c r="M1044" s="5" t="inlineStr">
        <is>
          <t>As an employee, I want to choose a plan option and add my family so that they are covered.</t>
        </is>
      </c>
      <c r="N1044" s="5" t="inlineStr">
        <is>
          <t>• Given an open window, when the employee chooses an option, then dependants are picked from their M01 family list (YX-BEN-02).
• Given the choice, when it is shown, then the employee sees their premium share and the 80D tax effect before confirming (YX-BEN-04).
• Given the employee confirms, when the enrolment is saved, then an endorsement is created and the e-card appears in Me › Benefits once issued (YX-BEN-03).
• Given dependants' health data, when a manager opens the employee's profile, then they see none of it (YX-BEN-09).</t>
        </is>
      </c>
      <c r="O1044" s="5" t="inlineStr">
        <is>
          <t>YX-BEN-02, YX-BEN-04, YX-BEN-09</t>
        </is>
      </c>
      <c r="P1044" t="inlineStr">
        <is>
          <t>M11, M01</t>
        </is>
      </c>
      <c r="Q1044" t="inlineStr">
        <is>
          <t>US-D-025</t>
        </is>
      </c>
      <c r="R1044" s="5" t="inlineStr"/>
    </row>
    <row r="1045">
      <c r="A1045" t="inlineStr">
        <is>
          <t>US-D-027</t>
        </is>
      </c>
      <c r="B1045" t="n">
        <v>863</v>
      </c>
      <c r="C1045" t="inlineStr">
        <is>
          <t>Story</t>
        </is>
      </c>
      <c r="D1045" s="5" t="inlineStr">
        <is>
          <t xml:space="preserve">        Joining and exit create insurance endorsements</t>
        </is>
      </c>
      <c r="E1045" t="inlineStr">
        <is>
          <t>Benefits administration and flexible benefit plan</t>
        </is>
      </c>
      <c r="F1045" t="inlineStr">
        <is>
          <t>Insurance enrolment and endorsements</t>
        </is>
      </c>
      <c r="G1045" t="inlineStr">
        <is>
          <t>New</t>
        </is>
      </c>
      <c r="I1045">
        <f>IF(H1045&lt;&gt;"",H1045,G1045)</f>
        <v/>
      </c>
      <c r="J1045" t="inlineStr">
        <is>
          <t>Wave 3 · Benefits</t>
        </is>
      </c>
      <c r="K1045" t="n">
        <v>3</v>
      </c>
      <c r="L1045" t="n">
        <v>1</v>
      </c>
      <c r="M1045" s="5" t="inlineStr">
        <is>
          <t>As a benefits admin, I want joiners added and leavers removed automatically so that coverage is always right.</t>
        </is>
      </c>
      <c r="N1045" s="5" t="inlineStr">
        <is>
          <t>• Given an employee joins on 10 Oct, when they are enrolled, then an add endorsement dated 10 Oct with pro-rata premium is created (YX-BEN-03).
• Given an employee exits, when the LWD plus plan grace passes, then a delete endorsement is created (YX-BEN-03).
• Given the endorsement queue, when HR opens it, then each item shows provider status draft / sent / accepted / rejected (M11 §4).</t>
        </is>
      </c>
      <c r="O1045" s="5" t="inlineStr">
        <is>
          <t>YX-BEN-03</t>
        </is>
      </c>
      <c r="P1045" t="inlineStr">
        <is>
          <t>M11, M01</t>
        </is>
      </c>
      <c r="Q1045" t="inlineStr">
        <is>
          <t>US-D-026</t>
        </is>
      </c>
      <c r="R1045" s="5" t="inlineStr"/>
    </row>
    <row r="1046">
      <c r="A1046" t="inlineStr">
        <is>
          <t>US-D-028</t>
        </is>
      </c>
      <c r="B1046" t="n">
        <v>864</v>
      </c>
      <c r="C1046" t="inlineStr">
        <is>
          <t>Story</t>
        </is>
      </c>
      <c r="D1046" s="5" t="inlineStr">
        <is>
          <t xml:space="preserve">        Employee reports a life event to add a dependant</t>
        </is>
      </c>
      <c r="E1046" t="inlineStr">
        <is>
          <t>Benefits administration and flexible benefit plan</t>
        </is>
      </c>
      <c r="F1046" t="inlineStr">
        <is>
          <t>Insurance enrolment and endorsements</t>
        </is>
      </c>
      <c r="G1046" t="inlineStr">
        <is>
          <t>New</t>
        </is>
      </c>
      <c r="I1046">
        <f>IF(H1046&lt;&gt;"",H1046,G1046)</f>
        <v/>
      </c>
      <c r="J1046" t="inlineStr">
        <is>
          <t>Wave 3 · Benefits</t>
        </is>
      </c>
      <c r="K1046" t="n">
        <v>3</v>
      </c>
      <c r="L1046" t="n">
        <v>1</v>
      </c>
      <c r="M1046" s="5" t="inlineStr">
        <is>
          <t>As an employee who just had a baby, I want to report it with proof so that my child is covered.</t>
        </is>
      </c>
      <c r="N1046" s="5" t="inlineStr">
        <is>
          <t>• Given a marriage, birth, adoption, divorce or death, when the employee submits it with proof within the deadline, then HR gets a verify task (YX-BEN-02).
• Given HR verifies it, when approved, then the dependant is added and an endorsement with pro-rata premium is created (YX-BEN-03).
• Given the deadline has passed, when the employee tries, then only HR can make the change, with a reason (YX-BEN-02).</t>
        </is>
      </c>
      <c r="O1046" s="5" t="inlineStr">
        <is>
          <t>YX-BEN-02, YX-BEN-03</t>
        </is>
      </c>
      <c r="P1046" t="inlineStr">
        <is>
          <t>M11, M01</t>
        </is>
      </c>
      <c r="Q1046" t="inlineStr">
        <is>
          <t>US-D-027</t>
        </is>
      </c>
      <c r="R1046" s="5" t="inlineStr"/>
    </row>
    <row r="1047">
      <c r="A1047" t="inlineStr">
        <is>
          <t>US-D-029</t>
        </is>
      </c>
      <c r="B1047" t="n">
        <v>865</v>
      </c>
      <c r="C1047" t="inlineStr">
        <is>
          <t>Story</t>
        </is>
      </c>
      <c r="D1047" s="5" t="inlineStr">
        <is>
          <t xml:space="preserve">        Premium share becomes a payroll deduction</t>
        </is>
      </c>
      <c r="E1047" t="inlineStr">
        <is>
          <t>Benefits administration and flexible benefit plan</t>
        </is>
      </c>
      <c r="F1047" t="inlineStr">
        <is>
          <t>Insurance enrolment and endorsements</t>
        </is>
      </c>
      <c r="G1047" t="inlineStr">
        <is>
          <t>New</t>
        </is>
      </c>
      <c r="I1047">
        <f>IF(H1047&lt;&gt;"",H1047,G1047)</f>
        <v/>
      </c>
      <c r="J1047" t="inlineStr">
        <is>
          <t>Wave 3 · Benefits</t>
        </is>
      </c>
      <c r="K1047" t="n">
        <v>3</v>
      </c>
      <c r="L1047" t="n">
        <v>1</v>
      </c>
      <c r="M1047" s="5" t="inlineStr">
        <is>
          <t>As a payroll admin, I want employee premium shares deducted in payroll and 80D sent to the tax workspace so that pay and tax are correct.</t>
        </is>
      </c>
      <c r="N1047" s="5" t="inlineStr">
        <is>
          <t>• Given an enrolment with an employee share, when payroll runs, then the share and top-ups appear as deductions (YX-BEN-04).
• Given an 80D-eligible amount, when it is deducted, then it flows to the tax workspace automatically (YX-BEN-04).
• Given an employer-paid group premium, when payroll runs, then it is not taxable to the employee (YX-BEN-04).
• Given a mid-month joiner, when October payroll runs, then the deduction is pro-rata (YX-BEN-03).</t>
        </is>
      </c>
      <c r="O1047" s="5" t="inlineStr">
        <is>
          <t>YX-BEN-04</t>
        </is>
      </c>
      <c r="P1047" t="inlineStr">
        <is>
          <t>M11, M03</t>
        </is>
      </c>
      <c r="Q1047" t="inlineStr">
        <is>
          <t>US-D-026</t>
        </is>
      </c>
      <c r="R1047" s="5" t="inlineStr"/>
    </row>
    <row r="1048">
      <c r="A1048" t="inlineStr">
        <is>
          <t>US-D-030</t>
        </is>
      </c>
      <c r="B1048" t="n">
        <v>866</v>
      </c>
      <c r="C1048" t="inlineStr">
        <is>
          <t>Story</t>
        </is>
      </c>
      <c r="D1048" s="5" t="inlineStr">
        <is>
          <t xml:space="preserve">        Benefits admin exports endorsements in the insurer's file format</t>
        </is>
      </c>
      <c r="E1048" t="inlineStr">
        <is>
          <t>Benefits administration and flexible benefit plan</t>
        </is>
      </c>
      <c r="F1048" t="inlineStr">
        <is>
          <t>Insurance enrolment and endorsements</t>
        </is>
      </c>
      <c r="G1048" t="inlineStr">
        <is>
          <t>New</t>
        </is>
      </c>
      <c r="I1048">
        <f>IF(H1048&lt;&gt;"",H1048,G1048)</f>
        <v/>
      </c>
      <c r="J1048" t="inlineStr">
        <is>
          <t>Wave 3 · Benefits</t>
        </is>
      </c>
      <c r="K1048" t="n">
        <v>3</v>
      </c>
      <c r="L1048" t="n">
        <v>1</v>
      </c>
      <c r="M1048" s="5" t="inlineStr">
        <is>
          <t>As a benefits admin, I want endorsement files in the insurer's or broker's format so that I can upload them without a connector.</t>
        </is>
      </c>
      <c r="N1048" s="5" t="inlineStr">
        <is>
          <t>• Given no provider connector, when the admin exports, then pending endorsements download in the provider's file format (YX-BEN-10).
• Given a connector add-on is enabled, when endorsements are ready, then they are sent by the connector instead (YX-BEN-10).
• Given health data in the file, when it is produced, then only fields needed for coverage are included (YX-BEN-09).</t>
        </is>
      </c>
      <c r="O1048" s="5" t="inlineStr">
        <is>
          <t>YX-BEN-10, YX-BEN-09</t>
        </is>
      </c>
      <c r="P1048" t="inlineStr">
        <is>
          <t>M11, M01</t>
        </is>
      </c>
      <c r="Q1048" t="inlineStr">
        <is>
          <t>US-D-027</t>
        </is>
      </c>
      <c r="R1048" s="5" t="inlineStr"/>
    </row>
    <row r="1049">
      <c r="A1049" s="9" t="inlineStr">
        <is>
          <t>FT-D-008</t>
        </is>
      </c>
      <c r="B1049" s="9" t="n">
        <v>870</v>
      </c>
      <c r="C1049" s="9" t="inlineStr">
        <is>
          <t>Feature</t>
        </is>
      </c>
      <c r="D1049" s="10" t="inlineStr">
        <is>
          <t xml:space="preserve">    Flexible benefit plan (FBP)</t>
        </is>
      </c>
      <c r="E1049" s="9" t="inlineStr">
        <is>
          <t>Benefits administration and flexible benefit plan</t>
        </is>
      </c>
      <c r="F1049" s="9" t="inlineStr">
        <is>
          <t>Flexible benefit plan (FBP)</t>
        </is>
      </c>
      <c r="G1049" s="9" t="inlineStr">
        <is>
          <t>New</t>
        </is>
      </c>
      <c r="H1049" s="9" t="n"/>
      <c r="I1049" s="9">
        <f>IF(H1049&lt;&gt;"",H1049,G1049)</f>
        <v/>
      </c>
      <c r="J1049" s="9" t="inlineStr">
        <is>
          <t>Wave 3 · Benefits</t>
        </is>
      </c>
      <c r="K1049" s="9" t="n"/>
      <c r="L1049" s="9" t="n"/>
      <c r="M1049" s="10" t="inlineStr"/>
      <c r="N1049" s="10" t="inlineStr"/>
      <c r="O1049" s="10" t="inlineStr"/>
      <c r="P1049" s="9" t="inlineStr">
        <is>
          <t>M11, M03</t>
        </is>
      </c>
      <c r="Q1049" s="9" t="inlineStr"/>
      <c r="R1049" s="10" t="inlineStr"/>
      <c r="S1049" s="9" t="n"/>
    </row>
    <row r="1050">
      <c r="A1050" t="inlineStr">
        <is>
          <t>US-D-031</t>
        </is>
      </c>
      <c r="B1050" t="n">
        <v>871</v>
      </c>
      <c r="C1050" t="inlineStr">
        <is>
          <t>Story</t>
        </is>
      </c>
      <c r="D1050" s="5" t="inlineStr">
        <is>
          <t xml:space="preserve">        Employee allocates the FBP basket</t>
        </is>
      </c>
      <c r="E1050" t="inlineStr">
        <is>
          <t>Benefits administration and flexible benefit plan</t>
        </is>
      </c>
      <c r="F1050" t="inlineStr">
        <is>
          <t>Flexible benefit plan (FBP)</t>
        </is>
      </c>
      <c r="G1050" t="inlineStr">
        <is>
          <t>New</t>
        </is>
      </c>
      <c r="I1050">
        <f>IF(H1050&lt;&gt;"",H1050,G1050)</f>
        <v/>
      </c>
      <c r="J1050" t="inlineStr">
        <is>
          <t>Wave 3 · Benefits</t>
        </is>
      </c>
      <c r="K1050" t="n">
        <v>5</v>
      </c>
      <c r="L1050" t="n">
        <v>1</v>
      </c>
      <c r="M1050" s="5" t="inlineStr">
        <is>
          <t>As an employee, I want to split my FBP basket across heads like meal and fuel so that I save tax.</t>
        </is>
      </c>
      <c r="N1050" s="5" t="inlineStr">
        <is>
          <t>• Given a CTC template with an FBP basket, when the FY starts, then the basket amount is funded from compensation (YX-BEN-05).
• Given the allocation window is open, when the employee allocates, then the server refuses a total above the basket (YX-BEN-05).
• Given the window is closed, when the employee tries to change allocations, then it is refused (YX-BEN-05).
• Given each head, when the employee allocates, then the tax effect under both regimes is shown first (YX-BEN-07).</t>
        </is>
      </c>
      <c r="O1050" s="5" t="inlineStr">
        <is>
          <t>YX-BEN-05, YX-BEN-07</t>
        </is>
      </c>
      <c r="P1050" t="inlineStr">
        <is>
          <t>M11, M03</t>
        </is>
      </c>
      <c r="Q1050" t="inlineStr">
        <is>
          <t>US-D-023</t>
        </is>
      </c>
      <c r="R1050" s="5" t="inlineStr"/>
    </row>
    <row r="1051">
      <c r="A1051" t="inlineStr">
        <is>
          <t>US-D-032</t>
        </is>
      </c>
      <c r="B1051" t="n">
        <v>872</v>
      </c>
      <c r="C1051" t="inlineStr">
        <is>
          <t>Story</t>
        </is>
      </c>
      <c r="D1051" s="5" t="inlineStr">
        <is>
          <t xml:space="preserve">        Employee claims an FBP head with bills</t>
        </is>
      </c>
      <c r="E1051" t="inlineStr">
        <is>
          <t>Benefits administration and flexible benefit plan</t>
        </is>
      </c>
      <c r="F1051" t="inlineStr">
        <is>
          <t>Flexible benefit plan (FBP)</t>
        </is>
      </c>
      <c r="G1051" t="inlineStr">
        <is>
          <t>New</t>
        </is>
      </c>
      <c r="I1051">
        <f>IF(H1051&lt;&gt;"",H1051,G1051)</f>
        <v/>
      </c>
      <c r="J1051" t="inlineStr">
        <is>
          <t>Wave 3 · Benefits</t>
        </is>
      </c>
      <c r="K1051" t="n">
        <v>5</v>
      </c>
      <c r="L1051" t="n">
        <v>1</v>
      </c>
      <c r="M1051" s="5" t="inlineStr">
        <is>
          <t>As an employee, I want to claim an FBP head with my bills so that I get the money tax-free.</t>
        </is>
      </c>
      <c r="N1051" s="5" t="inlineStr">
        <is>
          <t>• Given a meal head with ₹2,200 left, when the employee claims ₹5,000, then the server verifies only ₹2,200 (YX-BEN-06).
• Given a head's yearly total is reached, when the next month comes, then accrual stops for that head (YX-BEN-06).
• Given a claim, when the verifier checks the bills, then the verified amount and verifier are recorded in the append-only ledger (YX-BEN-06).
• Given a new-regime employee, when a non-exempt head is paid, then it is paid as taxable salary (YX-BEN-07).</t>
        </is>
      </c>
      <c r="O1051" s="5" t="inlineStr">
        <is>
          <t>YX-BEN-06, YX-BEN-07</t>
        </is>
      </c>
      <c r="P1051" t="inlineStr">
        <is>
          <t>M11, M03</t>
        </is>
      </c>
      <c r="Q1051" t="inlineStr">
        <is>
          <t>US-D-031</t>
        </is>
      </c>
      <c r="R1051" s="5" t="inlineStr"/>
    </row>
    <row r="1052">
      <c r="A1052" t="inlineStr">
        <is>
          <t>US-D-033</t>
        </is>
      </c>
      <c r="B1052" t="n">
        <v>873</v>
      </c>
      <c r="C1052" t="inlineStr">
        <is>
          <t>Story</t>
        </is>
      </c>
      <c r="D1052" s="5" t="inlineStr">
        <is>
          <t xml:space="preserve">        Unclaimed FBP is paid as taxable salary at year end or exit</t>
        </is>
      </c>
      <c r="E1052" t="inlineStr">
        <is>
          <t>Benefits administration and flexible benefit plan</t>
        </is>
      </c>
      <c r="F1052" t="inlineStr">
        <is>
          <t>Flexible benefit plan (FBP)</t>
        </is>
      </c>
      <c r="G1052" t="inlineStr">
        <is>
          <t>New</t>
        </is>
      </c>
      <c r="I1052">
        <f>IF(H1052&lt;&gt;"",H1052,G1052)</f>
        <v/>
      </c>
      <c r="J1052" t="inlineStr">
        <is>
          <t>Wave 3 · Benefits</t>
        </is>
      </c>
      <c r="K1052" t="n">
        <v>3</v>
      </c>
      <c r="L1052" t="n">
        <v>1</v>
      </c>
      <c r="M1052" s="5" t="inlineStr">
        <is>
          <t>As a payroll admin, I want unclaimed FBP paid as taxable salary at year end so that Form 16 is right.</t>
        </is>
      </c>
      <c r="N1052" s="5" t="inlineStr">
        <is>
          <t>• Given ₹8,000 of unclaimed LTA at year end, when the sweep runs, then it is paid as taxable salary and shows in Form 16 (YX-BEN-06).
• Given an employee exits mid-year, when F&amp;F is calculated, then the FBP balance is settled in the F&amp;F (YX-BEN-06).
• Given the sweep, when it posts, then a ledger entry 'year-end taxable sweep' is written (YX-BEN-06).</t>
        </is>
      </c>
      <c r="O1052" s="5" t="inlineStr">
        <is>
          <t>YX-BEN-06</t>
        </is>
      </c>
      <c r="P1052" t="inlineStr">
        <is>
          <t>M11, M03</t>
        </is>
      </c>
      <c r="Q1052" t="inlineStr">
        <is>
          <t>US-D-032</t>
        </is>
      </c>
      <c r="R1052" s="5" t="inlineStr"/>
    </row>
    <row r="1053">
      <c r="A1053" s="9" t="inlineStr">
        <is>
          <t>FT-D-009</t>
        </is>
      </c>
      <c r="B1053" s="9" t="n">
        <v>880</v>
      </c>
      <c r="C1053" s="9" t="inlineStr">
        <is>
          <t>Feature</t>
        </is>
      </c>
      <c r="D1053" s="10" t="inlineStr">
        <is>
          <t xml:space="preserve">    Employer NPS and benefit statement</t>
        </is>
      </c>
      <c r="E1053" s="9" t="inlineStr">
        <is>
          <t>Benefits administration and flexible benefit plan</t>
        </is>
      </c>
      <c r="F1053" s="9" t="inlineStr">
        <is>
          <t>Employer NPS and benefit statement</t>
        </is>
      </c>
      <c r="G1053" s="9" t="inlineStr">
        <is>
          <t>New</t>
        </is>
      </c>
      <c r="H1053" s="9" t="n"/>
      <c r="I1053" s="9">
        <f>IF(H1053&lt;&gt;"",H1053,G1053)</f>
        <v/>
      </c>
      <c r="J1053" s="9" t="inlineStr">
        <is>
          <t>Wave 3 · Benefits</t>
        </is>
      </c>
      <c r="K1053" s="9" t="n"/>
      <c r="L1053" s="9" t="n"/>
      <c r="M1053" s="10" t="inlineStr"/>
      <c r="N1053" s="10" t="inlineStr"/>
      <c r="O1053" s="10" t="inlineStr"/>
      <c r="P1053" s="9" t="inlineStr">
        <is>
          <t>M11, M03</t>
        </is>
      </c>
      <c r="Q1053" s="9" t="inlineStr"/>
      <c r="R1053" s="10" t="inlineStr"/>
      <c r="S1053" s="9" t="n"/>
    </row>
    <row r="1054">
      <c r="A1054" t="inlineStr">
        <is>
          <t>US-D-034</t>
        </is>
      </c>
      <c r="B1054" t="n">
        <v>881</v>
      </c>
      <c r="C1054" t="inlineStr">
        <is>
          <t>Story</t>
        </is>
      </c>
      <c r="D1054" s="5" t="inlineStr">
        <is>
          <t xml:space="preserve">        Payroll pays employer NPS within the legal limit</t>
        </is>
      </c>
      <c r="E1054" t="inlineStr">
        <is>
          <t>Benefits administration and flexible benefit plan</t>
        </is>
      </c>
      <c r="F1054" t="inlineStr">
        <is>
          <t>Employer NPS and benefit statement</t>
        </is>
      </c>
      <c r="G1054" t="inlineStr">
        <is>
          <t>New</t>
        </is>
      </c>
      <c r="I1054">
        <f>IF(H1054&lt;&gt;"",H1054,G1054)</f>
        <v/>
      </c>
      <c r="J1054" t="inlineStr">
        <is>
          <t>Wave 3 · Benefits</t>
        </is>
      </c>
      <c r="K1054" t="n">
        <v>3</v>
      </c>
      <c r="L1054" t="n">
        <v>1</v>
      </c>
      <c r="M1054" s="5" t="inlineStr">
        <is>
          <t>As a payroll admin, I want employer NPS as a % of basic + DA within the 80CCD(2) limit so that tax is right.</t>
        </is>
      </c>
      <c r="N1054" s="5" t="inlineStr">
        <is>
          <t>• Given an employee opted in, when payroll runs, then employer NPS is computed as the set % of basic + DA (YX-BEN-08).
• Given the amount exceeds the P07 80CCD(2) limit for the employee's regime, when payroll runs, then the excess is taxable (YX-BEN-08).
• Given the PRAN, when it is stored, then it is Special class (M11 §4).</t>
        </is>
      </c>
      <c r="O1054" s="5" t="inlineStr">
        <is>
          <t>YX-BEN-08</t>
        </is>
      </c>
      <c r="P1054" t="inlineStr">
        <is>
          <t>M11, M03</t>
        </is>
      </c>
      <c r="Q1054" t="inlineStr">
        <is>
          <t>US-D-023</t>
        </is>
      </c>
      <c r="R1054" s="5" t="inlineStr"/>
    </row>
    <row r="1055">
      <c r="A1055" t="inlineStr">
        <is>
          <t>US-D-035</t>
        </is>
      </c>
      <c r="B1055" t="n">
        <v>882</v>
      </c>
      <c r="C1055" t="inlineStr">
        <is>
          <t>Story</t>
        </is>
      </c>
      <c r="D1055" s="5" t="inlineStr">
        <is>
          <t xml:space="preserve">        Payroll admin sends the monthly NPS contribution file</t>
        </is>
      </c>
      <c r="E1055" t="inlineStr">
        <is>
          <t>Benefits administration and flexible benefit plan</t>
        </is>
      </c>
      <c r="F1055" t="inlineStr">
        <is>
          <t>Employer NPS and benefit statement</t>
        </is>
      </c>
      <c r="G1055" t="inlineStr">
        <is>
          <t>New</t>
        </is>
      </c>
      <c r="I1055">
        <f>IF(H1055&lt;&gt;"",H1055,G1055)</f>
        <v/>
      </c>
      <c r="J1055" t="inlineStr">
        <is>
          <t>Wave 3 · Benefits</t>
        </is>
      </c>
      <c r="K1055" t="n">
        <v>2</v>
      </c>
      <c r="L1055" t="n">
        <v>1</v>
      </c>
      <c r="M1055" s="5" t="inlineStr">
        <is>
          <t>As a payroll admin, I want the monthly NPS file for the POP so that contributions are deposited.</t>
        </is>
      </c>
      <c r="N1055" s="5" t="inlineStr">
        <is>
          <t>• Given a paid payroll month, when the admin exports, then the NPS contribution file is produced in the POP format (YX-BEN-10).
• Given the file, when it is generated, then its totals reconcile to payroll and differences are shown (YX-BEN-08).
• Given a POP API add-on, when enabled, then contributions are sent through it instead (YX-BEN-10).</t>
        </is>
      </c>
      <c r="O1055" s="5" t="inlineStr">
        <is>
          <t>YX-BEN-08, YX-BEN-10</t>
        </is>
      </c>
      <c r="P1055" t="inlineStr">
        <is>
          <t>M11, M03</t>
        </is>
      </c>
      <c r="Q1055" t="inlineStr">
        <is>
          <t>US-D-034</t>
        </is>
      </c>
      <c r="R1055" s="5" t="inlineStr"/>
    </row>
    <row r="1056">
      <c r="A1056" t="inlineStr">
        <is>
          <t>US-D-036</t>
        </is>
      </c>
      <c r="B1056" t="n">
        <v>883</v>
      </c>
      <c r="C1056" t="inlineStr">
        <is>
          <t>Story</t>
        </is>
      </c>
      <c r="D1056" s="5" t="inlineStr">
        <is>
          <t xml:space="preserve">        Employee sees a total rewards statement</t>
        </is>
      </c>
      <c r="E1056" t="inlineStr">
        <is>
          <t>Benefits administration and flexible benefit plan</t>
        </is>
      </c>
      <c r="F1056" t="inlineStr">
        <is>
          <t>Employer NPS and benefit statement</t>
        </is>
      </c>
      <c r="G1056" t="inlineStr">
        <is>
          <t>New</t>
        </is>
      </c>
      <c r="I1056">
        <f>IF(H1056&lt;&gt;"",H1056,G1056)</f>
        <v/>
      </c>
      <c r="J1056" t="inlineStr">
        <is>
          <t>Wave 3 · Benefits</t>
        </is>
      </c>
      <c r="K1056" t="n">
        <v>3</v>
      </c>
      <c r="L1056" t="n">
        <v>2</v>
      </c>
      <c r="M1056" s="5" t="inlineStr">
        <is>
          <t>As an employee, I want one statement of my CTC, benefits and employer costs so that I know my full reward.</t>
        </is>
      </c>
      <c r="N1056" s="5" t="inlineStr">
        <is>
          <t>• Given Me › Benefits, when the employee opens the statement, then it lists CTC, each benefit (custom ones too) and employer costs (YX-BEN-11).
• Given HR › Benefits, when HR opens the dashboard, then it shows enrolled / pending / waived and costs by plan and department (M11 §7).
• Given a manager, when they view a team member, then benefit health data stays hidden (YX-BEN-09).</t>
        </is>
      </c>
      <c r="O1056" s="5" t="inlineStr">
        <is>
          <t>YX-BEN-11, YX-BEN-09</t>
        </is>
      </c>
      <c r="P1056" t="inlineStr">
        <is>
          <t>M11, M03</t>
        </is>
      </c>
      <c r="Q1056" t="inlineStr">
        <is>
          <t>US-D-026</t>
        </is>
      </c>
      <c r="R1056" s="5" t="inlineStr"/>
    </row>
    <row r="1057">
      <c r="A1057" s="7" t="inlineStr">
        <is>
          <t>EP-F-1</t>
        </is>
      </c>
      <c r="B1057" s="7" t="n">
        <v>850</v>
      </c>
      <c r="C1057" s="7" t="inlineStr">
        <is>
          <t>Epic</t>
        </is>
      </c>
      <c r="D1057" s="8" t="inlineStr">
        <is>
          <t>Employee record extensions · diversity, unions, re-verification, regulated declarations (M01 §3.11)</t>
        </is>
      </c>
      <c r="E1057" s="7" t="inlineStr">
        <is>
          <t>Employee record extensions · diversity, unions, re-verification, regulated declarations (M01 §3.11)</t>
        </is>
      </c>
      <c r="F1057" s="7" t="inlineStr"/>
      <c r="G1057" s="7" t="inlineStr">
        <is>
          <t>New</t>
        </is>
      </c>
      <c r="H1057" s="7" t="n"/>
      <c r="I1057" s="7">
        <f>IF(H1057&lt;&gt;"",H1057,G1057)</f>
        <v/>
      </c>
      <c r="J1057" s="7" t="inlineStr">
        <is>
          <t>Wave 3–6 · Record extensions</t>
        </is>
      </c>
      <c r="K1057" s="7" t="n"/>
      <c r="L1057" s="7" t="n">
        <v>2</v>
      </c>
      <c r="M1057" s="8" t="inlineStr"/>
      <c r="N1057" s="8" t="inlineStr"/>
      <c r="O1057" s="8" t="inlineStr"/>
      <c r="P1057" s="7" t="inlineStr">
        <is>
          <t>M01 §3.11</t>
        </is>
      </c>
      <c r="Q1057" s="7" t="inlineStr"/>
      <c r="R1057" s="8" t="inlineStr"/>
      <c r="S1057" s="7" t="n"/>
    </row>
    <row r="1058">
      <c r="A1058" s="9" t="inlineStr">
        <is>
          <t>FT-F-001</t>
        </is>
      </c>
      <c r="B1058" s="9" t="n">
        <v>851</v>
      </c>
      <c r="C1058" s="9" t="inlineStr">
        <is>
          <t>Feature</t>
        </is>
      </c>
      <c r="D1058" s="10" t="inlineStr">
        <is>
          <t xml:space="preserve">    Voluntary disability declaration</t>
        </is>
      </c>
      <c r="E1058" s="9" t="inlineStr">
        <is>
          <t>Employee record extensions · diversity, unions, re-verification, regulated declarations (M01 §3.11)</t>
        </is>
      </c>
      <c r="F1058" s="9" t="inlineStr">
        <is>
          <t>Voluntary disability declaration</t>
        </is>
      </c>
      <c r="G1058" s="9" t="inlineStr">
        <is>
          <t>New</t>
        </is>
      </c>
      <c r="H1058" s="9" t="n"/>
      <c r="I1058" s="9">
        <f>IF(H1058&lt;&gt;"",H1058,G1058)</f>
        <v/>
      </c>
      <c r="J1058" s="9" t="inlineStr">
        <is>
          <t>Wave 3 · Record extensions</t>
        </is>
      </c>
      <c r="K1058" s="9" t="n"/>
      <c r="L1058" s="9" t="n">
        <v>2</v>
      </c>
      <c r="M1058" s="10" t="inlineStr"/>
      <c r="N1058" s="10" t="inlineStr"/>
      <c r="O1058" s="10" t="inlineStr"/>
      <c r="P1058" s="9" t="inlineStr">
        <is>
          <t>M01 §3.11</t>
        </is>
      </c>
      <c r="Q1058" s="9" t="inlineStr"/>
      <c r="R1058" s="10" t="inlineStr"/>
      <c r="S1058" s="9" t="n"/>
    </row>
    <row r="1059">
      <c r="A1059" t="inlineStr">
        <is>
          <t>US-F-001</t>
        </is>
      </c>
      <c r="B1059" t="n">
        <v>852</v>
      </c>
      <c r="C1059" t="inlineStr">
        <is>
          <t>Story</t>
        </is>
      </c>
      <c r="D1059" s="5" t="inlineStr">
        <is>
          <t xml:space="preserve">        Employee declares a disability with consent</t>
        </is>
      </c>
      <c r="E1059" t="inlineStr">
        <is>
          <t>Employee record extensions · diversity, unions, re-verification, regulated declarations (M01 §3.11)</t>
        </is>
      </c>
      <c r="F1059" t="inlineStr">
        <is>
          <t>Voluntary disability declaration</t>
        </is>
      </c>
      <c r="G1059" t="inlineStr">
        <is>
          <t>New</t>
        </is>
      </c>
      <c r="I1059">
        <f>IF(H1059&lt;&gt;"",H1059,G1059)</f>
        <v/>
      </c>
      <c r="J1059" t="inlineStr">
        <is>
          <t>Wave 3 · Record extensions</t>
        </is>
      </c>
      <c r="K1059" t="n">
        <v>5</v>
      </c>
      <c r="L1059" t="n">
        <v>2</v>
      </c>
      <c r="M1059" s="5" t="inlineStr">
        <is>
          <t>As an employee, I want to declare a disability only if I choose, with my consent, so that I get the benefits I am owed without everyone seeing it.</t>
        </is>
      </c>
      <c r="N1059" s="5" t="inlineStr">
        <is>
          <t>• Given the consent notice, when the employee declares yes with category, percentage and certificate, then it is saved as Special class with the consent record (YX-EMP-14)
• Given consent is withdrawn, when the employee withdraws it, then the declaration is no longer used and the withdrawal is audited (YX-EMP-14)
• Given a manager opens the employee's record, then no disability section is shown (YX-EMP-14)
• Given payroll runs, then payroll sees only the ESI PwD ceiling flag, not the details (YX-EMP-14)</t>
        </is>
      </c>
      <c r="O1059" s="5" t="inlineStr">
        <is>
          <t>YX-EMP-14</t>
        </is>
      </c>
      <c r="P1059" t="inlineStr">
        <is>
          <t>M01 §3.11, P02</t>
        </is>
      </c>
      <c r="Q1059" t="inlineStr"/>
      <c r="R1059" s="5" t="inlineStr"/>
    </row>
    <row r="1060">
      <c r="A1060" t="inlineStr">
        <is>
          <t>US-F-002</t>
        </is>
      </c>
      <c r="B1060" t="n">
        <v>853</v>
      </c>
      <c r="C1060" t="inlineStr">
        <is>
          <t>Story</t>
        </is>
      </c>
      <c r="D1060" s="5" t="inlineStr">
        <is>
          <t xml:space="preserve">        Diversity report hides small groups</t>
        </is>
      </c>
      <c r="E1060" t="inlineStr">
        <is>
          <t>Employee record extensions · diversity, unions, re-verification, regulated declarations (M01 §3.11)</t>
        </is>
      </c>
      <c r="F1060" t="inlineStr">
        <is>
          <t>Voluntary disability declaration</t>
        </is>
      </c>
      <c r="G1060" t="inlineStr">
        <is>
          <t>New</t>
        </is>
      </c>
      <c r="I1060">
        <f>IF(H1060&lt;&gt;"",H1060,G1060)</f>
        <v/>
      </c>
      <c r="J1060" t="inlineStr">
        <is>
          <t>Wave 3 · Record extensions</t>
        </is>
      </c>
      <c r="K1060" t="n">
        <v>3</v>
      </c>
      <c r="L1060" t="n">
        <v>2</v>
      </c>
      <c r="M1060" s="5" t="inlineStr">
        <is>
          <t>As an HR admin, I want a diversity report that never reveals a person through a small count, so that we can report on inclusion safely.</t>
        </is>
      </c>
      <c r="N1060" s="5" t="inlineStr">
        <is>
          <t>• Given a report cell with fewer than 5 people, when the report is shown, then the count is suppressed (YX-EMP-14)
• Given 5 or more people, then the aggregate count is shown (YX-EMP-14)
• Given any export of the report, then the same suppression applies (YX-EMP-14)</t>
        </is>
      </c>
      <c r="O1060" s="5" t="inlineStr">
        <is>
          <t>YX-EMP-14</t>
        </is>
      </c>
      <c r="P1060" t="inlineStr">
        <is>
          <t>M01 §3.11</t>
        </is>
      </c>
      <c r="Q1060" t="inlineStr">
        <is>
          <t>US-F-001</t>
        </is>
      </c>
      <c r="R1060" s="5" t="inlineStr"/>
    </row>
    <row r="1061">
      <c r="A1061" s="9" t="inlineStr">
        <is>
          <t>FT-F-002</t>
        </is>
      </c>
      <c r="B1061" s="9" t="n">
        <v>900</v>
      </c>
      <c r="C1061" s="9" t="inlineStr">
        <is>
          <t>Feature</t>
        </is>
      </c>
      <c r="D1061" s="10" t="inlineStr">
        <is>
          <t xml:space="preserve">    Union register and membership</t>
        </is>
      </c>
      <c r="E1061" s="9" t="inlineStr">
        <is>
          <t>Employee record extensions · diversity, unions, re-verification, regulated declarations (M01 §3.11)</t>
        </is>
      </c>
      <c r="F1061" s="9" t="inlineStr">
        <is>
          <t>Union register and membership</t>
        </is>
      </c>
      <c r="G1061" s="9" t="inlineStr">
        <is>
          <t>New</t>
        </is>
      </c>
      <c r="H1061" s="9" t="n"/>
      <c r="I1061" s="9">
        <f>IF(H1061&lt;&gt;"",H1061,G1061)</f>
        <v/>
      </c>
      <c r="J1061" s="9" t="inlineStr">
        <is>
          <t>Wave 4 · Record extensions</t>
        </is>
      </c>
      <c r="K1061" s="9" t="n"/>
      <c r="L1061" s="9" t="n">
        <v>2</v>
      </c>
      <c r="M1061" s="10" t="inlineStr"/>
      <c r="N1061" s="10" t="inlineStr"/>
      <c r="O1061" s="10" t="inlineStr"/>
      <c r="P1061" s="9" t="inlineStr">
        <is>
          <t>M01 §3.11</t>
        </is>
      </c>
      <c r="Q1061" s="9" t="inlineStr"/>
      <c r="R1061" s="10" t="inlineStr"/>
      <c r="S1061" s="9" t="n"/>
    </row>
    <row r="1062">
      <c r="A1062" t="inlineStr">
        <is>
          <t>US-F-003</t>
        </is>
      </c>
      <c r="B1062" t="n">
        <v>901</v>
      </c>
      <c r="C1062" t="inlineStr">
        <is>
          <t>Story</t>
        </is>
      </c>
      <c r="D1062" s="5" t="inlineStr">
        <is>
          <t xml:space="preserve">        HR-IR keeps the union register per establishment</t>
        </is>
      </c>
      <c r="E1062" t="inlineStr">
        <is>
          <t>Employee record extensions · diversity, unions, re-verification, regulated declarations (M01 §3.11)</t>
        </is>
      </c>
      <c r="F1062" t="inlineStr">
        <is>
          <t>Union register and membership</t>
        </is>
      </c>
      <c r="G1062" t="inlineStr">
        <is>
          <t>New</t>
        </is>
      </c>
      <c r="I1062">
        <f>IF(H1062&lt;&gt;"",H1062,G1062)</f>
        <v/>
      </c>
      <c r="J1062" t="inlineStr">
        <is>
          <t>Wave 4 · Record extensions</t>
        </is>
      </c>
      <c r="K1062" t="n">
        <v>3</v>
      </c>
      <c r="L1062" t="n">
        <v>2</v>
      </c>
      <c r="M1062" s="5" t="inlineStr">
        <is>
          <t>As an HR-IR officer, I want to record each union, its office bearers and its recognition with dates, so that we know who we negotiate with.</t>
        </is>
      </c>
      <c r="N1062" s="5" t="inlineStr">
        <is>
          <t>• Given a legal entity or establishment, when HR-IR adds a union with registration no., office bearers and recognition basis and dates, then it is saved per establishment (YX-EMP-15)
• Given recognition changes, then the old recognition keeps its dates and the new one starts on its date (YX-EMP-15)
• Given a user without the HR-IR role, then the register is not visible (YX-EMP-15)</t>
        </is>
      </c>
      <c r="O1062" s="5" t="inlineStr">
        <is>
          <t>YX-EMP-15</t>
        </is>
      </c>
      <c r="P1062" t="inlineStr">
        <is>
          <t>M01 §3.11</t>
        </is>
      </c>
      <c r="Q1062" t="inlineStr"/>
      <c r="R1062" s="5" t="inlineStr"/>
    </row>
    <row r="1063">
      <c r="A1063" t="inlineStr">
        <is>
          <t>US-F-004</t>
        </is>
      </c>
      <c r="B1063" t="n">
        <v>902</v>
      </c>
      <c r="C1063" t="inlineStr">
        <is>
          <t>Story</t>
        </is>
      </c>
      <c r="D1063" s="5" t="inlineStr">
        <is>
          <t xml:space="preserve">        Dated union membership with check-off consent</t>
        </is>
      </c>
      <c r="E1063" t="inlineStr">
        <is>
          <t>Employee record extensions · diversity, unions, re-verification, regulated declarations (M01 §3.11)</t>
        </is>
      </c>
      <c r="F1063" t="inlineStr">
        <is>
          <t>Union register and membership</t>
        </is>
      </c>
      <c r="G1063" t="inlineStr">
        <is>
          <t>New</t>
        </is>
      </c>
      <c r="I1063">
        <f>IF(H1063&lt;&gt;"",H1063,G1063)</f>
        <v/>
      </c>
      <c r="J1063" t="inlineStr">
        <is>
          <t>Wave 4 · Record extensions</t>
        </is>
      </c>
      <c r="K1063" t="n">
        <v>3</v>
      </c>
      <c r="L1063" t="n">
        <v>2</v>
      </c>
      <c r="M1063" s="5" t="inlineStr">
        <is>
          <t>As an HR-IR officer, I want to record an employee's union membership with dates and check-off consent, so that dues are deducted only with consent.</t>
        </is>
      </c>
      <c r="N1063" s="5" t="inlineStr">
        <is>
          <t>• Given an employee joins a union from a date, then the membership is dated and Confidential (HR-IR and payroll for dues only) (YX-EMP-15)
• Given check-off consent is given, then payroll deducts dues; without it, no deduction (YX-EMP-15)
• Given a manager views the record, then membership is never shown (YX-EMP-15)</t>
        </is>
      </c>
      <c r="O1063" s="5" t="inlineStr">
        <is>
          <t>YX-EMP-15</t>
        </is>
      </c>
      <c r="P1063" t="inlineStr">
        <is>
          <t>M01 §3.11, M03</t>
        </is>
      </c>
      <c r="Q1063" t="inlineStr">
        <is>
          <t>US-F-003</t>
        </is>
      </c>
      <c r="R1063" s="5" t="inlineStr"/>
    </row>
    <row r="1064">
      <c r="A1064" s="9" t="inlineStr">
        <is>
          <t>FT-F-003</t>
        </is>
      </c>
      <c r="B1064" s="9" t="n">
        <v>1400</v>
      </c>
      <c r="C1064" s="9" t="inlineStr">
        <is>
          <t>Feature</t>
        </is>
      </c>
      <c r="D1064" s="10" t="inlineStr">
        <is>
          <t xml:space="preserve">    Periodic background re-verification</t>
        </is>
      </c>
      <c r="E1064" s="9" t="inlineStr">
        <is>
          <t>Employee record extensions · diversity, unions, re-verification, regulated declarations (M01 §3.11)</t>
        </is>
      </c>
      <c r="F1064" s="9" t="inlineStr">
        <is>
          <t>Periodic background re-verification</t>
        </is>
      </c>
      <c r="G1064" s="9" t="inlineStr">
        <is>
          <t>New</t>
        </is>
      </c>
      <c r="H1064" s="9" t="n"/>
      <c r="I1064" s="9">
        <f>IF(H1064&lt;&gt;"",H1064,G1064)</f>
        <v/>
      </c>
      <c r="J1064" s="9" t="inlineStr">
        <is>
          <t>Wave 6 · Record extensions</t>
        </is>
      </c>
      <c r="K1064" s="9" t="n"/>
      <c r="L1064" s="9" t="n">
        <v>3</v>
      </c>
      <c r="M1064" s="10" t="inlineStr"/>
      <c r="N1064" s="10" t="inlineStr"/>
      <c r="O1064" s="10" t="inlineStr"/>
      <c r="P1064" s="9" t="inlineStr">
        <is>
          <t>M01 §3.11, P10</t>
        </is>
      </c>
      <c r="Q1064" s="9" t="inlineStr"/>
      <c r="R1064" s="10" t="inlineStr"/>
      <c r="S1064" s="9" t="n"/>
    </row>
    <row r="1065">
      <c r="A1065" t="inlineStr">
        <is>
          <t>US-F-005</t>
        </is>
      </c>
      <c r="B1065" t="n">
        <v>1401</v>
      </c>
      <c r="C1065" t="inlineStr">
        <is>
          <t>Story</t>
        </is>
      </c>
      <c r="D1065" s="5" t="inlineStr">
        <is>
          <t xml:space="preserve">        Company rule opens a re-verification cycle with fresh consent</t>
        </is>
      </c>
      <c r="E1065" t="inlineStr">
        <is>
          <t>Employee record extensions · diversity, unions, re-verification, regulated declarations (M01 §3.11)</t>
        </is>
      </c>
      <c r="F1065" t="inlineStr">
        <is>
          <t>Periodic background re-verification</t>
        </is>
      </c>
      <c r="G1065" t="inlineStr">
        <is>
          <t>New</t>
        </is>
      </c>
      <c r="I1065">
        <f>IF(H1065&lt;&gt;"",H1065,G1065)</f>
        <v/>
      </c>
      <c r="J1065" t="inlineStr">
        <is>
          <t>Wave 6 · Record extensions</t>
        </is>
      </c>
      <c r="K1065" t="n">
        <v>5</v>
      </c>
      <c r="L1065" t="n">
        <v>3</v>
      </c>
      <c r="M1065" s="5" t="inlineStr">
        <is>
          <t>As an HR admin, I want re-verification to start only from a company rule and only after fresh consent, so that we meet client and role requirements lawfully.</t>
        </is>
      </c>
      <c r="N1065" s="5" t="inlineStr">
        <is>
          <t>• Given a rule (every N years, move into a sensitive role, or a client mandate), when it triggers, then a re-verification cycle opens for the employee (YX-EMP-16)
• Given the cycle is open, then nothing is sent to the BGV partner until the employee gives fresh consent (YX-EMP-16)
• Given no company rule, then no re-verification ever runs (YX-EMP-16)</t>
        </is>
      </c>
      <c r="O1065" s="5" t="inlineStr">
        <is>
          <t>YX-EMP-16</t>
        </is>
      </c>
      <c r="P1065" t="inlineStr">
        <is>
          <t>M01 §3.11, P10</t>
        </is>
      </c>
      <c r="Q1065" t="inlineStr"/>
      <c r="R1065" s="5" t="inlineStr"/>
    </row>
    <row r="1066">
      <c r="A1066" t="inlineStr">
        <is>
          <t>US-F-006</t>
        </is>
      </c>
      <c r="B1066" t="n">
        <v>1402</v>
      </c>
      <c r="C1066" t="inlineStr">
        <is>
          <t>Story</t>
        </is>
      </c>
      <c r="D1066" s="5" t="inlineStr">
        <is>
          <t xml:space="preserve">        Re-verification results open an HR review</t>
        </is>
      </c>
      <c r="E1066" t="inlineStr">
        <is>
          <t>Employee record extensions · diversity, unions, re-verification, regulated declarations (M01 §3.11)</t>
        </is>
      </c>
      <c r="F1066" t="inlineStr">
        <is>
          <t>Periodic background re-verification</t>
        </is>
      </c>
      <c r="G1066" t="inlineStr">
        <is>
          <t>New</t>
        </is>
      </c>
      <c r="I1066">
        <f>IF(H1066&lt;&gt;"",H1066,G1066)</f>
        <v/>
      </c>
      <c r="J1066" t="inlineStr">
        <is>
          <t>Wave 6 · Record extensions</t>
        </is>
      </c>
      <c r="K1066" t="n">
        <v>3</v>
      </c>
      <c r="L1066" t="n">
        <v>3</v>
      </c>
      <c r="M1066" s="5" t="inlineStr">
        <is>
          <t>As an HR admin, I want results kept confidential and reviewed by a person, so that no one is affected by an automatic decision.</t>
        </is>
      </c>
      <c r="N1066" s="5" t="inlineStr">
        <is>
          <t>• Given results arrive, then they are Confidential and adverse findings are Special (YX-EMP-16)
• Given an adverse finding, then an HR review task opens and no automatic action is taken (YX-EMP-16)
• Given a manager, then results are never shown (YX-EMP-16)</t>
        </is>
      </c>
      <c r="O1066" s="5" t="inlineStr">
        <is>
          <t>YX-EMP-16</t>
        </is>
      </c>
      <c r="P1066" t="inlineStr">
        <is>
          <t>M01 §3.11</t>
        </is>
      </c>
      <c r="Q1066" t="inlineStr">
        <is>
          <t>US-F-005</t>
        </is>
      </c>
      <c r="R1066" s="5" t="inlineStr"/>
    </row>
    <row r="1067">
      <c r="A1067" s="9" t="inlineStr">
        <is>
          <t>FT-F-004</t>
        </is>
      </c>
      <c r="B1067" s="9" t="n">
        <v>1410</v>
      </c>
      <c r="C1067" s="9" t="inlineStr">
        <is>
          <t>Feature</t>
        </is>
      </c>
      <c r="D1067" s="10" t="inlineStr">
        <is>
          <t xml:space="preserve">    BFSI pack · regulated declarations</t>
        </is>
      </c>
      <c r="E1067" s="9" t="inlineStr">
        <is>
          <t>Employee record extensions · diversity, unions, re-verification, regulated declarations (M01 §3.11)</t>
        </is>
      </c>
      <c r="F1067" s="9" t="inlineStr">
        <is>
          <t>BFSI pack · regulated declarations</t>
        </is>
      </c>
      <c r="G1067" s="9" t="inlineStr">
        <is>
          <t>New</t>
        </is>
      </c>
      <c r="H1067" s="9" t="n"/>
      <c r="I1067" s="9">
        <f>IF(H1067&lt;&gt;"",H1067,G1067)</f>
        <v/>
      </c>
      <c r="J1067" s="9" t="inlineStr">
        <is>
          <t>Wave 6 · Record extensions</t>
        </is>
      </c>
      <c r="K1067" s="9" t="n"/>
      <c r="L1067" s="9" t="n">
        <v>3</v>
      </c>
      <c r="M1067" s="10" t="inlineStr"/>
      <c r="N1067" s="10" t="inlineStr"/>
      <c r="O1067" s="10" t="inlineStr"/>
      <c r="P1067" s="9" t="inlineStr">
        <is>
          <t>M01 §3.11</t>
        </is>
      </c>
      <c r="Q1067" s="9" t="inlineStr"/>
      <c r="R1067" s="10" t="inlineStr"/>
      <c r="S1067" s="9" t="n"/>
    </row>
    <row r="1068">
      <c r="A1068" t="inlineStr">
        <is>
          <t>US-F-007</t>
        </is>
      </c>
      <c r="B1068" t="n">
        <v>1411</v>
      </c>
      <c r="C1068" t="inlineStr">
        <is>
          <t>Story</t>
        </is>
      </c>
      <c r="D1068" s="5" t="inlineStr">
        <is>
          <t xml:space="preserve">        Designated roles file fit-and-proper / KMP declarations</t>
        </is>
      </c>
      <c r="E1068" t="inlineStr">
        <is>
          <t>Employee record extensions · diversity, unions, re-verification, regulated declarations (M01 §3.11)</t>
        </is>
      </c>
      <c r="F1068" t="inlineStr">
        <is>
          <t>BFSI pack · regulated declarations</t>
        </is>
      </c>
      <c r="G1068" t="inlineStr">
        <is>
          <t>New</t>
        </is>
      </c>
      <c r="I1068">
        <f>IF(H1068&lt;&gt;"",H1068,G1068)</f>
        <v/>
      </c>
      <c r="J1068" t="inlineStr">
        <is>
          <t>Wave 6 · Record extensions</t>
        </is>
      </c>
      <c r="K1068" t="n">
        <v>3</v>
      </c>
      <c r="L1068" t="n">
        <v>3</v>
      </c>
      <c r="M1068" s="5" t="inlineStr">
        <is>
          <t>As a compliance officer in a bank or NBFC, I want designated roles to file fit-and-proper declarations yearly and on change, so that we meet RBI / SEBI / IRDAI directions.</t>
        </is>
      </c>
      <c r="N1068" s="5" t="inlineStr">
        <is>
          <t>• Given the BFSI pack is on, when a person holds a designated role, then a declaration is due yearly and on change (YX-EMP-17)
• Given the due date passes, then reminders and escalation follow the company calendar (YX-EMP-17)
• Given the pack is off, then no declaration is asked for (YX-EMP-17)</t>
        </is>
      </c>
      <c r="O1068" s="5" t="inlineStr">
        <is>
          <t>YX-EMP-17</t>
        </is>
      </c>
      <c r="P1068" t="inlineStr">
        <is>
          <t>M01 §3.11</t>
        </is>
      </c>
      <c r="Q1068" t="inlineStr"/>
      <c r="R1068" s="5" t="inlineStr"/>
    </row>
    <row r="1069">
      <c r="A1069" t="inlineStr">
        <is>
          <t>US-F-008</t>
        </is>
      </c>
      <c r="B1069" t="n">
        <v>1412</v>
      </c>
      <c r="C1069" t="inlineStr">
        <is>
          <t>Story</t>
        </is>
      </c>
      <c r="D1069" s="5" t="inlineStr">
        <is>
          <t xml:space="preserve">        Every employee attests the code of conduct yearly</t>
        </is>
      </c>
      <c r="E1069" t="inlineStr">
        <is>
          <t>Employee record extensions · diversity, unions, re-verification, regulated declarations (M01 §3.11)</t>
        </is>
      </c>
      <c r="F1069" t="inlineStr">
        <is>
          <t>BFSI pack · regulated declarations</t>
        </is>
      </c>
      <c r="G1069" t="inlineStr">
        <is>
          <t>New</t>
        </is>
      </c>
      <c r="I1069">
        <f>IF(H1069&lt;&gt;"",H1069,G1069)</f>
        <v/>
      </c>
      <c r="J1069" t="inlineStr">
        <is>
          <t>Wave 6 · Record extensions</t>
        </is>
      </c>
      <c r="K1069" t="n">
        <v>3</v>
      </c>
      <c r="L1069" t="n">
        <v>3</v>
      </c>
      <c r="M1069" s="5" t="inlineStr">
        <is>
          <t>As a compliance officer, I want every employee to attest the current code of conduct each year by OTP, so that we have proof of acceptance.</t>
        </is>
      </c>
      <c r="N1069" s="5" t="inlineStr">
        <is>
          <t>• Given the pack is on, when the year starts, then each employee gets the current code-of-conduct version to attest by OTP (YX-EMP-17, YX-POL-02)
• Given a new version is published, then the attestation is for that version (YX-EMP-17)
• Given an employee has not attested by the due date, then escalation follows the company calendar (YX-EMP-17)</t>
        </is>
      </c>
      <c r="O1069" s="5" t="inlineStr">
        <is>
          <t>YX-EMP-17, YX-POL-02</t>
        </is>
      </c>
      <c r="P1069" t="inlineStr">
        <is>
          <t>M01 §3.11, M08</t>
        </is>
      </c>
      <c r="Q1069" t="inlineStr"/>
      <c r="R1069" s="5" t="inlineStr"/>
    </row>
    <row r="1070">
      <c r="A1070" t="inlineStr">
        <is>
          <t>US-F-009</t>
        </is>
      </c>
      <c r="B1070" t="n">
        <v>1413</v>
      </c>
      <c r="C1070" t="inlineStr">
        <is>
          <t>Story</t>
        </is>
      </c>
      <c r="D1070" s="5" t="inlineStr">
        <is>
          <t xml:space="preserve">        Insider-trading disclosures and trade pre-clearance</t>
        </is>
      </c>
      <c r="E1070" t="inlineStr">
        <is>
          <t>Employee record extensions · diversity, unions, re-verification, regulated declarations (M01 §3.11)</t>
        </is>
      </c>
      <c r="F1070" t="inlineStr">
        <is>
          <t>BFSI pack · regulated declarations</t>
        </is>
      </c>
      <c r="G1070" t="inlineStr">
        <is>
          <t>New</t>
        </is>
      </c>
      <c r="I1070">
        <f>IF(H1070&lt;&gt;"",H1070,G1070)</f>
        <v/>
      </c>
      <c r="J1070" t="inlineStr">
        <is>
          <t>Wave 6 · Record extensions</t>
        </is>
      </c>
      <c r="K1070" t="n">
        <v>5</v>
      </c>
      <c r="L1070" t="n">
        <v>3</v>
      </c>
      <c r="M1070" s="5" t="inlineStr">
        <is>
          <t>As a designated person, I want to file my holdings and ask pre-clearance before a big trade, so that I follow SEBI insider-trading rules.</t>
        </is>
      </c>
      <c r="N1070" s="5" t="inlineStr">
        <is>
          <t>• Given a person is designated, then holdings and relatives disclosures are due on designation and yearly (YX-EMP-18)
• Given a trade above the company threshold, then pre-clearance is required (YX-EMP-18)
• Given the trading window is closed, then a pre-clearance request is refused (YX-EMP-18)
• Given an approved pre-clearance is not used within the company window, then it expires (YX-EMP-18)</t>
        </is>
      </c>
      <c r="O1070" s="5" t="inlineStr">
        <is>
          <t>YX-EMP-18</t>
        </is>
      </c>
      <c r="P1070" t="inlineStr">
        <is>
          <t>M01 §3.11</t>
        </is>
      </c>
      <c r="Q1070" t="inlineStr"/>
      <c r="R1070" s="5" t="inlineStr"/>
    </row>
    <row r="1071">
      <c r="A1071" s="7" t="inlineStr">
        <is>
          <t>EP-D-03</t>
        </is>
      </c>
      <c r="B1071" s="7" t="n">
        <v>900</v>
      </c>
      <c r="C1071" s="7" t="inlineStr">
        <is>
          <t>Epic</t>
        </is>
      </c>
      <c r="D1071" s="8" t="inlineStr">
        <is>
          <t>Employee lifecycle: onboarding, exit and F&amp;F</t>
        </is>
      </c>
      <c r="E1071" s="7" t="inlineStr">
        <is>
          <t>Employee lifecycle: onboarding, exit and F&amp;F</t>
        </is>
      </c>
      <c r="F1071" s="7" t="inlineStr"/>
      <c r="G1071" s="7" t="inlineStr">
        <is>
          <t>New</t>
        </is>
      </c>
      <c r="H1071" s="7" t="n"/>
      <c r="I1071" s="7">
        <f>IF(H1071&lt;&gt;"",H1071,G1071)</f>
        <v/>
      </c>
      <c r="J1071" s="7" t="inlineStr">
        <is>
          <t>Wave 4 · Lifecycle</t>
        </is>
      </c>
      <c r="K1071" s="7" t="n"/>
      <c r="L1071" s="7" t="n"/>
      <c r="M1071" s="8" t="inlineStr"/>
      <c r="N1071" s="8" t="inlineStr"/>
      <c r="O1071" s="8" t="inlineStr"/>
      <c r="P1071" s="7" t="inlineStr">
        <is>
          <t>M01</t>
        </is>
      </c>
      <c r="Q1071" s="7" t="inlineStr"/>
      <c r="R1071" s="8" t="inlineStr"/>
      <c r="S1071" s="7" t="n"/>
    </row>
    <row r="1072">
      <c r="A1072" s="9" t="inlineStr">
        <is>
          <t>FT-D-010</t>
        </is>
      </c>
      <c r="B1072" s="9" t="n">
        <v>900</v>
      </c>
      <c r="C1072" s="9" t="inlineStr">
        <is>
          <t>Feature</t>
        </is>
      </c>
      <c r="D1072" s="10" t="inlineStr">
        <is>
          <t xml:space="preserve">    Journey engine and checklists</t>
        </is>
      </c>
      <c r="E1072" s="9" t="inlineStr">
        <is>
          <t>Employee lifecycle: onboarding, exit and F&amp;F</t>
        </is>
      </c>
      <c r="F1072" s="9" t="inlineStr">
        <is>
          <t>Journey engine and checklists</t>
        </is>
      </c>
      <c r="G1072" s="9" t="inlineStr">
        <is>
          <t>New</t>
        </is>
      </c>
      <c r="H1072" s="9" t="n"/>
      <c r="I1072" s="9">
        <f>IF(H1072&lt;&gt;"",H1072,G1072)</f>
        <v/>
      </c>
      <c r="J1072" s="9" t="inlineStr">
        <is>
          <t>Wave 4 · Lifecycle</t>
        </is>
      </c>
      <c r="K1072" s="9" t="n"/>
      <c r="L1072" s="9" t="n"/>
      <c r="M1072" s="10" t="inlineStr"/>
      <c r="N1072" s="10" t="inlineStr"/>
      <c r="O1072" s="10" t="inlineStr"/>
      <c r="P1072" s="9" t="inlineStr">
        <is>
          <t>M01</t>
        </is>
      </c>
      <c r="Q1072" s="9" t="inlineStr"/>
      <c r="R1072" s="10" t="inlineStr"/>
      <c r="S1072" s="9" t="n"/>
    </row>
    <row r="1073">
      <c r="A1073" t="inlineStr">
        <is>
          <t>US-D-037</t>
        </is>
      </c>
      <c r="B1073" t="n">
        <v>901</v>
      </c>
      <c r="C1073" t="inlineStr">
        <is>
          <t>Story</t>
        </is>
      </c>
      <c r="D1073" s="5" t="inlineStr">
        <is>
          <t xml:space="preserve">        HR builds onboarding and offboarding checklist templates</t>
        </is>
      </c>
      <c r="E1073" t="inlineStr">
        <is>
          <t>Employee lifecycle: onboarding, exit and F&amp;F</t>
        </is>
      </c>
      <c r="F1073" t="inlineStr">
        <is>
          <t>Journey engine and checklists</t>
        </is>
      </c>
      <c r="G1073" t="inlineStr">
        <is>
          <t>New</t>
        </is>
      </c>
      <c r="I1073">
        <f>IF(H1073&lt;&gt;"",H1073,G1073)</f>
        <v/>
      </c>
      <c r="J1073" t="inlineStr">
        <is>
          <t>Wave 4 · Lifecycle</t>
        </is>
      </c>
      <c r="K1073" t="n">
        <v>5</v>
      </c>
      <c r="L1073" t="n">
        <v>1</v>
      </c>
      <c r="M1073" s="5" t="inlineStr">
        <is>
          <t>As an HR admin, I want checklist templates with owners and relative due dates so that every joiner and leaver gets the right tasks.</t>
        </is>
      </c>
      <c r="N1073" s="5" t="inlineStr">
        <is>
          <t>• Given a template per entity / department / role, when HR adds a task, then it has an owner (HR, IT, admin, manager, new hire), a due offset from the anchor date (negative allowed), dependencies and an SLA (YX-LC-02).
• Given 'Collect PAN' at −7 days and a joining date, when the journey starts, then the task is due a week before joining (YX-LC-02).
• Given a task's SLA passes, when it is still open, then the owner gets P04 reminders (YX-LC-02).
• Given the same engine, when an exit case opens, then the offboarding template creates its tasks anchored on the LWD (YX-LC-02).</t>
        </is>
      </c>
      <c r="O1073" s="5" t="inlineStr">
        <is>
          <t>YX-LC-02</t>
        </is>
      </c>
      <c r="P1073" t="inlineStr">
        <is>
          <t>M01</t>
        </is>
      </c>
      <c r="Q1073" t="inlineStr"/>
      <c r="R1073" s="5" t="inlineStr"/>
    </row>
    <row r="1074">
      <c r="A1074" t="inlineStr">
        <is>
          <t>US-D-038</t>
        </is>
      </c>
      <c r="B1074" t="n">
        <v>902</v>
      </c>
      <c r="C1074" t="inlineStr">
        <is>
          <t>Story</t>
        </is>
      </c>
      <c r="D1074" s="5" t="inlineStr">
        <is>
          <t xml:space="preserve">        HR tracks joiners on the onboarding board</t>
        </is>
      </c>
      <c r="E1074" t="inlineStr">
        <is>
          <t>Employee lifecycle: onboarding, exit and F&amp;F</t>
        </is>
      </c>
      <c r="F1074" t="inlineStr">
        <is>
          <t>Journey engine and checklists</t>
        </is>
      </c>
      <c r="G1074" t="inlineStr">
        <is>
          <t>New</t>
        </is>
      </c>
      <c r="I1074">
        <f>IF(H1074&lt;&gt;"",H1074,G1074)</f>
        <v/>
      </c>
      <c r="J1074" t="inlineStr">
        <is>
          <t>Wave 4 · Lifecycle</t>
        </is>
      </c>
      <c r="K1074" t="n">
        <v>3</v>
      </c>
      <c r="L1074" t="n">
        <v>1</v>
      </c>
      <c r="M1074" s="5" t="inlineStr">
        <is>
          <t>As an HR admin, I want a board of joiners with progress so that I see who is behind.</t>
        </is>
      </c>
      <c r="N1074" s="5" t="inlineStr">
        <is>
          <t>• Given journeys in progress, when HR opens the board, then cards sit in Offer accepted → Pre-boarding → Day 1 → First 30 days → Done (M01 §6).
• Given a journey, when tasks complete, then the progress ring on the card and on the employee record updates (YX-LC-02).
• Given HR opens a pre-boarding record, when sections are filled, then the completion % is visible (M01 §3.5).</t>
        </is>
      </c>
      <c r="O1074" s="5" t="inlineStr">
        <is>
          <t>YX-LC-02</t>
        </is>
      </c>
      <c r="P1074" t="inlineStr">
        <is>
          <t>M01</t>
        </is>
      </c>
      <c r="Q1074" t="inlineStr">
        <is>
          <t>US-D-037</t>
        </is>
      </c>
      <c r="R1074" s="5" t="inlineStr"/>
    </row>
    <row r="1075">
      <c r="A1075" t="inlineStr">
        <is>
          <t>US-D-039</t>
        </is>
      </c>
      <c r="B1075" t="n">
        <v>903</v>
      </c>
      <c r="C1075" t="inlineStr">
        <is>
          <t>Story</t>
        </is>
      </c>
      <c r="D1075" s="5" t="inlineStr">
        <is>
          <t xml:space="preserve">        Default templates include statutory joining and exit tasks</t>
        </is>
      </c>
      <c r="E1075" t="inlineStr">
        <is>
          <t>Employee lifecycle: onboarding, exit and F&amp;F</t>
        </is>
      </c>
      <c r="F1075" t="inlineStr">
        <is>
          <t>Journey engine and checklists</t>
        </is>
      </c>
      <c r="G1075" t="inlineStr">
        <is>
          <t>New</t>
        </is>
      </c>
      <c r="I1075">
        <f>IF(H1075&lt;&gt;"",H1075,G1075)</f>
        <v/>
      </c>
      <c r="J1075" t="inlineStr">
        <is>
          <t>Wave 4 · Lifecycle</t>
        </is>
      </c>
      <c r="K1075" t="n">
        <v>3</v>
      </c>
      <c r="L1075" t="n">
        <v>1</v>
      </c>
      <c r="M1075" s="5" t="inlineStr">
        <is>
          <t>As a payroll admin, I want PF / ESI tasks in every default joining and exit template so that nothing statutory is missed.</t>
        </is>
      </c>
      <c r="N1075" s="5" t="inlineStr">
        <is>
          <t>• Given the default onboarding template, when it is used, then it has UAN generation / link, ESIC IP registration, Form 11 and Form 2 tasks owned by HR / payroll (YX-LC-22).
• Given the default offboarding template, when an exit case opens, then it has EPFO date of exit, ESIC exit, gratuity Form L within 15 days of payability and PF transfer / withdrawal attestation, due relative to the LWD (YX-LC-22).
• Given a missing UAN at payroll time, when M03 pre-flight runs, then it is flagged (YX-LC-22).</t>
        </is>
      </c>
      <c r="O1075" s="5" t="inlineStr">
        <is>
          <t>YX-LC-22</t>
        </is>
      </c>
      <c r="P1075" t="inlineStr">
        <is>
          <t>M01</t>
        </is>
      </c>
      <c r="Q1075" t="inlineStr">
        <is>
          <t>US-D-037</t>
        </is>
      </c>
      <c r="R1075" s="5" t="inlineStr"/>
    </row>
    <row r="1076">
      <c r="A1076" t="inlineStr">
        <is>
          <t>US-D-040</t>
        </is>
      </c>
      <c r="B1076" t="n">
        <v>904</v>
      </c>
      <c r="C1076" t="inlineStr">
        <is>
          <t>Story</t>
        </is>
      </c>
      <c r="D1076" s="5" t="inlineStr">
        <is>
          <t xml:space="preserve">        HR edits lifecycle policies from a labelled starter template</t>
        </is>
      </c>
      <c r="E1076" t="inlineStr">
        <is>
          <t>Employee lifecycle: onboarding, exit and F&amp;F</t>
        </is>
      </c>
      <c r="F1076" t="inlineStr">
        <is>
          <t>Journey engine and checklists</t>
        </is>
      </c>
      <c r="G1076" t="inlineStr">
        <is>
          <t>New</t>
        </is>
      </c>
      <c r="I1076">
        <f>IF(H1076&lt;&gt;"",H1076,G1076)</f>
        <v/>
      </c>
      <c r="J1076" t="inlineStr">
        <is>
          <t>Wave 4 · Lifecycle</t>
        </is>
      </c>
      <c r="K1076" t="n">
        <v>3</v>
      </c>
      <c r="L1076" t="n">
        <v>1</v>
      </c>
      <c r="M1076" s="5" t="inlineStr">
        <is>
          <t>As an HR admin, I want our lifecycle policies (rehire, absconding, retirement, contract end, death support, open-case hold) to start from a template I can edit so that they match our company.</t>
        </is>
      </c>
      <c r="N1076" s="5" t="inlineStr">
        <is>
          <t>• Given a new company, when lifecycle settings open, then each policy shows a clearly labelled starter template (YX-LC-25).
• Given HR changes a value, when saved, then it is a dated company setting and the change is audited (YX-LC-25).
• Given a value below a legal minimum in P07, when HR saves it, then it is refused; a more generous value is allowed (YX-LC-25).</t>
        </is>
      </c>
      <c r="O1076" s="5" t="inlineStr">
        <is>
          <t>YX-LC-25</t>
        </is>
      </c>
      <c r="P1076" t="inlineStr">
        <is>
          <t>M01</t>
        </is>
      </c>
      <c r="Q1076" t="inlineStr"/>
      <c r="R1076" s="5" t="inlineStr"/>
    </row>
    <row r="1077">
      <c r="A1077" s="9" t="inlineStr">
        <is>
          <t>FT-D-011</t>
        </is>
      </c>
      <c r="B1077" s="9" t="n">
        <v>910</v>
      </c>
      <c r="C1077" s="9" t="inlineStr">
        <is>
          <t>Feature</t>
        </is>
      </c>
      <c r="D1077" s="10" t="inlineStr">
        <is>
          <t xml:space="preserve">    Pre-boarding and joining</t>
        </is>
      </c>
      <c r="E1077" s="9" t="inlineStr">
        <is>
          <t>Employee lifecycle: onboarding, exit and F&amp;F</t>
        </is>
      </c>
      <c r="F1077" s="9" t="inlineStr">
        <is>
          <t>Pre-boarding and joining</t>
        </is>
      </c>
      <c r="G1077" s="9" t="inlineStr">
        <is>
          <t>New</t>
        </is>
      </c>
      <c r="H1077" s="9" t="n"/>
      <c r="I1077" s="9">
        <f>IF(H1077&lt;&gt;"",H1077,G1077)</f>
        <v/>
      </c>
      <c r="J1077" s="9" t="inlineStr">
        <is>
          <t>Wave 4 · Lifecycle</t>
        </is>
      </c>
      <c r="K1077" s="9" t="n"/>
      <c r="L1077" s="9" t="n"/>
      <c r="M1077" s="10" t="inlineStr"/>
      <c r="N1077" s="10" t="inlineStr"/>
      <c r="O1077" s="10" t="inlineStr"/>
      <c r="P1077" s="9" t="inlineStr">
        <is>
          <t>M01, M10</t>
        </is>
      </c>
      <c r="Q1077" s="9" t="inlineStr"/>
      <c r="R1077" s="10" t="inlineStr"/>
      <c r="S1077" s="9" t="n"/>
    </row>
    <row r="1078">
      <c r="A1078" t="inlineStr">
        <is>
          <t>US-D-041</t>
        </is>
      </c>
      <c r="B1078" t="n">
        <v>911</v>
      </c>
      <c r="C1078" t="inlineStr">
        <is>
          <t>Story</t>
        </is>
      </c>
      <c r="D1078" s="5" t="inlineStr">
        <is>
          <t xml:space="preserve">        Accepted offer hands off to pre-boarding</t>
        </is>
      </c>
      <c r="E1078" t="inlineStr">
        <is>
          <t>Employee lifecycle: onboarding, exit and F&amp;F</t>
        </is>
      </c>
      <c r="F1078" t="inlineStr">
        <is>
          <t>Pre-boarding and joining</t>
        </is>
      </c>
      <c r="G1078" t="inlineStr">
        <is>
          <t>New</t>
        </is>
      </c>
      <c r="I1078">
        <f>IF(H1078&lt;&gt;"",H1078,G1078)</f>
        <v/>
      </c>
      <c r="J1078" t="inlineStr">
        <is>
          <t>Wave 4 · Lifecycle</t>
        </is>
      </c>
      <c r="K1078" t="n">
        <v>5</v>
      </c>
      <c r="L1078" t="n">
        <v>1</v>
      </c>
      <c r="M1078" s="5" t="inlineStr">
        <is>
          <t>As an HR admin, I want an accepted offer to start pre-boarding (automatically or from a 'Ready to onboard' queue) so that nobody re-types data.</t>
        </is>
      </c>
      <c r="N1078" s="5" t="inlineStr">
        <is>
          <t>• Given the entity's hand-off mode is automatic, when a candidate accepts the offer, then a pre-boarding record is created (M01 §3.5, M10 Q2).
• Given manual mode, when HR clicks 'Create employee' in the 'Ready to onboard' queue, then the record is pre-filled from the offer (M01 §3.5).
• Given direct entry or a bulk import file, when HR uploads it, then a validation preview shows errors before records are created (M01 Q1).
• Given a pre-boarder, when billing runs, then they are not counted as an active employee (YX-LC-12).</t>
        </is>
      </c>
      <c r="O1078" s="5" t="inlineStr">
        <is>
          <t>YX-LC-12</t>
        </is>
      </c>
      <c r="P1078" t="inlineStr">
        <is>
          <t>M01, M10</t>
        </is>
      </c>
      <c r="Q1078" t="inlineStr">
        <is>
          <t>US-D-037</t>
        </is>
      </c>
      <c r="R1078" s="5" t="inlineStr"/>
    </row>
    <row r="1079">
      <c r="A1079" t="inlineStr">
        <is>
          <t>US-D-042</t>
        </is>
      </c>
      <c r="B1079" t="n">
        <v>912</v>
      </c>
      <c r="C1079" t="inlineStr">
        <is>
          <t>Story</t>
        </is>
      </c>
      <c r="D1079" s="5" t="inlineStr">
        <is>
          <t xml:space="preserve">        Onboarding branches by person type</t>
        </is>
      </c>
      <c r="E1079" t="inlineStr">
        <is>
          <t>Employee lifecycle: onboarding, exit and F&amp;F</t>
        </is>
      </c>
      <c r="F1079" t="inlineStr">
        <is>
          <t>Pre-boarding and joining</t>
        </is>
      </c>
      <c r="G1079" t="inlineStr">
        <is>
          <t>New</t>
        </is>
      </c>
      <c r="I1079">
        <f>IF(H1079&lt;&gt;"",H1079,G1079)</f>
        <v/>
      </c>
      <c r="J1079" t="inlineStr">
        <is>
          <t>Wave 4 · Lifecycle</t>
        </is>
      </c>
      <c r="K1079" t="n">
        <v>5</v>
      </c>
      <c r="L1079" t="n">
        <v>1</v>
      </c>
      <c r="M1079" s="5" t="inlineStr">
        <is>
          <t>As an HR admin, I want the system to know if the hire is new, a rehire, an internal mover or a contractor so that each follows the right path.</t>
        </is>
      </c>
      <c r="N1079" s="5" t="inlineStr">
        <is>
          <t>• Given a hire, when the person type is decided, then it comes from the P01 person record, not from the name or email (YX-LC-11).
• Given an ex-employee, when hired again, then a new employment opens on the existing employee record, pre-filled from the old one (YX-LC-11).
• Given an internal employee, when hired into a new role, then it is a P06 transfer / promotion on the release date agreed with the current manager, not an onboarding (YX-LC-11).
• Given a contract worker converts, when the employment starts, then deployments, site attendance and register rows stay and show on the employee timeline; contract service counts for probation only if the company setting says so (YX-LC-30).</t>
        </is>
      </c>
      <c r="O1079" s="5" t="inlineStr">
        <is>
          <t>YX-LC-11, YX-LC-30</t>
        </is>
      </c>
      <c r="P1079" t="inlineStr">
        <is>
          <t>M01, M10</t>
        </is>
      </c>
      <c r="Q1079" t="inlineStr">
        <is>
          <t>US-D-041</t>
        </is>
      </c>
      <c r="R1079" s="5" t="inlineStr"/>
    </row>
    <row r="1080">
      <c r="A1080" t="inlineStr">
        <is>
          <t>US-D-043</t>
        </is>
      </c>
      <c r="B1080" t="n">
        <v>913</v>
      </c>
      <c r="C1080" t="inlineStr">
        <is>
          <t>Story</t>
        </is>
      </c>
      <c r="D1080" s="5" t="inlineStr">
        <is>
          <t xml:space="preserve">        HR applies the rehire policy with an impact preview</t>
        </is>
      </c>
      <c r="E1080" t="inlineStr">
        <is>
          <t>Employee lifecycle: onboarding, exit and F&amp;F</t>
        </is>
      </c>
      <c r="F1080" t="inlineStr">
        <is>
          <t>Pre-boarding and joining</t>
        </is>
      </c>
      <c r="G1080" t="inlineStr">
        <is>
          <t>New</t>
        </is>
      </c>
      <c r="I1080">
        <f>IF(H1080&lt;&gt;"",H1080,G1080)</f>
        <v/>
      </c>
      <c r="J1080" t="inlineStr">
        <is>
          <t>Wave 4 · Lifecycle</t>
        </is>
      </c>
      <c r="K1080" t="n">
        <v>5</v>
      </c>
      <c r="L1080" t="n">
        <v>1</v>
      </c>
      <c r="M1080" s="5" t="inlineStr">
        <is>
          <t>As an HR admin, I want rehire options (code, PF, tax, service, gratuity, leave, probation, prior records) to default from our policy so that rehires are quick and correct.</t>
        </is>
      </c>
      <c r="N1080" s="5" t="inlineStr">
        <is>
          <t>• Given a rehire, when HR opens it, then each option defaults from the company rehire policy (starter: fresh start, same record, code and UAN) (YX-LC-18).
• Given HR changes an option, when saving, then a reason is required and the override is audited (YX-LC-18).
• Given the same entity and FY, when 'combine YTD' is chosen, then income and TDS are combined per PAN × TAN × FY for one Form 16 (YX-LC-18).
• Given the choices, when HR confirms, then an impact preview shows what continues before saving (YX-LC-18).</t>
        </is>
      </c>
      <c r="O1080" s="5" t="inlineStr">
        <is>
          <t>YX-LC-18</t>
        </is>
      </c>
      <c r="P1080" t="inlineStr">
        <is>
          <t>M01, M10</t>
        </is>
      </c>
      <c r="Q1080" t="inlineStr">
        <is>
          <t>US-D-042</t>
        </is>
      </c>
      <c r="R1080" s="5" t="inlineStr"/>
    </row>
    <row r="1081">
      <c r="A1081" t="inlineStr">
        <is>
          <t>US-D-044</t>
        </is>
      </c>
      <c r="B1081" t="n">
        <v>914</v>
      </c>
      <c r="C1081" t="inlineStr">
        <is>
          <t>Story</t>
        </is>
      </c>
      <c r="D1081" s="5" t="inlineStr">
        <is>
          <t xml:space="preserve">        Recruiter sees an 'Ex-employee' flag from the first screen</t>
        </is>
      </c>
      <c r="E1081" t="inlineStr">
        <is>
          <t>Employee lifecycle: onboarding, exit and F&amp;F</t>
        </is>
      </c>
      <c r="F1081" t="inlineStr">
        <is>
          <t>Pre-boarding and joining</t>
        </is>
      </c>
      <c r="G1081" t="inlineStr">
        <is>
          <t>New</t>
        </is>
      </c>
      <c r="I1081">
        <f>IF(H1081&lt;&gt;"",H1081,G1081)</f>
        <v/>
      </c>
      <c r="J1081" t="inlineStr">
        <is>
          <t>Wave 4 · Lifecycle</t>
        </is>
      </c>
      <c r="K1081" t="n">
        <v>3</v>
      </c>
      <c r="L1081" t="n">
        <v>1</v>
      </c>
      <c r="M1081" s="5" t="inlineStr">
        <is>
          <t>As a recruiter, I want past employees flagged as soon as they apply so that I know their rehire status early.</t>
        </is>
      </c>
      <c r="N1081" s="5" t="inlineStr">
        <is>
          <t>• Given an application linked to a person with a past employment, when it shows, then it is marked 'Ex-employee' from the first screen and through screening (YX-LC-29).
• Given the recruiter or HR, when they open it, then they see exit date, exit type and the rehire-eligible flag; the hiring manager sees only 'Ex-employee' and yes / no (YX-LC-29, YX-LC-10).
• Given a rehire-ineligible flag, when the recruiter moves the application past screening, then an alert shows; HR may clear it with a reason, and nothing is auto-rejected (YX-LC-29).
• Given prior records and reasons, when shown, then visibility follows the rehire policy's prior-record setting (YX-LC-29, YX-LC-18).</t>
        </is>
      </c>
      <c r="O1081" s="5" t="inlineStr">
        <is>
          <t>YX-LC-29, YX-LC-10</t>
        </is>
      </c>
      <c r="P1081" t="inlineStr">
        <is>
          <t>M01, M10</t>
        </is>
      </c>
      <c r="Q1081" t="inlineStr">
        <is>
          <t>US-D-043</t>
        </is>
      </c>
      <c r="R1081" s="5" t="inlineStr"/>
    </row>
    <row r="1082">
      <c r="A1082" t="inlineStr">
        <is>
          <t>US-D-045</t>
        </is>
      </c>
      <c r="B1082" t="n">
        <v>915</v>
      </c>
      <c r="C1082" t="inlineStr">
        <is>
          <t>Story</t>
        </is>
      </c>
      <c r="D1082" s="5" t="inlineStr">
        <is>
          <t xml:space="preserve">        New joiner completes the pre-boarding portal on the phone</t>
        </is>
      </c>
      <c r="E1082" t="inlineStr">
        <is>
          <t>Employee lifecycle: onboarding, exit and F&amp;F</t>
        </is>
      </c>
      <c r="F1082" t="inlineStr">
        <is>
          <t>Pre-boarding and joining</t>
        </is>
      </c>
      <c r="G1082" t="inlineStr">
        <is>
          <t>New</t>
        </is>
      </c>
      <c r="I1082">
        <f>IF(H1082&lt;&gt;"",H1082,G1082)</f>
        <v/>
      </c>
      <c r="J1082" t="inlineStr">
        <is>
          <t>Wave 4 · Lifecycle</t>
        </is>
      </c>
      <c r="K1082" t="n">
        <v>5</v>
      </c>
      <c r="L1082" t="n">
        <v>1</v>
      </c>
      <c r="M1082" s="5" t="inlineStr">
        <is>
          <t>As a new joiner, I want a simple mobile portal with OTP login to fill my details and upload documents before day 1 so that joining is smooth.</t>
        </is>
      </c>
      <c r="N1082" s="5" t="inlineStr">
        <is>
          <t>• Given an OTP login, when the joiner signs in, then they see the welcome page and the checklist configured for their entity / department / role (M01 Q2).
• Given the forms, when the joiner fills personal, family &amp; nominees, emergency, education, previous employment and previous-employer income, then progress is saved per section (M01 §3.5).
• Given document uploads by camera, when submitted, then they are stored as P05 documents for HR to verify (M01 §3.5).
• Given bank details, when entered, then they are auto-verified (P10) and the joiner picks the tax regime (M01 §3.5).</t>
        </is>
      </c>
      <c r="O1082" s="5" t="inlineStr"/>
      <c r="P1082" t="inlineStr">
        <is>
          <t>M01, M10</t>
        </is>
      </c>
      <c r="Q1082" t="inlineStr">
        <is>
          <t>US-D-041</t>
        </is>
      </c>
      <c r="R1082" s="5" t="inlineStr"/>
    </row>
    <row r="1083">
      <c r="A1083" t="inlineStr">
        <is>
          <t>US-D-046</t>
        </is>
      </c>
      <c r="B1083" t="n">
        <v>916</v>
      </c>
      <c r="C1083" t="inlineStr">
        <is>
          <t>Story</t>
        </is>
      </c>
      <c r="D1083" s="5" t="inlineStr">
        <is>
          <t xml:space="preserve">        Every joiner gets an issued appointment letter</t>
        </is>
      </c>
      <c r="E1083" t="inlineStr">
        <is>
          <t>Employee lifecycle: onboarding, exit and F&amp;F</t>
        </is>
      </c>
      <c r="F1083" t="inlineStr">
        <is>
          <t>Pre-boarding and joining</t>
        </is>
      </c>
      <c r="G1083" t="inlineStr">
        <is>
          <t>New</t>
        </is>
      </c>
      <c r="I1083">
        <f>IF(H1083&lt;&gt;"",H1083,G1083)</f>
        <v/>
      </c>
      <c r="J1083" t="inlineStr">
        <is>
          <t>Wave 4 · Lifecycle</t>
        </is>
      </c>
      <c r="K1083" t="n">
        <v>3</v>
      </c>
      <c r="L1083" t="n">
        <v>1</v>
      </c>
      <c r="M1083" s="5" t="inlineStr">
        <is>
          <t>As an HR admin, I want an appointment-letter task in every onboarding template that I cannot remove so that we follow the OSH Code.</t>
        </is>
      </c>
      <c r="N1083" s="5" t="inlineStr">
        <is>
          <t>• Given any onboarding template, when it is edited, then the 'Issue appointment letter' task cannot be removed; only owner and offset can change (YX-LC-26).
• Given a joiner of any employment type, when the P05 letter is issued, then the task completes (acceptance / e-sign tracked separately) (YX-LC-26).
• Given the due date passes with no letter, when the next check runs, then HR and the compliance calendar get an alert and M03 pre-flight warns (YX-LC-26).
• Given go-live, when HR runs the check, then employees with no letter on file are listed for bulk issue (YX-LC-26).</t>
        </is>
      </c>
      <c r="O1083" s="5" t="inlineStr">
        <is>
          <t>YX-LC-26</t>
        </is>
      </c>
      <c r="P1083" t="inlineStr">
        <is>
          <t>M01, P05</t>
        </is>
      </c>
      <c r="Q1083" t="inlineStr">
        <is>
          <t>US-D-037</t>
        </is>
      </c>
      <c r="R1083" s="5" t="inlineStr"/>
    </row>
    <row r="1084">
      <c r="A1084" t="inlineStr">
        <is>
          <t>US-D-047</t>
        </is>
      </c>
      <c r="B1084" t="n">
        <v>917</v>
      </c>
      <c r="C1084" t="inlineStr">
        <is>
          <t>Story</t>
        </is>
      </c>
      <c r="D1084" s="5" t="inlineStr">
        <is>
          <t xml:space="preserve">        HR postpones a joining date and the journey moves</t>
        </is>
      </c>
      <c r="E1084" t="inlineStr">
        <is>
          <t>Employee lifecycle: onboarding, exit and F&amp;F</t>
        </is>
      </c>
      <c r="F1084" t="inlineStr">
        <is>
          <t>Pre-boarding and joining</t>
        </is>
      </c>
      <c r="G1084" t="inlineStr">
        <is>
          <t>New</t>
        </is>
      </c>
      <c r="I1084">
        <f>IF(H1084&lt;&gt;"",H1084,G1084)</f>
        <v/>
      </c>
      <c r="J1084" t="inlineStr">
        <is>
          <t>Wave 4 · Lifecycle</t>
        </is>
      </c>
      <c r="K1084" t="n">
        <v>2</v>
      </c>
      <c r="L1084" t="n">
        <v>1</v>
      </c>
      <c r="M1084" s="5" t="inlineStr">
        <is>
          <t>As an HR admin, I want to change a joining date and have every open task move with it so that I don't fix dates by hand.</t>
        </is>
      </c>
      <c r="N1084" s="5" t="inlineStr">
        <is>
          <t>• Given a pre-boarder, when HR changes the joining date, then every open task's due date moves by the same days (YX-LC-13).
• Given the change, when saved, then draft compensation, assignment start and probation dates move too (YX-LC-13).
• Given completed tasks, when the date changes, then they are untouched (YX-LC-13).</t>
        </is>
      </c>
      <c r="O1084" s="5" t="inlineStr">
        <is>
          <t>YX-LC-13</t>
        </is>
      </c>
      <c r="P1084" t="inlineStr">
        <is>
          <t>M01, M10</t>
        </is>
      </c>
      <c r="Q1084" t="inlineStr">
        <is>
          <t>US-D-041</t>
        </is>
      </c>
      <c r="R1084" s="5" t="inlineStr"/>
    </row>
    <row r="1085">
      <c r="A1085" t="inlineStr">
        <is>
          <t>US-D-048</t>
        </is>
      </c>
      <c r="B1085" t="n">
        <v>918</v>
      </c>
      <c r="C1085" t="inlineStr">
        <is>
          <t>Story</t>
        </is>
      </c>
      <c r="D1085" s="5" t="inlineStr">
        <is>
          <t xml:space="preserve">        HR marks a pre-boarder as did not join, reneged or withdrawn</t>
        </is>
      </c>
      <c r="E1085" t="inlineStr">
        <is>
          <t>Employee lifecycle: onboarding, exit and F&amp;F</t>
        </is>
      </c>
      <c r="F1085" t="inlineStr">
        <is>
          <t>Pre-boarding and joining</t>
        </is>
      </c>
      <c r="G1085" t="inlineStr">
        <is>
          <t>New</t>
        </is>
      </c>
      <c r="I1085">
        <f>IF(H1085&lt;&gt;"",H1085,G1085)</f>
        <v/>
      </c>
      <c r="J1085" t="inlineStr">
        <is>
          <t>Wave 4 · Lifecycle</t>
        </is>
      </c>
      <c r="K1085" t="n">
        <v>3</v>
      </c>
      <c r="L1085" t="n">
        <v>1</v>
      </c>
      <c r="M1085" s="5" t="inlineStr">
        <is>
          <t>As an HR admin, I want one action to undo a hire who did not join so that the requisition reopens and no record is left half-done.</t>
        </is>
      </c>
      <c r="N1085" s="5" t="inlineStr">
        <is>
          <t>• Given 'did not join' or 'reneged', when HR records it with a reason, then employee, employment, draft compensation and pre-boarding login are cancelled (kept, not deleted) in one audited action (YX-LC-12).
• Given the unwind, when it completes, then the M10 headcount-plan slot is released, the requisition reopens and the candidate is marked reneged (YX-LC-12).
• Given the company withdraws an accepted offer, when HR does it, then a reason is mandatory, a withdrawal letter is issued, and it is never automatic (YX-LC-12).
• Given a BGV discrepancy, when it is found, then HR is flagged and the offer is never withdrawn automatically (M01 §3.5 BGV).</t>
        </is>
      </c>
      <c r="O1085" s="5" t="inlineStr">
        <is>
          <t>YX-LC-12</t>
        </is>
      </c>
      <c r="P1085" t="inlineStr">
        <is>
          <t>M01, M10</t>
        </is>
      </c>
      <c r="Q1085" t="inlineStr">
        <is>
          <t>US-D-041</t>
        </is>
      </c>
      <c r="R1085" s="5" t="inlineStr"/>
    </row>
    <row r="1086">
      <c r="A1086" t="inlineStr">
        <is>
          <t>US-D-049</t>
        </is>
      </c>
      <c r="B1086" t="n">
        <v>919</v>
      </c>
      <c r="C1086" t="inlineStr">
        <is>
          <t>Story</t>
        </is>
      </c>
      <c r="D1086" s="5" t="inlineStr">
        <is>
          <t xml:space="preserve">        HR runs a campus batch with long pre-boarding</t>
        </is>
      </c>
      <c r="E1086" t="inlineStr">
        <is>
          <t>Employee lifecycle: onboarding, exit and F&amp;F</t>
        </is>
      </c>
      <c r="F1086" t="inlineStr">
        <is>
          <t>Pre-boarding and joining</t>
        </is>
      </c>
      <c r="G1086" t="inlineStr">
        <is>
          <t>New</t>
        </is>
      </c>
      <c r="I1086">
        <f>IF(H1086&lt;&gt;"",H1086,G1086)</f>
        <v/>
      </c>
      <c r="J1086" t="inlineStr">
        <is>
          <t>Wave 4 · Lifecycle</t>
        </is>
      </c>
      <c r="K1086" t="n">
        <v>3</v>
      </c>
      <c r="L1086" t="n">
        <v>2</v>
      </c>
      <c r="M1086" s="5" t="inlineStr">
        <is>
          <t>As an HR admin, I want campus hires grouped in a batch with touchpoints over months so that they stay engaged until joining.</t>
        </is>
      </c>
      <c r="N1086" s="5" t="inlineStr">
        <is>
          <t>• Given a batch with a common joining date, when HR changes the batch date, then every member's journey re-anchors (YX-LC-24, YX-LC-13).
• Given engagement touchpoints at offsets from joining, when their dates come, then messages, content or events are sent (YX-LC-24).
• Given an LOI before the offer, when HR issues it, then it sits on the same pre-boarding record and the offer follows later (YX-LC-24).
• Given months of pre-boarding, when billing runs, then the pre-boarders are not billed (YX-LC-24).</t>
        </is>
      </c>
      <c r="O1086" s="5" t="inlineStr">
        <is>
          <t>YX-LC-24</t>
        </is>
      </c>
      <c r="P1086" t="inlineStr">
        <is>
          <t>M01, M10</t>
        </is>
      </c>
      <c r="Q1086" t="inlineStr">
        <is>
          <t>US-D-047</t>
        </is>
      </c>
      <c r="R1086" s="5" t="inlineStr"/>
    </row>
    <row r="1087">
      <c r="A1087" t="inlineStr">
        <is>
          <t>US-D-050</t>
        </is>
      </c>
      <c r="B1087" t="n">
        <v>920</v>
      </c>
      <c r="C1087" t="inlineStr">
        <is>
          <t>Story</t>
        </is>
      </c>
      <c r="D1087" s="5" t="inlineStr">
        <is>
          <t xml:space="preserve">        HR tracks background verification with consent</t>
        </is>
      </c>
      <c r="E1087" t="inlineStr">
        <is>
          <t>Employee lifecycle: onboarding, exit and F&amp;F</t>
        </is>
      </c>
      <c r="F1087" t="inlineStr">
        <is>
          <t>Pre-boarding and joining</t>
        </is>
      </c>
      <c r="G1087" t="inlineStr">
        <is>
          <t>New</t>
        </is>
      </c>
      <c r="I1087">
        <f>IF(H1087&lt;&gt;"",H1087,G1087)</f>
        <v/>
      </c>
      <c r="J1087" t="inlineStr">
        <is>
          <t>Wave 4 · Lifecycle</t>
        </is>
      </c>
      <c r="K1087" t="n">
        <v>3</v>
      </c>
      <c r="L1087" t="n">
        <v>2</v>
      </c>
      <c r="M1087" s="5" t="inlineStr">
        <is>
          <t>As an HR admin, I want BGV started after offer acceptance with the joiner's consent so that results are on file before confirmation.</t>
        </is>
      </c>
      <c r="N1087" s="5" t="inlineStr">
        <is>
          <t>• Given an accepted offer, when BGV starts (by default after acceptance), then the joiner gives consent first (M01 §3.5 BGV).
• Given the partner add-on or manual tracking, when results arrive, then they are stored as documents (M01 §3.5).
• Given an outcome gate such as 'clear before confirmation', when results are not clear, then the gate blocks that step and HR is told; the offer is never auto-withdrawn (M01 §3.5, YX-LC-12).</t>
        </is>
      </c>
      <c r="O1087" s="5" t="inlineStr">
        <is>
          <t>YX-LC-12</t>
        </is>
      </c>
      <c r="P1087" t="inlineStr">
        <is>
          <t>M01, M10</t>
        </is>
      </c>
      <c r="Q1087" t="inlineStr">
        <is>
          <t>US-D-041</t>
        </is>
      </c>
      <c r="R1087" s="5" t="inlineStr"/>
    </row>
    <row r="1088">
      <c r="A1088" t="inlineStr">
        <is>
          <t>US-D-051</t>
        </is>
      </c>
      <c r="B1088" t="n">
        <v>921</v>
      </c>
      <c r="C1088" t="inlineStr">
        <is>
          <t>Story</t>
        </is>
      </c>
      <c r="D1088" s="5" t="inlineStr">
        <is>
          <t xml:space="preserve">        Manager assigns an onboarding buddy</t>
        </is>
      </c>
      <c r="E1088" t="inlineStr">
        <is>
          <t>Employee lifecycle: onboarding, exit and F&amp;F</t>
        </is>
      </c>
      <c r="F1088" t="inlineStr">
        <is>
          <t>Pre-boarding and joining</t>
        </is>
      </c>
      <c r="G1088" t="inlineStr">
        <is>
          <t>New</t>
        </is>
      </c>
      <c r="I1088">
        <f>IF(H1088&lt;&gt;"",H1088,G1088)</f>
        <v/>
      </c>
      <c r="J1088" t="inlineStr">
        <is>
          <t>Wave 4 · Lifecycle</t>
        </is>
      </c>
      <c r="K1088" t="n">
        <v>3</v>
      </c>
      <c r="L1088" t="n">
        <v>2</v>
      </c>
      <c r="M1088" s="5" t="inlineStr">
        <is>
          <t>As a manager, I want to give my new joiner a buddy from the team so that they settle in faster.</t>
        </is>
      </c>
      <c r="N1088" s="5" t="inlineStr">
        <is>
          <t>• Given pre-boarding, when HR or the manager assigns a buddy, then suggestions come from the same team / location and the manager can't be the buddy (YX-LC-33).
• Given a buddy, when assigned, then buddy tasks (welcome call, day-1 lunch, 30-day check-in) and reminders are created from the template (YX-LC-33).
• Given day 30 and day 90, when they arrive, then both sides get a short feedback form (YX-LC-33).
• Given a buddy at the company cap, when HR tries to add another joiner, then it is refused (YX-LC-33).</t>
        </is>
      </c>
      <c r="O1088" s="5" t="inlineStr">
        <is>
          <t>YX-LC-33</t>
        </is>
      </c>
      <c r="P1088" t="inlineStr">
        <is>
          <t>M01, M10</t>
        </is>
      </c>
      <c r="Q1088" t="inlineStr">
        <is>
          <t>US-D-037</t>
        </is>
      </c>
      <c r="R1088" s="5" t="inlineStr"/>
    </row>
    <row r="1089">
      <c r="A1089" t="inlineStr">
        <is>
          <t>US-D-052</t>
        </is>
      </c>
      <c r="B1089" t="n">
        <v>922</v>
      </c>
      <c r="C1089" t="inlineStr">
        <is>
          <t>Story</t>
        </is>
      </c>
      <c r="D1089" s="5" t="inlineStr">
        <is>
          <t xml:space="preserve">        Pre-boarder becomes an employee on the joining day</t>
        </is>
      </c>
      <c r="E1089" t="inlineStr">
        <is>
          <t>Employee lifecycle: onboarding, exit and F&amp;F</t>
        </is>
      </c>
      <c r="F1089" t="inlineStr">
        <is>
          <t>Pre-boarding and joining</t>
        </is>
      </c>
      <c r="G1089" t="inlineStr">
        <is>
          <t>New</t>
        </is>
      </c>
      <c r="I1089">
        <f>IF(H1089&lt;&gt;"",H1089,G1089)</f>
        <v/>
      </c>
      <c r="J1089" t="inlineStr">
        <is>
          <t>Wave 4 · Lifecycle</t>
        </is>
      </c>
      <c r="K1089" t="n">
        <v>3</v>
      </c>
      <c r="L1089" t="n">
        <v>1</v>
      </c>
      <c r="M1089" s="5" t="inlineStr">
        <is>
          <t>As an HR admin, I want a joiner to become an employee on day 1 with all pre-boarding data moved so that nobody types it again.</t>
        </is>
      </c>
      <c r="N1089" s="5" t="inlineStr">
        <is>
          <t>• Given the joining date or 'Mark joined', when it happens, then employment, first assignment and user account (+ SSO) are created (M01 §3.5).
• Given pre-boarding data, when the person joins, then it becomes employee data without re-entry (YX-LC-03).
• Given unverified mandatory documents, when payroll pre-flight runs, then they are flagged (YX-LC-03).
• Given billing, when the person joins, then metering starts from the joining date (YX-LC-12).</t>
        </is>
      </c>
      <c r="O1089" s="5" t="inlineStr">
        <is>
          <t>YX-LC-03</t>
        </is>
      </c>
      <c r="P1089" t="inlineStr">
        <is>
          <t>M01, M10</t>
        </is>
      </c>
      <c r="Q1089" t="inlineStr">
        <is>
          <t>US-D-045</t>
        </is>
      </c>
      <c r="R1089" s="5" t="inlineStr"/>
    </row>
    <row r="1090">
      <c r="A1090" t="inlineStr">
        <is>
          <t>US-D-053</t>
        </is>
      </c>
      <c r="B1090" t="n">
        <v>923</v>
      </c>
      <c r="C1090" t="inlineStr">
        <is>
          <t>Story</t>
        </is>
      </c>
      <c r="D1090" s="5" t="inlineStr">
        <is>
          <t xml:space="preserve">        Day-1 identity check before access is granted</t>
        </is>
      </c>
      <c r="E1090" t="inlineStr">
        <is>
          <t>Employee lifecycle: onboarding, exit and F&amp;F</t>
        </is>
      </c>
      <c r="F1090" t="inlineStr">
        <is>
          <t>Pre-boarding and joining</t>
        </is>
      </c>
      <c r="G1090" t="inlineStr">
        <is>
          <t>New</t>
        </is>
      </c>
      <c r="I1090">
        <f>IF(H1090&lt;&gt;"",H1090,G1090)</f>
        <v/>
      </c>
      <c r="J1090" t="inlineStr">
        <is>
          <t>Wave 4 · Lifecycle</t>
        </is>
      </c>
      <c r="K1090" t="n">
        <v>3</v>
      </c>
      <c r="L1090" t="n">
        <v>1</v>
      </c>
      <c r="M1090" s="5" t="inlineStr">
        <is>
          <t>As an HR admin, I want the joiner matched to the identity captured earlier before they get system access so that the right person joins.</t>
        </is>
      </c>
      <c r="N1090" s="5" t="inlineStr">
        <is>
          <t>• Given consent, when the joiner arrives on day 1, then they are matched against the identity-chain capture before access is granted (YX-LC-31).
• Given a mismatch, when it happens, then an HR review flag is raised and joining is never auto-blocked (YX-LC-31).
• Given face detection off, no capture or refused consent, when HR checks the original ID, then the HR attestation is recorded (YX-LC-31).</t>
        </is>
      </c>
      <c r="O1090" s="5" t="inlineStr">
        <is>
          <t>YX-LC-31</t>
        </is>
      </c>
      <c r="P1090" t="inlineStr">
        <is>
          <t>M01, M10</t>
        </is>
      </c>
      <c r="Q1090" t="inlineStr">
        <is>
          <t>US-D-052</t>
        </is>
      </c>
      <c r="R1090" s="5" t="inlineStr"/>
    </row>
    <row r="1091">
      <c r="A1091" s="9" t="inlineStr">
        <is>
          <t>FT-D-012</t>
        </is>
      </c>
      <c r="B1091" s="9" t="n">
        <v>930</v>
      </c>
      <c r="C1091" s="9" t="inlineStr">
        <is>
          <t>Feature</t>
        </is>
      </c>
      <c r="D1091" s="10" t="inlineStr">
        <is>
          <t xml:space="preserve">    Asset issue and return (uses the M14 asset register)</t>
        </is>
      </c>
      <c r="E1091" s="9" t="inlineStr">
        <is>
          <t>Employee lifecycle: onboarding, exit and F&amp;F</t>
        </is>
      </c>
      <c r="F1091" s="9" t="inlineStr">
        <is>
          <t>Asset issue and return (uses the M14 asset register)</t>
        </is>
      </c>
      <c r="G1091" s="9" t="inlineStr">
        <is>
          <t>New</t>
        </is>
      </c>
      <c r="H1091" s="9" t="n"/>
      <c r="I1091" s="9">
        <f>IF(H1091&lt;&gt;"",H1091,G1091)</f>
        <v/>
      </c>
      <c r="J1091" s="9" t="inlineStr">
        <is>
          <t>Wave 4 · Lifecycle</t>
        </is>
      </c>
      <c r="K1091" s="9" t="n"/>
      <c r="L1091" s="9" t="n"/>
      <c r="M1091" s="10" t="inlineStr"/>
      <c r="N1091" s="10" t="inlineStr"/>
      <c r="O1091" s="10" t="inlineStr"/>
      <c r="P1091" s="9" t="inlineStr">
        <is>
          <t>M01, M14</t>
        </is>
      </c>
      <c r="Q1091" s="9" t="inlineStr"/>
      <c r="R1091" s="10" t="inlineStr"/>
      <c r="S1091" s="9" t="n"/>
    </row>
    <row r="1092">
      <c r="A1092" t="inlineStr">
        <is>
          <t>US-D-054</t>
        </is>
      </c>
      <c r="B1092" t="n">
        <v>931</v>
      </c>
      <c r="C1092" t="inlineStr">
        <is>
          <t>Story</t>
        </is>
      </c>
      <c r="D1092" s="5" t="inlineStr">
        <is>
          <t xml:space="preserve">        IT issues an asset from the onboarding checklist</t>
        </is>
      </c>
      <c r="E1092" t="inlineStr">
        <is>
          <t>Employee lifecycle: onboarding, exit and F&amp;F</t>
        </is>
      </c>
      <c r="F1092" t="inlineStr">
        <is>
          <t>Asset issue and return (uses the M14 asset register)</t>
        </is>
      </c>
      <c r="G1092" t="inlineStr">
        <is>
          <t>New</t>
        </is>
      </c>
      <c r="I1092">
        <f>IF(H1092&lt;&gt;"",H1092,G1092)</f>
        <v/>
      </c>
      <c r="J1092" t="inlineStr">
        <is>
          <t>Wave 4 · Lifecycle</t>
        </is>
      </c>
      <c r="K1092" t="n">
        <v>3</v>
      </c>
      <c r="L1092" t="n">
        <v>1</v>
      </c>
      <c r="M1092" s="5" t="inlineStr">
        <is>
          <t>As an IT admin, I want an onboarding task to issue a laptop from the M14 asset register so that the joiner's assets are tracked.</t>
        </is>
      </c>
      <c r="N1092" s="5" t="inlineStr">
        <is>
          <t>• Given an 'issue asset' task, when IT completes it, then an assignment is created on the M14 asset record, not in a separate M01 register (M01 §3.6, M14).
• Given the assignment, when it is made, then condition and issue date are recorded and the employee acknowledges by click or e-sign (M01 §3.6).
• Given the employee's profile, when HR opens it, then assets held are listed from the M14 register (M01 §3.6, YX-LC-02).</t>
        </is>
      </c>
      <c r="O1092" s="5" t="inlineStr">
        <is>
          <t>YX-LC-02</t>
        </is>
      </c>
      <c r="P1092" t="inlineStr">
        <is>
          <t>M01, M14</t>
        </is>
      </c>
      <c r="Q1092" t="inlineStr">
        <is>
          <t>US-D-037</t>
        </is>
      </c>
      <c r="R1092" s="5" t="inlineStr"/>
    </row>
    <row r="1093">
      <c r="A1093" t="inlineStr">
        <is>
          <t>US-D-055</t>
        </is>
      </c>
      <c r="B1093" t="n">
        <v>932</v>
      </c>
      <c r="C1093" t="inlineStr">
        <is>
          <t>Story</t>
        </is>
      </c>
      <c r="D1093" s="5" t="inlineStr">
        <is>
          <t xml:space="preserve">        Employee returns assets at exit and unreturned ones are recovered</t>
        </is>
      </c>
      <c r="E1093" t="inlineStr">
        <is>
          <t>Employee lifecycle: onboarding, exit and F&amp;F</t>
        </is>
      </c>
      <c r="F1093" t="inlineStr">
        <is>
          <t>Asset issue and return (uses the M14 asset register)</t>
        </is>
      </c>
      <c r="G1093" t="inlineStr">
        <is>
          <t>New</t>
        </is>
      </c>
      <c r="I1093">
        <f>IF(H1093&lt;&gt;"",H1093,G1093)</f>
        <v/>
      </c>
      <c r="J1093" t="inlineStr">
        <is>
          <t>Wave 4 · Lifecycle</t>
        </is>
      </c>
      <c r="K1093" t="n">
        <v>3</v>
      </c>
      <c r="L1093" t="n">
        <v>1</v>
      </c>
      <c r="M1093" s="5" t="inlineStr">
        <is>
          <t>As an admin, I want unreturned assets to flow into clearance and F&amp;F so that we recover them.</t>
        </is>
      </c>
      <c r="N1093" s="5" t="inlineStr">
        <is>
          <t>• Given an exit case, when the LWD approaches, then every asset assigned in the M14 register shows as a clearance item (M01 §3.6).
• Given an asset is returned, when IT records return date and condition in M14, then the clearance item closes (M01 §3.6).
• Given an asset is not returned, when the F&amp;F is calculated, then the recovery amount is pulled into F&amp;F and refreshed until F&amp;F approval (YX-LC-07).
• Given a death-in-service exit, when assets are open, then the return is requested from the family and never recovered from dues without HR decision (YX-LC-16).</t>
        </is>
      </c>
      <c r="O1093" s="5" t="inlineStr">
        <is>
          <t>YX-LC-07</t>
        </is>
      </c>
      <c r="P1093" t="inlineStr">
        <is>
          <t>M01, M14</t>
        </is>
      </c>
      <c r="Q1093" t="inlineStr">
        <is>
          <t>US-D-054</t>
        </is>
      </c>
      <c r="R1093" s="5" t="inlineStr"/>
    </row>
    <row r="1094">
      <c r="A1094" s="9" t="inlineStr">
        <is>
          <t>FT-D-013</t>
        </is>
      </c>
      <c r="B1094" s="9" t="n">
        <v>940</v>
      </c>
      <c r="C1094" s="9" t="inlineStr">
        <is>
          <t>Feature</t>
        </is>
      </c>
      <c r="D1094" s="10" t="inlineStr">
        <is>
          <t xml:space="preserve">    Resignation, exit case and clearance</t>
        </is>
      </c>
      <c r="E1094" s="9" t="inlineStr">
        <is>
          <t>Employee lifecycle: onboarding, exit and F&amp;F</t>
        </is>
      </c>
      <c r="F1094" s="9" t="inlineStr">
        <is>
          <t>Resignation, exit case and clearance</t>
        </is>
      </c>
      <c r="G1094" s="9" t="inlineStr">
        <is>
          <t>New</t>
        </is>
      </c>
      <c r="H1094" s="9" t="n"/>
      <c r="I1094" s="9">
        <f>IF(H1094&lt;&gt;"",H1094,G1094)</f>
        <v/>
      </c>
      <c r="J1094" s="9" t="inlineStr">
        <is>
          <t>Wave 4 · Lifecycle</t>
        </is>
      </c>
      <c r="K1094" s="9" t="n"/>
      <c r="L1094" s="9" t="n"/>
      <c r="M1094" s="10" t="inlineStr"/>
      <c r="N1094" s="10" t="inlineStr"/>
      <c r="O1094" s="10" t="inlineStr"/>
      <c r="P1094" s="9" t="inlineStr">
        <is>
          <t>M01</t>
        </is>
      </c>
      <c r="Q1094" s="9" t="inlineStr"/>
      <c r="R1094" s="10" t="inlineStr"/>
      <c r="S1094" s="9" t="n"/>
    </row>
    <row r="1095">
      <c r="A1095" t="inlineStr">
        <is>
          <t>US-D-056</t>
        </is>
      </c>
      <c r="B1095" t="n">
        <v>941</v>
      </c>
      <c r="C1095" t="inlineStr">
        <is>
          <t>Story</t>
        </is>
      </c>
      <c r="D1095" s="5" t="inlineStr">
        <is>
          <t xml:space="preserve">        Employee submits a resignation in the app</t>
        </is>
      </c>
      <c r="E1095" t="inlineStr">
        <is>
          <t>Employee lifecycle: onboarding, exit and F&amp;F</t>
        </is>
      </c>
      <c r="F1095" t="inlineStr">
        <is>
          <t>Resignation, exit case and clearance</t>
        </is>
      </c>
      <c r="G1095" t="inlineStr">
        <is>
          <t>New</t>
        </is>
      </c>
      <c r="I1095">
        <f>IF(H1095&lt;&gt;"",H1095,G1095)</f>
        <v/>
      </c>
      <c r="J1095" t="inlineStr">
        <is>
          <t>Wave 4 · Lifecycle</t>
        </is>
      </c>
      <c r="K1095" t="n">
        <v>3</v>
      </c>
      <c r="L1095" t="n">
        <v>1</v>
      </c>
      <c r="M1095" s="5" t="inlineStr">
        <is>
          <t>As an employee, I want to resign in the app and see my last working day so that the process is clear.</t>
        </is>
      </c>
      <c r="N1095" s="5" t="inlineStr">
        <is>
          <t>• Given the employee submits a reason and proposed last day, when it is saved, then the notice period comes from the policy valid on the submission date by grade, type and confirmation status (YX-LC-04).
• Given the submission, when it routes, then manager and HR accept it through P03 (M01 Q6).
• Given acceptance, when it is done, then the standard LWD is shown and the employee badge reads 'Serving notice' (M01 §3.7).
• Given mobile, when the employee resigns, then the same flow works in Requests (YX-MOB-01).</t>
        </is>
      </c>
      <c r="O1095" s="5" t="inlineStr">
        <is>
          <t>YX-LC-04</t>
        </is>
      </c>
      <c r="P1095" t="inlineStr">
        <is>
          <t>M01</t>
        </is>
      </c>
      <c r="Q1095" t="inlineStr">
        <is>
          <t>US-D-037</t>
        </is>
      </c>
      <c r="R1095" s="5" t="inlineStr"/>
    </row>
    <row r="1096">
      <c r="A1096" t="inlineStr">
        <is>
          <t>US-D-057</t>
        </is>
      </c>
      <c r="B1096" t="n">
        <v>942</v>
      </c>
      <c r="C1096" t="inlineStr">
        <is>
          <t>Story</t>
        </is>
      </c>
      <c r="D1096" s="5" t="inlineStr">
        <is>
          <t xml:space="preserve">        Manager agrees early release, buy-out or withdrawal</t>
        </is>
      </c>
      <c r="E1096" t="inlineStr">
        <is>
          <t>Employee lifecycle: onboarding, exit and F&amp;F</t>
        </is>
      </c>
      <c r="F1096" t="inlineStr">
        <is>
          <t>Resignation, exit case and clearance</t>
        </is>
      </c>
      <c r="G1096" t="inlineStr">
        <is>
          <t>New</t>
        </is>
      </c>
      <c r="I1096">
        <f>IF(H1096&lt;&gt;"",H1096,G1096)</f>
        <v/>
      </c>
      <c r="J1096" t="inlineStr">
        <is>
          <t>Wave 4 · Lifecycle</t>
        </is>
      </c>
      <c r="K1096" t="n">
        <v>3</v>
      </c>
      <c r="L1096" t="n">
        <v>1</v>
      </c>
      <c r="M1096" s="5" t="inlineStr">
        <is>
          <t>As a manager, I want to approve early release, buy-out or withdrawal of a resignation so that every change is recorded.</t>
        </is>
      </c>
      <c r="N1096" s="5" t="inlineStr">
        <is>
          <t>• Given an early release or buy-out request, when it is approved, then the shortfall is computed and recorded on the exit case (YX-LC-04).
• Given withdrawal before acceptance, when the employee withdraws, then it is free; after acceptance, it needs approval (YX-LC-04).
• Given the company pays notice in lieu, when approved, then it becomes an F&amp;F earnings line (YX-LC-06).</t>
        </is>
      </c>
      <c r="O1096" s="5" t="inlineStr">
        <is>
          <t>YX-LC-04</t>
        </is>
      </c>
      <c r="P1096" t="inlineStr">
        <is>
          <t>M01</t>
        </is>
      </c>
      <c r="Q1096" t="inlineStr">
        <is>
          <t>US-D-056</t>
        </is>
      </c>
      <c r="R1096" s="5" t="inlineStr"/>
    </row>
    <row r="1097">
      <c r="A1097" t="inlineStr">
        <is>
          <t>US-D-058</t>
        </is>
      </c>
      <c r="B1097" t="n">
        <v>943</v>
      </c>
      <c r="C1097" t="inlineStr">
        <is>
          <t>Story</t>
        </is>
      </c>
      <c r="D1097" s="5" t="inlineStr">
        <is>
          <t xml:space="preserve">        Leave during notice shows its effect on the exit case</t>
        </is>
      </c>
      <c r="E1097" t="inlineStr">
        <is>
          <t>Employee lifecycle: onboarding, exit and F&amp;F</t>
        </is>
      </c>
      <c r="F1097" t="inlineStr">
        <is>
          <t>Resignation, exit case and clearance</t>
        </is>
      </c>
      <c r="G1097" t="inlineStr">
        <is>
          <t>New</t>
        </is>
      </c>
      <c r="I1097">
        <f>IF(H1097&lt;&gt;"",H1097,G1097)</f>
        <v/>
      </c>
      <c r="J1097" t="inlineStr">
        <is>
          <t>Wave 4 · Lifecycle</t>
        </is>
      </c>
      <c r="K1097" t="n">
        <v>3</v>
      </c>
      <c r="L1097" t="n">
        <v>2</v>
      </c>
      <c r="M1097" s="5" t="inlineStr">
        <is>
          <t>As an HR admin, I want leave taken in the notice period handled by our per-leave-type policy so that the LWD and F&amp;F are right.</t>
        </is>
      </c>
      <c r="N1097" s="5" t="inlineStr">
        <is>
          <t>• Given a leave type set to 'extends LWD', when it is approved during notice, then the approved LWD moves and the employee is told (YX-LC-21).
• Given earned leave may offset a notice shortfall, when the policy allows, then the F&amp;F notice-shortfall line is reduced and explained (YX-LC-21).
• Given 'blocked' or 'LOP', when the employee applies, then the M02 rule applies and the exit case shows the effect (YX-LC-21).</t>
        </is>
      </c>
      <c r="O1097" s="5" t="inlineStr">
        <is>
          <t>YX-LC-21</t>
        </is>
      </c>
      <c r="P1097" t="inlineStr">
        <is>
          <t>M01, M02</t>
        </is>
      </c>
      <c r="Q1097" t="inlineStr">
        <is>
          <t>US-D-056</t>
        </is>
      </c>
      <c r="R1097" s="5" t="inlineStr"/>
    </row>
    <row r="1098">
      <c r="A1098" t="inlineStr">
        <is>
          <t>US-D-059</t>
        </is>
      </c>
      <c r="B1098" t="n">
        <v>944</v>
      </c>
      <c r="C1098" t="inlineStr">
        <is>
          <t>Story</t>
        </is>
      </c>
      <c r="D1098" s="5" t="inlineStr">
        <is>
          <t xml:space="preserve">        HR opens an exit case of any type with pre-checks</t>
        </is>
      </c>
      <c r="E1098" t="inlineStr">
        <is>
          <t>Employee lifecycle: onboarding, exit and F&amp;F</t>
        </is>
      </c>
      <c r="F1098" t="inlineStr">
        <is>
          <t>Resignation, exit case and clearance</t>
        </is>
      </c>
      <c r="G1098" t="inlineStr">
        <is>
          <t>New</t>
        </is>
      </c>
      <c r="I1098">
        <f>IF(H1098&lt;&gt;"",H1098,G1098)</f>
        <v/>
      </c>
      <c r="J1098" t="inlineStr">
        <is>
          <t>Wave 4 · Lifecycle</t>
        </is>
      </c>
      <c r="K1098" t="n">
        <v>3</v>
      </c>
      <c r="L1098" t="n">
        <v>1</v>
      </c>
      <c r="M1098" s="5" t="inlineStr">
        <is>
          <t>As an HR admin, I want to open an exit case for termination, retirement or other types and be warned about open cases so that nothing is missed.</t>
        </is>
      </c>
      <c r="N1098" s="5" t="inlineStr">
        <is>
          <t>• Given any exit type, when the case opens, then the system checks for open POSH / disciplinary cases where the person is respondent and for open PIPs, and flags them to HR only (never POSH to the manager) (YX-LC-23).
• Given the open-case policy (starter: hold), when a flag exists, then relieving / experience letters and / or F&amp;F are held pending the outcome, and HR may release them (YX-LC-23).
• Given a hold, when a legal deadline comes, then statutory dues are still paid on time (YX-LC-23, YX-LC-08).
• Given the case continues after exit, when the person leaves, then they keep alumni-scoped access to it (YX-LC-23).</t>
        </is>
      </c>
      <c r="O1098" s="5" t="inlineStr">
        <is>
          <t>YX-LC-23</t>
        </is>
      </c>
      <c r="P1098" t="inlineStr">
        <is>
          <t>M01</t>
        </is>
      </c>
      <c r="Q1098" t="inlineStr">
        <is>
          <t>US-D-037</t>
        </is>
      </c>
      <c r="R1098" s="5" t="inlineStr"/>
    </row>
    <row r="1099">
      <c r="A1099" t="inlineStr">
        <is>
          <t>US-D-060</t>
        </is>
      </c>
      <c r="B1099" t="n">
        <v>945</v>
      </c>
      <c r="C1099" t="inlineStr">
        <is>
          <t>Story</t>
        </is>
      </c>
      <c r="D1099" s="5" t="inlineStr">
        <is>
          <t xml:space="preserve">        Department owners sign off clearance</t>
        </is>
      </c>
      <c r="E1099" t="inlineStr">
        <is>
          <t>Employee lifecycle: onboarding, exit and F&amp;F</t>
        </is>
      </c>
      <c r="F1099" t="inlineStr">
        <is>
          <t>Resignation, exit case and clearance</t>
        </is>
      </c>
      <c r="G1099" t="inlineStr">
        <is>
          <t>New</t>
        </is>
      </c>
      <c r="I1099">
        <f>IF(H1099&lt;&gt;"",H1099,G1099)</f>
        <v/>
      </c>
      <c r="J1099" t="inlineStr">
        <is>
          <t>Wave 4 · Lifecycle</t>
        </is>
      </c>
      <c r="K1099" t="n">
        <v>3</v>
      </c>
      <c r="L1099" t="n">
        <v>1</v>
      </c>
      <c r="M1099" s="5" t="inlineStr">
        <is>
          <t>As a department owner, I want my clearance items on the exit case so that I can sign off handover, IT, assets, finance and HR documents.</t>
        </is>
      </c>
      <c r="N1099" s="5" t="inlineStr">
        <is>
          <t>• Given an exit case, when clearance starts, then items are created for manager handover, IT access, admin / assets, finance advances and expenses, and HR documents (M01 §3.7).
• Given an owner signs off, when they add a note and an optional recovery amount, then the item closes (M01 §4).
• Given open clearance items, when HR tries to finalise the F&amp;F, then it is blocked, but the exit itself is not (M01 §3.7).
• Given open clearance, when the F&amp;F due date comes, then the due date does not move (YX-LC-08).</t>
        </is>
      </c>
      <c r="O1099" s="5" t="inlineStr">
        <is>
          <t>YX-LC-08</t>
        </is>
      </c>
      <c r="P1099" t="inlineStr">
        <is>
          <t>M01</t>
        </is>
      </c>
      <c r="Q1099" t="inlineStr">
        <is>
          <t>US-D-059</t>
        </is>
      </c>
      <c r="R1099" s="5" t="inlineStr"/>
    </row>
    <row r="1100">
      <c r="A1100" t="inlineStr">
        <is>
          <t>US-D-061</t>
        </is>
      </c>
      <c r="B1100" t="n">
        <v>946</v>
      </c>
      <c r="C1100" t="inlineStr">
        <is>
          <t>Story</t>
        </is>
      </c>
      <c r="D1100" s="5" t="inlineStr">
        <is>
          <t xml:space="preserve">        Leaver completes a confidential exit interview</t>
        </is>
      </c>
      <c r="E1100" t="inlineStr">
        <is>
          <t>Employee lifecycle: onboarding, exit and F&amp;F</t>
        </is>
      </c>
      <c r="F1100" t="inlineStr">
        <is>
          <t>Resignation, exit case and clearance</t>
        </is>
      </c>
      <c r="G1100" t="inlineStr">
        <is>
          <t>New</t>
        </is>
      </c>
      <c r="I1100">
        <f>IF(H1100&lt;&gt;"",H1100,G1100)</f>
        <v/>
      </c>
      <c r="J1100" t="inlineStr">
        <is>
          <t>Wave 4 · Lifecycle</t>
        </is>
      </c>
      <c r="K1100" t="n">
        <v>2</v>
      </c>
      <c r="L1100" t="n">
        <v>1</v>
      </c>
      <c r="M1100" s="5" t="inlineStr">
        <is>
          <t>As a leaver, I want to give honest exit feedback that my manager can't see so that I can speak freely.</t>
        </is>
      </c>
      <c r="N1100" s="5" t="inlineStr">
        <is>
          <t>• Given an exit case, when the exit interview is sent, then the leaver answers reasons, ratings and would-rejoin (M01 §3.7).
• Given answers marked confidential, when the manager opens the case, then they cannot see them; only HR roles can (YX-LC-09).
• Given answers, when they are submitted, then they feed P09 attrition analytics (M01 §3.7).</t>
        </is>
      </c>
      <c r="O1100" s="5" t="inlineStr">
        <is>
          <t>YX-LC-09</t>
        </is>
      </c>
      <c r="P1100" t="inlineStr">
        <is>
          <t>M01</t>
        </is>
      </c>
      <c r="Q1100" t="inlineStr">
        <is>
          <t>US-D-059</t>
        </is>
      </c>
      <c r="R1100" s="5" t="inlineStr"/>
    </row>
    <row r="1101">
      <c r="A1101" t="inlineStr">
        <is>
          <t>US-D-062</t>
        </is>
      </c>
      <c r="B1101" t="n">
        <v>947</v>
      </c>
      <c r="C1101" t="inlineStr">
        <is>
          <t>Story</t>
        </is>
      </c>
      <c r="D1101" s="5" t="inlineStr">
        <is>
          <t xml:space="preserve">        HR records rehire eligibility, regretted exit and backfill</t>
        </is>
      </c>
      <c r="E1101" t="inlineStr">
        <is>
          <t>Employee lifecycle: onboarding, exit and F&amp;F</t>
        </is>
      </c>
      <c r="F1101" t="inlineStr">
        <is>
          <t>Resignation, exit case and clearance</t>
        </is>
      </c>
      <c r="G1101" t="inlineStr">
        <is>
          <t>New</t>
        </is>
      </c>
      <c r="I1101">
        <f>IF(H1101&lt;&gt;"",H1101,G1101)</f>
        <v/>
      </c>
      <c r="J1101" t="inlineStr">
        <is>
          <t>Wave 4 · Lifecycle</t>
        </is>
      </c>
      <c r="K1101" t="n">
        <v>3</v>
      </c>
      <c r="L1101" t="n">
        <v>1</v>
      </c>
      <c r="M1101" s="5" t="inlineStr">
        <is>
          <t>As an HR admin, I want to mark rehire eligibility, a regretted exit and a backfill request so that hiring and analytics use them.</t>
        </is>
      </c>
      <c r="N1101" s="5" t="inlineStr">
        <is>
          <t>• Given an exit case, when HR sets rehire-eligible with a reason, then it is HR-only and shows when the person reappears in the ATS (YX-LC-10).
• Given 'regretted', when HR sets it, then it is never shown to the leaver or manager and feeds P09 regretted attrition (M01 §3.7).
• Given 'backfill requested', when the exit is accepted, then M10 opens a replacement requisition linked to the exit that reuses the leaver's plan line (YX-LC-15).
• Given no backfill, when N days (default 30) after the LWD pass, then the plan line is released (YX-LC-15).</t>
        </is>
      </c>
      <c r="O1101" s="5" t="inlineStr">
        <is>
          <t>YX-LC-10, YX-LC-15</t>
        </is>
      </c>
      <c r="P1101" t="inlineStr">
        <is>
          <t>M01, M10</t>
        </is>
      </c>
      <c r="Q1101" t="inlineStr">
        <is>
          <t>US-D-059</t>
        </is>
      </c>
      <c r="R1101" s="5" t="inlineStr"/>
    </row>
    <row r="1102">
      <c r="A1102" t="inlineStr">
        <is>
          <t>US-D-063</t>
        </is>
      </c>
      <c r="B1102" t="n">
        <v>948</v>
      </c>
      <c r="C1102" t="inlineStr">
        <is>
          <t>Story</t>
        </is>
      </c>
      <c r="D1102" s="5" t="inlineStr">
        <is>
          <t xml:space="preserve">        Access switches to alumni on the last working day</t>
        </is>
      </c>
      <c r="E1102" t="inlineStr">
        <is>
          <t>Employee lifecycle: onboarding, exit and F&amp;F</t>
        </is>
      </c>
      <c r="F1102" t="inlineStr">
        <is>
          <t>Resignation, exit case and clearance</t>
        </is>
      </c>
      <c r="G1102" t="inlineStr">
        <is>
          <t>New</t>
        </is>
      </c>
      <c r="I1102">
        <f>IF(H1102&lt;&gt;"",H1102,G1102)</f>
        <v/>
      </c>
      <c r="J1102" t="inlineStr">
        <is>
          <t>Wave 4 · Lifecycle</t>
        </is>
      </c>
      <c r="K1102" t="n">
        <v>3</v>
      </c>
      <c r="L1102" t="n">
        <v>1</v>
      </c>
      <c r="M1102" s="5" t="inlineStr">
        <is>
          <t>As an HR admin, I want access to change automatically on the LWD so that the leaver keeps only alumni access.</t>
        </is>
      </c>
      <c r="N1102" s="5" t="inlineStr">
        <is>
          <t>• Given the LWD ends, when `employment.exited` fires, then the login converts to alumni and implicit grants end (YX-LC-05).
• Given open approvals waiting on the leaver, when the LWD comes, then they are reassigned (YX-LC-05).
• Given pending onboarding / exit tasks owned by the leaver, when the LWD comes, then they are escalated (YX-LC-05).</t>
        </is>
      </c>
      <c r="O1102" s="5" t="inlineStr">
        <is>
          <t>YX-LC-05</t>
        </is>
      </c>
      <c r="P1102" t="inlineStr">
        <is>
          <t>M01</t>
        </is>
      </c>
      <c r="Q1102" t="inlineStr">
        <is>
          <t>US-D-059</t>
        </is>
      </c>
      <c r="R1102" s="5" t="inlineStr"/>
    </row>
    <row r="1103">
      <c r="A1103" t="inlineStr">
        <is>
          <t>US-D-064</t>
        </is>
      </c>
      <c r="B1103" t="n">
        <v>949</v>
      </c>
      <c r="C1103" t="inlineStr">
        <is>
          <t>Story</t>
        </is>
      </c>
      <c r="D1103" s="5" t="inlineStr">
        <is>
          <t xml:space="preserve">        Exit case shows a deprovisioning panel</t>
        </is>
      </c>
      <c r="E1103" t="inlineStr">
        <is>
          <t>Employee lifecycle: onboarding, exit and F&amp;F</t>
        </is>
      </c>
      <c r="F1103" t="inlineStr">
        <is>
          <t>Resignation, exit case and clearance</t>
        </is>
      </c>
      <c r="G1103" t="inlineStr">
        <is>
          <t>New</t>
        </is>
      </c>
      <c r="I1103">
        <f>IF(H1103&lt;&gt;"",H1103,G1103)</f>
        <v/>
      </c>
      <c r="J1103" t="inlineStr">
        <is>
          <t>Wave 4 · Lifecycle</t>
        </is>
      </c>
      <c r="K1103" t="n">
        <v>5</v>
      </c>
      <c r="L1103" t="n">
        <v>1</v>
      </c>
      <c r="M1103" s="5" t="inlineStr">
        <is>
          <t>As an HR admin, I want to see every module's clean-up for a leaver with its status so that no access is left behind.</t>
        </is>
      </c>
      <c r="N1103" s="5" t="inlineStr">
        <is>
          <t>• Given modules registered `employment.exited` and LWD-approaching handlers, when the exit runs, then the panel shows one row per handler with pending / done / failed (YX-LC-14).
• Given a handler fails, when it retries and still fails, then HR is alerted and can retry by hand (YX-LC-14).
• Given handlers timed at LWD, T+0 and T+N, when each time comes, then the action runs (e.g. devices revoked at T+0, approvals reassigned at LWD) (YX-LC-14).
• Given Ravi's LWD has passed, when his phone calls the API, then it gets 401, his API key is revoked and his delegation has ended (YX-LC-14).</t>
        </is>
      </c>
      <c r="O1103" s="5" t="inlineStr">
        <is>
          <t>YX-LC-14</t>
        </is>
      </c>
      <c r="P1103" t="inlineStr">
        <is>
          <t>M01</t>
        </is>
      </c>
      <c r="Q1103" t="inlineStr">
        <is>
          <t>US-D-063</t>
        </is>
      </c>
      <c r="R1103" s="5" t="inlineStr"/>
    </row>
    <row r="1104">
      <c r="A1104" s="9" t="inlineStr">
        <is>
          <t>FT-D-015</t>
        </is>
      </c>
      <c r="B1104" s="9" t="n">
        <v>950</v>
      </c>
      <c r="C1104" s="9" t="inlineStr">
        <is>
          <t>Feature</t>
        </is>
      </c>
      <c r="D1104" s="10" t="inlineStr">
        <is>
          <t xml:space="preserve">    Full and final settlement</t>
        </is>
      </c>
      <c r="E1104" s="9" t="inlineStr">
        <is>
          <t>Employee lifecycle: onboarding, exit and F&amp;F</t>
        </is>
      </c>
      <c r="F1104" s="9" t="inlineStr">
        <is>
          <t>Full and final settlement</t>
        </is>
      </c>
      <c r="G1104" s="9" t="inlineStr">
        <is>
          <t>New</t>
        </is>
      </c>
      <c r="H1104" s="9" t="n"/>
      <c r="I1104" s="9">
        <f>IF(H1104&lt;&gt;"",H1104,G1104)</f>
        <v/>
      </c>
      <c r="J1104" s="9" t="inlineStr">
        <is>
          <t>Wave 4 · Lifecycle</t>
        </is>
      </c>
      <c r="K1104" s="9" t="n"/>
      <c r="L1104" s="9" t="n"/>
      <c r="M1104" s="10" t="inlineStr"/>
      <c r="N1104" s="10" t="inlineStr"/>
      <c r="O1104" s="10" t="inlineStr"/>
      <c r="P1104" s="9" t="inlineStr">
        <is>
          <t>M01, M03</t>
        </is>
      </c>
      <c r="Q1104" s="9" t="inlineStr"/>
      <c r="R1104" s="10" t="inlineStr"/>
      <c r="S1104" s="9" t="n"/>
    </row>
    <row r="1105">
      <c r="A1105" t="inlineStr">
        <is>
          <t>US-D-075</t>
        </is>
      </c>
      <c r="B1105" t="n">
        <v>951</v>
      </c>
      <c r="C1105" t="inlineStr">
        <is>
          <t>Story</t>
        </is>
      </c>
      <c r="D1105" s="5" t="inlineStr">
        <is>
          <t xml:space="preserve">        Payroll admin calculates the F&amp;F with explained lines</t>
        </is>
      </c>
      <c r="E1105" t="inlineStr">
        <is>
          <t>Employee lifecycle: onboarding, exit and F&amp;F</t>
        </is>
      </c>
      <c r="F1105" t="inlineStr">
        <is>
          <t>Full and final settlement</t>
        </is>
      </c>
      <c r="G1105" t="inlineStr">
        <is>
          <t>New</t>
        </is>
      </c>
      <c r="I1105">
        <f>IF(H1105&lt;&gt;"",H1105,G1105)</f>
        <v/>
      </c>
      <c r="J1105" t="inlineStr">
        <is>
          <t>Wave 4 · Lifecycle</t>
        </is>
      </c>
      <c r="K1105" t="n">
        <v>8</v>
      </c>
      <c r="L1105" t="n">
        <v>1</v>
      </c>
      <c r="M1105" s="5" t="inlineStr">
        <is>
          <t>As a payroll admin, I want the F&amp;F calculated as an off-cycle payroll run with every line explained so that the leaver trusts the numbers.</t>
        </is>
      </c>
      <c r="N1105" s="5" t="inlineStr">
        <is>
          <t>• Given an exit case, when the F&amp;F runs, then earnings include final-month salary, leave encashment, bonus, gratuity, reimbursements, arrears and notice pay in lieu (YX-LC-06).
• Given recoveries, when the F&amp;F runs, then notice shortfall, negative leave, advances, loans, assets, training bond and bonus clawback are deducted (YX-LC-06).
• Given every line, when HR or the leaver opens it, then 'how it's calculated' is shown (YX-LC-06).
• Given TDS, when the F&amp;F runs, then it is recomputed for the year's final income (YX-LC-06).</t>
        </is>
      </c>
      <c r="O1105" s="5" t="inlineStr">
        <is>
          <t>YX-LC-06</t>
        </is>
      </c>
      <c r="P1105" t="inlineStr">
        <is>
          <t>M01, M03</t>
        </is>
      </c>
      <c r="Q1105" t="inlineStr">
        <is>
          <t>US-D-059</t>
        </is>
      </c>
      <c r="R1105" s="5" t="inlineStr"/>
    </row>
    <row r="1106">
      <c r="A1106" t="inlineStr">
        <is>
          <t>US-D-076</t>
        </is>
      </c>
      <c r="B1106" t="n">
        <v>952</v>
      </c>
      <c r="C1106" t="inlineStr">
        <is>
          <t>Story</t>
        </is>
      </c>
      <c r="D1106" s="5" t="inlineStr">
        <is>
          <t xml:space="preserve">        Open advances, loans and recoveries are pulled into F&amp;F automatically</t>
        </is>
      </c>
      <c r="E1106" t="inlineStr">
        <is>
          <t>Employee lifecycle: onboarding, exit and F&amp;F</t>
        </is>
      </c>
      <c r="F1106" t="inlineStr">
        <is>
          <t>Full and final settlement</t>
        </is>
      </c>
      <c r="G1106" t="inlineStr">
        <is>
          <t>New</t>
        </is>
      </c>
      <c r="I1106">
        <f>IF(H1106&lt;&gt;"",H1106,G1106)</f>
        <v/>
      </c>
      <c r="J1106" t="inlineStr">
        <is>
          <t>Wave 4 · Lifecycle</t>
        </is>
      </c>
      <c r="K1106" t="n">
        <v>5</v>
      </c>
      <c r="L1106" t="n">
        <v>1</v>
      </c>
      <c r="M1106" s="5" t="inlineStr">
        <is>
          <t>As a payroll admin, I want open advances, loans, assets, negative leave, bonds and clawbacks pulled in automatically so that nothing is missed.</t>
        </is>
      </c>
      <c r="N1106" s="5" t="inlineStr">
        <is>
          <t>• Given Meera has an unsettled ₹5,000 expense advance, when her F&amp;F is calculated, then it is recovered as a line (YX-LC-07).
• Given an advance is settled after the first calculation, when the F&amp;F is refreshed before approval, then the line updates (YX-LC-07).
• Given the F&amp;F is approved, when new items appear, then they no longer change it automatically (YX-LC-07).
• Given a training-bond recovery, when HR has not confirmed or waived it, then it is not pulled in (YX-LC-07).</t>
        </is>
      </c>
      <c r="O1106" s="5" t="inlineStr">
        <is>
          <t>YX-LC-07</t>
        </is>
      </c>
      <c r="P1106" t="inlineStr">
        <is>
          <t>M01, M03</t>
        </is>
      </c>
      <c r="Q1106" t="inlineStr">
        <is>
          <t>US-D-075</t>
        </is>
      </c>
      <c r="R1106" s="5" t="inlineStr"/>
    </row>
    <row r="1107">
      <c r="A1107" t="inlineStr">
        <is>
          <t>US-D-077</t>
        </is>
      </c>
      <c r="B1107" t="n">
        <v>953</v>
      </c>
      <c r="C1107" t="inlineStr">
        <is>
          <t>Story</t>
        </is>
      </c>
      <c r="D1107" s="5" t="inlineStr">
        <is>
          <t xml:space="preserve">        F&amp;F wages are due within 2 working days of the LWD</t>
        </is>
      </c>
      <c r="E1107" t="inlineStr">
        <is>
          <t>Employee lifecycle: onboarding, exit and F&amp;F</t>
        </is>
      </c>
      <c r="F1107" t="inlineStr">
        <is>
          <t>Full and final settlement</t>
        </is>
      </c>
      <c r="G1107" t="inlineStr">
        <is>
          <t>New</t>
        </is>
      </c>
      <c r="I1107">
        <f>IF(H1107&lt;&gt;"",H1107,G1107)</f>
        <v/>
      </c>
      <c r="J1107" t="inlineStr">
        <is>
          <t>Wave 4 · Lifecycle</t>
        </is>
      </c>
      <c r="K1107" t="n">
        <v>3</v>
      </c>
      <c r="L1107" t="n">
        <v>1</v>
      </c>
      <c r="M1107" s="5" t="inlineStr">
        <is>
          <t>As a payroll admin, I want a countdown to the legal F&amp;F deadline so that we always pay on time.</t>
        </is>
      </c>
      <c r="N1107" s="5" t="inlineStr">
        <is>
          <t>• Given Anjali's LWD is Friday 30 Oct, when the exit is approved, then the wage due date is Tuesday 3 Nov on the entity's working-day calendar (YX-LC-08).
• Given an open laptop return, a hold or a missing payee, when the due date nears, then it does not move and the case records why payment is pending (YX-LC-08).
• Given wage lines are ready, when HR pays them first, then the rest can be settled in a second F&amp;F run (YX-LC-08).
• Given the due date passes unpaid, when the check runs, then HR / payroll get an overdue flag (YX-LC-08).</t>
        </is>
      </c>
      <c r="O1107" s="5" t="inlineStr">
        <is>
          <t>YX-LC-08</t>
        </is>
      </c>
      <c r="P1107" t="inlineStr">
        <is>
          <t>M01, M03</t>
        </is>
      </c>
      <c r="Q1107" t="inlineStr">
        <is>
          <t>US-D-075</t>
        </is>
      </c>
      <c r="R1107" s="5" t="inlineStr"/>
    </row>
    <row r="1108">
      <c r="A1108" t="inlineStr">
        <is>
          <t>US-D-078</t>
        </is>
      </c>
      <c r="B1108" t="n">
        <v>954</v>
      </c>
      <c r="C1108" t="inlineStr">
        <is>
          <t>Story</t>
        </is>
      </c>
      <c r="D1108" s="5" t="inlineStr">
        <is>
          <t xml:space="preserve">        F&amp;F is approved, paid and the statement letter issued</t>
        </is>
      </c>
      <c r="E1108" t="inlineStr">
        <is>
          <t>Employee lifecycle: onboarding, exit and F&amp;F</t>
        </is>
      </c>
      <c r="F1108" t="inlineStr">
        <is>
          <t>Full and final settlement</t>
        </is>
      </c>
      <c r="G1108" t="inlineStr">
        <is>
          <t>New</t>
        </is>
      </c>
      <c r="I1108">
        <f>IF(H1108&lt;&gt;"",H1108,G1108)</f>
        <v/>
      </c>
      <c r="J1108" t="inlineStr">
        <is>
          <t>Wave 4 · Lifecycle</t>
        </is>
      </c>
      <c r="K1108" t="n">
        <v>3</v>
      </c>
      <c r="L1108" t="n">
        <v>1</v>
      </c>
      <c r="M1108" s="5" t="inlineStr">
        <is>
          <t>As a payroll admin, I want F&amp;F approval, payment and the statement letter in one flow so that the case closes cleanly.</t>
        </is>
      </c>
      <c r="N1108" s="5" t="inlineStr">
        <is>
          <t>• Given a calculated F&amp;F, when it is submitted, then it goes through P03 approval (YX-LC-06).
• Given approval, when payment runs, then the bank file / payout is created and the F&amp;F statement letter is issued (YX-LC-06).
• Given a recalculation before payment, when HR runs it, then it replaces the draft; after payment, changes follow P06 / P08 corrections (M01 §3.8).</t>
        </is>
      </c>
      <c r="O1108" s="5" t="inlineStr">
        <is>
          <t>YX-LC-06</t>
        </is>
      </c>
      <c r="P1108" t="inlineStr">
        <is>
          <t>M01, M03</t>
        </is>
      </c>
      <c r="Q1108" t="inlineStr">
        <is>
          <t>US-D-075</t>
        </is>
      </c>
      <c r="R1108" s="5" t="inlineStr"/>
    </row>
    <row r="1109">
      <c r="A1109" t="inlineStr">
        <is>
          <t>US-D-079</t>
        </is>
      </c>
      <c r="B1109" t="n">
        <v>955</v>
      </c>
      <c r="C1109" t="inlineStr">
        <is>
          <t>Story</t>
        </is>
      </c>
      <c r="D1109" s="5" t="inlineStr">
        <is>
          <t xml:space="preserve">        Fixed-term staff get pro-rata gratuity after 1 year</t>
        </is>
      </c>
      <c r="E1109" t="inlineStr">
        <is>
          <t>Employee lifecycle: onboarding, exit and F&amp;F</t>
        </is>
      </c>
      <c r="F1109" t="inlineStr">
        <is>
          <t>Full and final settlement</t>
        </is>
      </c>
      <c r="G1109" t="inlineStr">
        <is>
          <t>New</t>
        </is>
      </c>
      <c r="I1109">
        <f>IF(H1109&lt;&gt;"",H1109,G1109)</f>
        <v/>
      </c>
      <c r="J1109" t="inlineStr">
        <is>
          <t>Wave 4 · Lifecycle</t>
        </is>
      </c>
      <c r="K1109" t="n">
        <v>3</v>
      </c>
      <c r="L1109" t="n">
        <v>1</v>
      </c>
      <c r="M1109" s="5" t="inlineStr">
        <is>
          <t>As a payroll admin, I want fixed-term employees with a year's service to get pro-rata gratuity so that we follow the SS Code.</t>
        </is>
      </c>
      <c r="N1109" s="5" t="inlineStr">
        <is>
          <t>• Given Nikhil (fixed-term, 2 years 5 months), when his F&amp;F is calculated, then pro-rata gratuity for 2 years is a line with its basis explained (YX-LC-28).
• Given a 10-month fixed-term contract, when the F&amp;F is calculated, then no gratuity is paid (YX-LC-28).
• Given service before 21 Nov 2025, when counted, then the P07 transition rule applies, and the 5-year condition is not used for fixed-term (YX-LC-28).</t>
        </is>
      </c>
      <c r="O1109" s="5" t="inlineStr">
        <is>
          <t>YX-LC-28</t>
        </is>
      </c>
      <c r="P1109" t="inlineStr">
        <is>
          <t>M01, M03</t>
        </is>
      </c>
      <c r="Q1109" t="inlineStr">
        <is>
          <t>US-D-075</t>
        </is>
      </c>
      <c r="R1109" s="5" t="inlineStr"/>
    </row>
    <row r="1110">
      <c r="A1110" s="9" t="inlineStr">
        <is>
          <t>FT-D-014</t>
        </is>
      </c>
      <c r="B1110" s="9" t="n">
        <v>960</v>
      </c>
      <c r="C1110" s="9" t="inlineStr">
        <is>
          <t>Feature</t>
        </is>
      </c>
      <c r="D1110" s="10" t="inlineStr">
        <is>
          <t xml:space="preserve">    Special exit types</t>
        </is>
      </c>
      <c r="E1110" s="9" t="inlineStr">
        <is>
          <t>Employee lifecycle: onboarding, exit and F&amp;F</t>
        </is>
      </c>
      <c r="F1110" s="9" t="inlineStr">
        <is>
          <t>Special exit types</t>
        </is>
      </c>
      <c r="G1110" s="9" t="inlineStr">
        <is>
          <t>New</t>
        </is>
      </c>
      <c r="H1110" s="9" t="n"/>
      <c r="I1110" s="9">
        <f>IF(H1110&lt;&gt;"",H1110,G1110)</f>
        <v/>
      </c>
      <c r="J1110" s="9" t="inlineStr">
        <is>
          <t>Wave 4 · Lifecycle</t>
        </is>
      </c>
      <c r="K1110" s="9" t="n"/>
      <c r="L1110" s="9" t="n"/>
      <c r="M1110" s="10" t="inlineStr"/>
      <c r="N1110" s="10" t="inlineStr"/>
      <c r="O1110" s="10" t="inlineStr"/>
      <c r="P1110" s="9" t="inlineStr">
        <is>
          <t>M01, P07</t>
        </is>
      </c>
      <c r="Q1110" s="9" t="inlineStr"/>
      <c r="R1110" s="10" t="inlineStr"/>
      <c r="S1110" s="9" t="n"/>
    </row>
    <row r="1111">
      <c r="A1111" t="inlineStr">
        <is>
          <t>US-D-065</t>
        </is>
      </c>
      <c r="B1111" t="n">
        <v>961</v>
      </c>
      <c r="C1111" t="inlineStr">
        <is>
          <t>Story</t>
        </is>
      </c>
      <c r="D1111" s="5" t="inlineStr">
        <is>
          <t xml:space="preserve">        HR records a death in service with a compassionate flow</t>
        </is>
      </c>
      <c r="E1111" t="inlineStr">
        <is>
          <t>Employee lifecycle: onboarding, exit and F&amp;F</t>
        </is>
      </c>
      <c r="F1111" t="inlineStr">
        <is>
          <t>Special exit types</t>
        </is>
      </c>
      <c r="G1111" t="inlineStr">
        <is>
          <t>New</t>
        </is>
      </c>
      <c r="I1111">
        <f>IF(H1111&lt;&gt;"",H1111,G1111)</f>
        <v/>
      </c>
      <c r="J1111" t="inlineStr">
        <is>
          <t>Wave 4 · Lifecycle</t>
        </is>
      </c>
      <c r="K1111" t="n">
        <v>3</v>
      </c>
      <c r="L1111" t="n">
        <v>1</v>
      </c>
      <c r="M1111" s="5" t="inlineStr">
        <is>
          <t>As an HR admin, I want a dedicated death-in-service flow so that the family is treated with care and access is closed at once.</t>
        </is>
      </c>
      <c r="N1111" s="5" t="inlineStr">
        <is>
          <t>• Given HR records the date of death with the certificate, when saved, then every deprovisioning handler runs at once and LWD = date of death (YX-LC-16).
• Given the death flow, when it runs, then no exit interview and no employee sign-offs are created; HR closes the employee's items (YX-LC-16).
• Given letters, when they are issued, then they are addressed to the next of kin (condolence, dues statement, claim guidance) (YX-LC-16).
• Given the company support policy (starter: all items off), when HR has set ex-gratia or salary continuation, then they apply on top (YX-LC-16).</t>
        </is>
      </c>
      <c r="O1111" s="5" t="inlineStr">
        <is>
          <t>YX-LC-16</t>
        </is>
      </c>
      <c r="P1111" t="inlineStr">
        <is>
          <t>M01, P07</t>
        </is>
      </c>
      <c r="Q1111" t="inlineStr">
        <is>
          <t>US-D-064</t>
        </is>
      </c>
      <c r="R1111" s="5" t="inlineStr"/>
    </row>
    <row r="1112">
      <c r="A1112" t="inlineStr">
        <is>
          <t>US-D-066</t>
        </is>
      </c>
      <c r="B1112" t="n">
        <v>962</v>
      </c>
      <c r="C1112" t="inlineStr">
        <is>
          <t>Story</t>
        </is>
      </c>
      <c r="D1112" s="5" t="inlineStr">
        <is>
          <t xml:space="preserve">        F&amp;F after a death is paid to nominees or legal heirs</t>
        </is>
      </c>
      <c r="E1112" t="inlineStr">
        <is>
          <t>Employee lifecycle: onboarding, exit and F&amp;F</t>
        </is>
      </c>
      <c r="F1112" t="inlineStr">
        <is>
          <t>Special exit types</t>
        </is>
      </c>
      <c r="G1112" t="inlineStr">
        <is>
          <t>New</t>
        </is>
      </c>
      <c r="I1112">
        <f>IF(H1112&lt;&gt;"",H1112,G1112)</f>
        <v/>
      </c>
      <c r="J1112" t="inlineStr">
        <is>
          <t>Wave 4 · Lifecycle</t>
        </is>
      </c>
      <c r="K1112" t="n">
        <v>5</v>
      </c>
      <c r="L1112" t="n">
        <v>1</v>
      </c>
      <c r="M1112" s="5" t="inlineStr">
        <is>
          <t>As a payroll admin, I want the F&amp;F split among nominees by their shares so that the right family members are paid.</t>
        </is>
      </c>
      <c r="N1112" s="5" t="inlineStr">
        <is>
          <t>• Given gratuity nominations wife 60 % / son 40 %, when the F&amp;F is approved, then two payments are made to penny-drop-verified accounts (YX-LC-16).
• Given no valid nomination, when HR tries to approve the F&amp;F, then it is blocked until legal heirs with a succession document are recorded (YX-LC-16).
• Given 3 years' service, when gratuity is computed, then the 5-year condition is waived, and leave encashment goes to the nominee (YX-LC-16).
• Given tax, when dues are paid, then the P07 heir treatment applies and Form 16 is issued to the legal heir (YX-LC-16).</t>
        </is>
      </c>
      <c r="O1112" s="5" t="inlineStr">
        <is>
          <t>YX-LC-16</t>
        </is>
      </c>
      <c r="P1112" t="inlineStr">
        <is>
          <t>M01, P07</t>
        </is>
      </c>
      <c r="Q1112" t="inlineStr">
        <is>
          <t>US-D-065, US-D-075</t>
        </is>
      </c>
      <c r="R1112" s="5" t="inlineStr"/>
    </row>
    <row r="1113">
      <c r="A1113" t="inlineStr">
        <is>
          <t>US-D-067</t>
        </is>
      </c>
      <c r="B1113" t="n">
        <v>963</v>
      </c>
      <c r="C1113" t="inlineStr">
        <is>
          <t>Story</t>
        </is>
      </c>
      <c r="D1113" s="5" t="inlineStr">
        <is>
          <t xml:space="preserve">        Family gets a claims checklist and limited document access</t>
        </is>
      </c>
      <c r="E1113" t="inlineStr">
        <is>
          <t>Employee lifecycle: onboarding, exit and F&amp;F</t>
        </is>
      </c>
      <c r="F1113" t="inlineStr">
        <is>
          <t>Special exit types</t>
        </is>
      </c>
      <c r="G1113" t="inlineStr">
        <is>
          <t>New</t>
        </is>
      </c>
      <c r="I1113">
        <f>IF(H1113&lt;&gt;"",H1113,G1113)</f>
        <v/>
      </c>
      <c r="J1113" t="inlineStr">
        <is>
          <t>Wave 4 · Lifecycle</t>
        </is>
      </c>
      <c r="K1113" t="n">
        <v>3</v>
      </c>
      <c r="L1113" t="n">
        <v>1</v>
      </c>
      <c r="M1113" s="5" t="inlineStr">
        <is>
          <t>As a nominee, I want a simple login to download the F&amp;F statement, Form 16 and claim papers so that I can file family claims.</t>
        </is>
      </c>
      <c r="N1113" s="5" t="inlineStr">
        <is>
          <t>• Given a death exit, when the case is created, then a forms checklist for EDLI, EPS family pension, PF, ESI dependant benefit and gratuity is shown with company attestation tasks (YX-LC-16).
• Given a nominee or legal heir, when HR grants access, then they get an OTP alumni-style login limited to the F&amp;F statement, Form 16 and claim documents (YX-LC-16).
• Given the access end date, when it passes, then the login stops working (M01 §4).</t>
        </is>
      </c>
      <c r="O1113" s="5" t="inlineStr">
        <is>
          <t>YX-LC-16</t>
        </is>
      </c>
      <c r="P1113" t="inlineStr">
        <is>
          <t>M01, P07</t>
        </is>
      </c>
      <c r="Q1113" t="inlineStr">
        <is>
          <t>US-D-065</t>
        </is>
      </c>
      <c r="R1113" s="5" t="inlineStr"/>
    </row>
    <row r="1114">
      <c r="A1114" t="inlineStr">
        <is>
          <t>US-D-068</t>
        </is>
      </c>
      <c r="B1114" t="n">
        <v>964</v>
      </c>
      <c r="C1114" t="inlineStr">
        <is>
          <t>Story</t>
        </is>
      </c>
      <c r="D1114" s="5" t="inlineStr">
        <is>
          <t xml:space="preserve">        Absconding timeline runs from unauthorised absence</t>
        </is>
      </c>
      <c r="E1114" t="inlineStr">
        <is>
          <t>Employee lifecycle: onboarding, exit and F&amp;F</t>
        </is>
      </c>
      <c r="F1114" t="inlineStr">
        <is>
          <t>Special exit types</t>
        </is>
      </c>
      <c r="G1114" t="inlineStr">
        <is>
          <t>New</t>
        </is>
      </c>
      <c r="I1114">
        <f>IF(H1114&lt;&gt;"",H1114,G1114)</f>
        <v/>
      </c>
      <c r="J1114" t="inlineStr">
        <is>
          <t>Wave 4 · Lifecycle</t>
        </is>
      </c>
      <c r="K1114" t="n">
        <v>5</v>
      </c>
      <c r="L1114" t="n">
        <v>1</v>
      </c>
      <c r="M1114" s="5" t="inlineStr">
        <is>
          <t>As an HR admin, I want an absconding timeline to start from unexplained absence so that we follow a fair, documented process.</t>
        </is>
      </c>
      <c r="N1114" s="5" t="inlineStr">
        <is>
          <t>• Given an employee absent without leave, when day 3 comes (starter template), then salary is put on hold in M03 and manager and HR are alerted (YX-LC-17).
• Given days 7 and 14, when they come, then notice 1 and notice 2 letters go by email and registered post with dispatch details recorded (YX-LC-17).
• Given the employee returns, when HR stops the timeline, then the absence is regularised in M02 and salary is released; HR can also resume it (YX-LC-17).
• Given every step, when it runs, then it is audited on the case, and the day counts follow the company's edited policy (YX-LC-17, YX-LC-25).</t>
        </is>
      </c>
      <c r="O1114" s="5" t="inlineStr">
        <is>
          <t>YX-LC-17</t>
        </is>
      </c>
      <c r="P1114" t="inlineStr">
        <is>
          <t>M01, P07</t>
        </is>
      </c>
      <c r="Q1114" t="inlineStr">
        <is>
          <t>US-D-059</t>
        </is>
      </c>
      <c r="R1114" s="5" t="inlineStr"/>
    </row>
    <row r="1115">
      <c r="A1115" t="inlineStr">
        <is>
          <t>US-D-069</t>
        </is>
      </c>
      <c r="B1115" t="n">
        <v>965</v>
      </c>
      <c r="C1115" t="inlineStr">
        <is>
          <t>Story</t>
        </is>
      </c>
      <c r="D1115" s="5" t="inlineStr">
        <is>
          <t xml:space="preserve">        Deemed abandonment gives a recovery-only F&amp;F</t>
        </is>
      </c>
      <c r="E1115" t="inlineStr">
        <is>
          <t>Employee lifecycle: onboarding, exit and F&amp;F</t>
        </is>
      </c>
      <c r="F1115" t="inlineStr">
        <is>
          <t>Special exit types</t>
        </is>
      </c>
      <c r="G1115" t="inlineStr">
        <is>
          <t>New</t>
        </is>
      </c>
      <c r="I1115">
        <f>IF(H1115&lt;&gt;"",H1115,G1115)</f>
        <v/>
      </c>
      <c r="J1115" t="inlineStr">
        <is>
          <t>Wave 4 · Lifecycle</t>
        </is>
      </c>
      <c r="K1115" t="n">
        <v>3</v>
      </c>
      <c r="L1115" t="n">
        <v>1</v>
      </c>
      <c r="M1115" s="5" t="inlineStr">
        <is>
          <t>As an HR admin, I want deemed abandonment to close the employment with a recovery-only F&amp;F so that dues are held, not lost.</t>
        </is>
      </c>
      <c r="N1115" s="5" t="inlineStr">
        <is>
          <t>• Given day 21 (starter), when it comes, then an absconding exit case opens with LWD = last day present (YX-LC-17).
• Given the F&amp;F, when it is calculated, then recoveries apply and any net payable is held until claimed, never forfeited (YX-LC-17).
• Given abandonment, when it is recorded, then a rehire-ineligible flag is set that HR may clear, and deprovisioning runs (YX-LC-17).
• Given a held payable, when the wage due date comes, then the countdown keeps running and the case records why payment is pending (YX-LC-08).</t>
        </is>
      </c>
      <c r="O1115" s="5" t="inlineStr">
        <is>
          <t>YX-LC-17, YX-LC-08</t>
        </is>
      </c>
      <c r="P1115" t="inlineStr">
        <is>
          <t>M01, P07</t>
        </is>
      </c>
      <c r="Q1115" t="inlineStr">
        <is>
          <t>US-D-068, US-D-075</t>
        </is>
      </c>
      <c r="R1115" s="5" t="inlineStr"/>
    </row>
    <row r="1116">
      <c r="A1116" t="inlineStr">
        <is>
          <t>US-D-070</t>
        </is>
      </c>
      <c r="B1116" t="n">
        <v>966</v>
      </c>
      <c r="C1116" t="inlineStr">
        <is>
          <t>Story</t>
        </is>
      </c>
      <c r="D1116" s="5" t="inlineStr">
        <is>
          <t xml:space="preserve">        Retirement case opens from the retirement policy</t>
        </is>
      </c>
      <c r="E1116" t="inlineStr">
        <is>
          <t>Employee lifecycle: onboarding, exit and F&amp;F</t>
        </is>
      </c>
      <c r="F1116" t="inlineStr">
        <is>
          <t>Special exit types</t>
        </is>
      </c>
      <c r="G1116" t="inlineStr">
        <is>
          <t>New</t>
        </is>
      </c>
      <c r="I1116">
        <f>IF(H1116&lt;&gt;"",H1116,G1116)</f>
        <v/>
      </c>
      <c r="J1116" t="inlineStr">
        <is>
          <t>Wave 4 · Lifecycle</t>
        </is>
      </c>
      <c r="K1116" t="n">
        <v>3</v>
      </c>
      <c r="L1116" t="n">
        <v>1</v>
      </c>
      <c r="M1116" s="5" t="inlineStr">
        <is>
          <t>As an HR admin, I want retirements to open automatically from date of birth and our policy so that we prepare in time.</t>
        </is>
      </c>
      <c r="N1116" s="5" t="inlineStr">
        <is>
          <t>• Given the retirement age per employment type / grade (starter 58, end of month), when the alert lead time comes (starter 6, 3, 1 months), then an exit case of type retirement opens with the computed LWD (YX-LC-20).
• Given an extension, when approved, then it is a dated change moving the date (YX-LC-20).
• Given re-employment, when HR starts it, then it is a fixed-term 'retired re-employed' employment with no probation and no EPS (YX-LC-20).
• Given the exit, when processed, then gratuity payout and the PF final-settlement checklist are triggered (YX-LC-20).</t>
        </is>
      </c>
      <c r="O1116" s="5" t="inlineStr">
        <is>
          <t>YX-LC-20</t>
        </is>
      </c>
      <c r="P1116" t="inlineStr">
        <is>
          <t>M01, P07</t>
        </is>
      </c>
      <c r="Q1116" t="inlineStr">
        <is>
          <t>US-D-059</t>
        </is>
      </c>
      <c r="R1116" s="5" t="inlineStr"/>
    </row>
    <row r="1117">
      <c r="A1117" t="inlineStr">
        <is>
          <t>US-D-071</t>
        </is>
      </c>
      <c r="B1117" t="n">
        <v>967</v>
      </c>
      <c r="C1117" t="inlineStr">
        <is>
          <t>Story</t>
        </is>
      </c>
      <c r="D1117" s="5" t="inlineStr">
        <is>
          <t xml:space="preserve">        Fixed-term, intern and apprentice contracts end by policy</t>
        </is>
      </c>
      <c r="E1117" t="inlineStr">
        <is>
          <t>Employee lifecycle: onboarding, exit and F&amp;F</t>
        </is>
      </c>
      <c r="F1117" t="inlineStr">
        <is>
          <t>Special exit types</t>
        </is>
      </c>
      <c r="G1117" t="inlineStr">
        <is>
          <t>New</t>
        </is>
      </c>
      <c r="I1117">
        <f>IF(H1117&lt;&gt;"",H1117,G1117)</f>
        <v/>
      </c>
      <c r="J1117" t="inlineStr">
        <is>
          <t>Wave 4 · Lifecycle</t>
        </is>
      </c>
      <c r="K1117" t="n">
        <v>3</v>
      </c>
      <c r="L1117" t="n">
        <v>1</v>
      </c>
      <c r="M1117" s="5" t="inlineStr">
        <is>
          <t>As an HR admin, I want reminders before a fixed-term contract ends and a choice to extend, convert or exit so that no contract runs out unnoticed.</t>
        </is>
      </c>
      <c r="N1117" s="5" t="inlineStr">
        <is>
          <t>• Given a fixed-term / intern / apprentice employment, when it is created, then it carries `contract_end_on` and its statutory treatment comes from P07, not M01 (YX-LC-19).
• Given the contract-end policy (starter: alert at 30 and 7 days), when those days come, then HR and the manager are alerted (YX-LC-19).
• Given extend or convert to permanent, when chosen, then it is a dated change (YX-LC-19).
• Given 'auto-exit' and no action, when `contract_end_on` comes, then an end-of-contract exit case opens with LWD = `contract_end_on` (YX-LC-19).</t>
        </is>
      </c>
      <c r="O1117" s="5" t="inlineStr">
        <is>
          <t>YX-LC-19</t>
        </is>
      </c>
      <c r="P1117" t="inlineStr">
        <is>
          <t>M01, P07</t>
        </is>
      </c>
      <c r="Q1117" t="inlineStr">
        <is>
          <t>US-D-059</t>
        </is>
      </c>
      <c r="R1117" s="5" t="inlineStr"/>
    </row>
    <row r="1118">
      <c r="A1118" t="inlineStr">
        <is>
          <t>US-D-072</t>
        </is>
      </c>
      <c r="B1118" t="n">
        <v>968</v>
      </c>
      <c r="C1118" t="inlineStr">
        <is>
          <t>Story</t>
        </is>
      </c>
      <c r="D1118" s="5" t="inlineStr">
        <is>
          <t xml:space="preserve">        HR runs a retrenchment with notice and compensation</t>
        </is>
      </c>
      <c r="E1118" t="inlineStr">
        <is>
          <t>Employee lifecycle: onboarding, exit and F&amp;F</t>
        </is>
      </c>
      <c r="F1118" t="inlineStr">
        <is>
          <t>Special exit types</t>
        </is>
      </c>
      <c r="G1118" t="inlineStr">
        <is>
          <t>New</t>
        </is>
      </c>
      <c r="I1118">
        <f>IF(H1118&lt;&gt;"",H1118,G1118)</f>
        <v/>
      </c>
      <c r="J1118" t="inlineStr">
        <is>
          <t>Wave 4 · Lifecycle</t>
        </is>
      </c>
      <c r="K1118" t="n">
        <v>5</v>
      </c>
      <c r="L1118" t="n">
        <v>1</v>
      </c>
      <c r="M1118" s="5" t="inlineStr">
        <is>
          <t>As an HR admin, I want retrenchment handled per the IR Code so that notice, compensation and the re-skilling fund are right.</t>
        </is>
      </c>
      <c r="N1118" s="5" t="inlineStr">
        <is>
          <t>• Given a retrenchment exit case, when HR opens it, then it records the reason, the selection basis (with the seniority list for the category) and continuous service (YX-LC-27).
• Given notice, when HR chooses, then written notice per `IN.IR` is issued or wages in lieu become an F&amp;F line, and the notice to government is a task (YX-LC-27).
• Given at least 1 year of service, when F&amp;F is calculated, then compensation of 15 days' average pay per completed year is an earnings line (YX-LC-27).
• Given each retrenched worker, when the case is approved, then a Worker Re-skilling Fund payable of 15 days' last-drawn wages appears in the compliance calendar (YX-LC-27).</t>
        </is>
      </c>
      <c r="O1118" s="5" t="inlineStr">
        <is>
          <t>YX-LC-27</t>
        </is>
      </c>
      <c r="P1118" t="inlineStr">
        <is>
          <t>M01, P07</t>
        </is>
      </c>
      <c r="Q1118" t="inlineStr">
        <is>
          <t>US-D-059, US-D-075</t>
        </is>
      </c>
      <c r="R1118" s="5" t="inlineStr"/>
    </row>
    <row r="1119">
      <c r="A1119" t="inlineStr">
        <is>
          <t>US-D-073</t>
        </is>
      </c>
      <c r="B1119" t="n">
        <v>969</v>
      </c>
      <c r="C1119" t="inlineStr">
        <is>
          <t>Story</t>
        </is>
      </c>
      <c r="D1119" s="5" t="inlineStr">
        <is>
          <t xml:space="preserve">        Retrenchment, lay-off and closure need government permission at 300+ workers</t>
        </is>
      </c>
      <c r="E1119" t="inlineStr">
        <is>
          <t>Employee lifecycle: onboarding, exit and F&amp;F</t>
        </is>
      </c>
      <c r="F1119" t="inlineStr">
        <is>
          <t>Special exit types</t>
        </is>
      </c>
      <c r="G1119" t="inlineStr">
        <is>
          <t>New</t>
        </is>
      </c>
      <c r="I1119">
        <f>IF(H1119&lt;&gt;"",H1119,G1119)</f>
        <v/>
      </c>
      <c r="J1119" t="inlineStr">
        <is>
          <t>Wave 4 · Lifecycle</t>
        </is>
      </c>
      <c r="K1119" t="n">
        <v>5</v>
      </c>
      <c r="L1119" t="n">
        <v>2</v>
      </c>
      <c r="M1119" s="5" t="inlineStr">
        <is>
          <t>As an HR admin, I want a permission request recorded before a large retrenchment, lay-off or closure so that we don't act without approval.</t>
        </is>
      </c>
      <c r="N1119" s="5" t="inlineStr">
        <is>
          <t>• Given an establishment at or above the `IN.IR` threshold (currently 300), when HR tries to approve a retrenchment, then it is blocked until a permission request is granted or deemed granted (YX-LC-27).
• Given a refusal, when HR records it, then the retrenchment is cancelled (YX-LC-27).
• Given a lay-off, when recorded with affected workers and dates, then the days reach M02 / M03 as a status with lay-off compensation per `IN.IR` (YX-LC-27).
• Given a closure, when its permission is granted, then retrenchment-type exit cases open for everyone affected in bulk (YX-LC-27).</t>
        </is>
      </c>
      <c r="O1119" s="5" t="inlineStr">
        <is>
          <t>YX-LC-27</t>
        </is>
      </c>
      <c r="P1119" t="inlineStr">
        <is>
          <t>M01, P07</t>
        </is>
      </c>
      <c r="Q1119" t="inlineStr">
        <is>
          <t>US-D-072</t>
        </is>
      </c>
      <c r="R1119" s="5" t="inlineStr"/>
    </row>
    <row r="1120">
      <c r="A1120" t="inlineStr">
        <is>
          <t>US-D-074</t>
        </is>
      </c>
      <c r="B1120" t="n">
        <v>970</v>
      </c>
      <c r="C1120" t="inlineStr">
        <is>
          <t>Story</t>
        </is>
      </c>
      <c r="D1120" s="5" t="inlineStr">
        <is>
          <t xml:space="preserve">        HR runs a voluntary retirement scheme</t>
        </is>
      </c>
      <c r="E1120" t="inlineStr">
        <is>
          <t>Employee lifecycle: onboarding, exit and F&amp;F</t>
        </is>
      </c>
      <c r="F1120" t="inlineStr">
        <is>
          <t>Special exit types</t>
        </is>
      </c>
      <c r="G1120" t="inlineStr">
        <is>
          <t>New</t>
        </is>
      </c>
      <c r="I1120">
        <f>IF(H1120&lt;&gt;"",H1120,G1120)</f>
        <v/>
      </c>
      <c r="J1120" t="inlineStr">
        <is>
          <t>Wave 4 · Lifecycle</t>
        </is>
      </c>
      <c r="K1120" t="n">
        <v>3</v>
      </c>
      <c r="L1120" t="n">
        <v>3</v>
      </c>
      <c r="M1120" s="5" t="inlineStr">
        <is>
          <t>As an HR admin, I want a VRS window that employees can apply to so that the scheme benefit and dues are paid correctly.</t>
        </is>
      </c>
      <c r="N1120" s="5" t="inlineStr">
        <is>
          <t>• Given a VRS scheme with eligibility and benefit rules (P19), a window and approval, when an eligible employee applies inside the window, then an exit case of type VRS opens (YX-LC-32).
• Given approval, when the F&amp;F is calculated, then the VRS benefit is a line with its basis, plus gratuity and leave encashment (YX-LC-32).
• Given tax, when the benefit is paid, then the P07 `IN.IT` treatment applies (YX-LC-32).</t>
        </is>
      </c>
      <c r="O1120" s="5" t="inlineStr">
        <is>
          <t>YX-LC-32</t>
        </is>
      </c>
      <c r="P1120" t="inlineStr">
        <is>
          <t>M01, P07</t>
        </is>
      </c>
      <c r="Q1120" t="inlineStr">
        <is>
          <t>US-D-075</t>
        </is>
      </c>
      <c r="R1120" s="5" t="inlineStr"/>
    </row>
    <row r="1121">
      <c r="A1121" s="9" t="inlineStr">
        <is>
          <t>FT-D-016</t>
        </is>
      </c>
      <c r="B1121" s="9" t="n">
        <v>985</v>
      </c>
      <c r="C1121" s="9" t="inlineStr">
        <is>
          <t>Feature</t>
        </is>
      </c>
      <c r="D1121" s="10" t="inlineStr">
        <is>
          <t xml:space="preserve">    Exit letters and alumni access</t>
        </is>
      </c>
      <c r="E1121" s="9" t="inlineStr">
        <is>
          <t>Employee lifecycle: onboarding, exit and F&amp;F</t>
        </is>
      </c>
      <c r="F1121" s="9" t="inlineStr">
        <is>
          <t>Exit letters and alumni access</t>
        </is>
      </c>
      <c r="G1121" s="9" t="inlineStr">
        <is>
          <t>New</t>
        </is>
      </c>
      <c r="H1121" s="9" t="n"/>
      <c r="I1121" s="9">
        <f>IF(H1121&lt;&gt;"",H1121,G1121)</f>
        <v/>
      </c>
      <c r="J1121" s="9" t="inlineStr">
        <is>
          <t>Wave 4 · Lifecycle</t>
        </is>
      </c>
      <c r="K1121" s="9" t="n"/>
      <c r="L1121" s="9" t="n"/>
      <c r="M1121" s="10" t="inlineStr"/>
      <c r="N1121" s="10" t="inlineStr"/>
      <c r="O1121" s="10" t="inlineStr"/>
      <c r="P1121" s="9" t="inlineStr">
        <is>
          <t>M01, P05</t>
        </is>
      </c>
      <c r="Q1121" s="9" t="inlineStr"/>
      <c r="R1121" s="10" t="inlineStr"/>
      <c r="S1121" s="9" t="n"/>
    </row>
    <row r="1122">
      <c r="A1122" t="inlineStr">
        <is>
          <t>US-D-080</t>
        </is>
      </c>
      <c r="B1122" t="n">
        <v>986</v>
      </c>
      <c r="C1122" t="inlineStr">
        <is>
          <t>Story</t>
        </is>
      </c>
      <c r="D1122" s="5" t="inlineStr">
        <is>
          <t xml:space="preserve">        HR issues relieving and experience letters</t>
        </is>
      </c>
      <c r="E1122" t="inlineStr">
        <is>
          <t>Employee lifecycle: onboarding, exit and F&amp;F</t>
        </is>
      </c>
      <c r="F1122" t="inlineStr">
        <is>
          <t>Exit letters and alumni access</t>
        </is>
      </c>
      <c r="G1122" t="inlineStr">
        <is>
          <t>New</t>
        </is>
      </c>
      <c r="I1122">
        <f>IF(H1122&lt;&gt;"",H1122,G1122)</f>
        <v/>
      </c>
      <c r="J1122" t="inlineStr">
        <is>
          <t>Wave 4 · Lifecycle</t>
        </is>
      </c>
      <c r="K1122" t="n">
        <v>2</v>
      </c>
      <c r="L1122" t="n">
        <v>1</v>
      </c>
      <c r="M1122" s="5" t="inlineStr">
        <is>
          <t>As an HR admin, I want relieving and experience letters issued from templates at exit so that the leaver gets them on time.</t>
        </is>
      </c>
      <c r="N1122" s="5" t="inlineStr">
        <is>
          <t>• Given an exit case with clearance done, when HR issues letters, then relieving and experience letters are generated from P05 templates (M01 §3.7).
• Given an open-case hold, when HR tries to issue them, then they stay held until the case outcome or an HR release with a reason (YX-LC-23).
• Given issued letters, when the person becomes alumni, then they can download them from the alumni portal (YX-LC-05).</t>
        </is>
      </c>
      <c r="O1122" s="5" t="inlineStr">
        <is>
          <t>YX-LC-23</t>
        </is>
      </c>
      <c r="P1122" t="inlineStr">
        <is>
          <t>M01, P05</t>
        </is>
      </c>
      <c r="Q1122" t="inlineStr">
        <is>
          <t>US-D-059</t>
        </is>
      </c>
      <c r="R1122" s="5" t="inlineStr"/>
    </row>
    <row r="1123">
      <c r="A1123" t="inlineStr">
        <is>
          <t>US-D-081</t>
        </is>
      </c>
      <c r="B1123" t="n">
        <v>987</v>
      </c>
      <c r="C1123" t="inlineStr">
        <is>
          <t>Story</t>
        </is>
      </c>
      <c r="D1123" s="5" t="inlineStr">
        <is>
          <t xml:space="preserve">        Former employee downloads documents from the alumni portal</t>
        </is>
      </c>
      <c r="E1123" t="inlineStr">
        <is>
          <t>Employee lifecycle: onboarding, exit and F&amp;F</t>
        </is>
      </c>
      <c r="F1123" t="inlineStr">
        <is>
          <t>Exit letters and alumni access</t>
        </is>
      </c>
      <c r="G1123" t="inlineStr">
        <is>
          <t>New</t>
        </is>
      </c>
      <c r="I1123">
        <f>IF(H1123&lt;&gt;"",H1123,G1123)</f>
        <v/>
      </c>
      <c r="J1123" t="inlineStr">
        <is>
          <t>Wave 4 · Lifecycle</t>
        </is>
      </c>
      <c r="K1123" t="n">
        <v>3</v>
      </c>
      <c r="L1123" t="n">
        <v>1</v>
      </c>
      <c r="M1123" s="5" t="inlineStr">
        <is>
          <t>As a former employee, I want to log in after leaving and download my payslips, Form 16 and letters so that I have proof for my next job.</t>
        </is>
      </c>
      <c r="N1123" s="5" t="inlineStr">
        <is>
          <t>• Given an alumni login, when the person signs in, then they see only their own documents and letters (YX-LC-05, P05).
• Given 7 years after exit, when the period ends, then alumni access ends (P05).
• Given the person applies again, when the ATS matches them, then the ex-employee flag shows (YX-LC-29).</t>
        </is>
      </c>
      <c r="O1123" s="5" t="inlineStr">
        <is>
          <t>YX-LC-05, YX-LC-29</t>
        </is>
      </c>
      <c r="P1123" t="inlineStr">
        <is>
          <t>M01, P05</t>
        </is>
      </c>
      <c r="Q1123" t="inlineStr">
        <is>
          <t>US-D-063</t>
        </is>
      </c>
      <c r="R1123" s="5" t="inlineStr"/>
    </row>
    <row r="1124">
      <c r="A1124" s="7" t="inlineStr">
        <is>
          <t>EP-D-04</t>
        </is>
      </c>
      <c r="B1124" s="7" t="n">
        <v>1030</v>
      </c>
      <c r="C1124" s="7" t="inlineStr">
        <is>
          <t>Epic</t>
        </is>
      </c>
      <c r="D1124" s="8" t="inlineStr">
        <is>
          <t>Cases and policies: POSH, accidents, grievance, disciplinary, whistleblower</t>
        </is>
      </c>
      <c r="E1124" s="7" t="inlineStr">
        <is>
          <t>Cases and policies: POSH, accidents, grievance, disciplinary, whistleblower</t>
        </is>
      </c>
      <c r="F1124" s="7" t="inlineStr"/>
      <c r="G1124" s="7" t="inlineStr">
        <is>
          <t>New</t>
        </is>
      </c>
      <c r="H1124" s="7" t="n"/>
      <c r="I1124" s="7">
        <f>IF(H1124&lt;&gt;"",H1124,G1124)</f>
        <v/>
      </c>
      <c r="J1124" s="7" t="inlineStr">
        <is>
          <t>Wave 4 · Cases &amp; policies</t>
        </is>
      </c>
      <c r="K1124" s="7" t="n"/>
      <c r="L1124" s="7" t="n"/>
      <c r="M1124" s="8" t="inlineStr"/>
      <c r="N1124" s="8" t="inlineStr"/>
      <c r="O1124" s="8" t="inlineStr"/>
      <c r="P1124" s="7" t="inlineStr">
        <is>
          <t>M08</t>
        </is>
      </c>
      <c r="Q1124" s="7" t="inlineStr"/>
      <c r="R1124" s="8" t="inlineStr"/>
      <c r="S1124" s="7" t="n"/>
    </row>
    <row r="1125">
      <c r="A1125" s="9" t="inlineStr">
        <is>
          <t>FT-D-017</t>
        </is>
      </c>
      <c r="B1125" s="9" t="n">
        <v>1030</v>
      </c>
      <c r="C1125" s="9" t="inlineStr">
        <is>
          <t>Feature</t>
        </is>
      </c>
      <c r="D1125" s="10" t="inlineStr">
        <is>
          <t xml:space="preserve">    Confidential case engine</t>
        </is>
      </c>
      <c r="E1125" s="9" t="inlineStr">
        <is>
          <t>Cases and policies: POSH, accidents, grievance, disciplinary, whistleblower</t>
        </is>
      </c>
      <c r="F1125" s="9" t="inlineStr">
        <is>
          <t>Confidential case engine</t>
        </is>
      </c>
      <c r="G1125" s="9" t="inlineStr">
        <is>
          <t>New</t>
        </is>
      </c>
      <c r="H1125" s="9" t="n"/>
      <c r="I1125" s="9">
        <f>IF(H1125&lt;&gt;"",H1125,G1125)</f>
        <v/>
      </c>
      <c r="J1125" s="9" t="inlineStr">
        <is>
          <t>Wave 4 · Cases &amp; policies</t>
        </is>
      </c>
      <c r="K1125" s="9" t="n"/>
      <c r="L1125" s="9" t="n"/>
      <c r="M1125" s="10" t="inlineStr"/>
      <c r="N1125" s="10" t="inlineStr"/>
      <c r="O1125" s="10" t="inlineStr"/>
      <c r="P1125" s="9" t="inlineStr">
        <is>
          <t>M08</t>
        </is>
      </c>
      <c r="Q1125" s="9" t="inlineStr"/>
      <c r="R1125" s="10" t="inlineStr"/>
      <c r="S1125" s="9" t="n"/>
    </row>
    <row r="1126">
      <c r="A1126" t="inlineStr">
        <is>
          <t>US-D-082</t>
        </is>
      </c>
      <c r="B1126" t="n">
        <v>1031</v>
      </c>
      <c r="C1126" t="inlineStr">
        <is>
          <t>Story</t>
        </is>
      </c>
      <c r="D1126" s="5" t="inlineStr">
        <is>
          <t xml:space="preserve">        Only case members can see a case</t>
        </is>
      </c>
      <c r="E1126" t="inlineStr">
        <is>
          <t>Cases and policies: POSH, accidents, grievance, disciplinary, whistleblower</t>
        </is>
      </c>
      <c r="F1126" t="inlineStr">
        <is>
          <t>Confidential case engine</t>
        </is>
      </c>
      <c r="G1126" t="inlineStr">
        <is>
          <t>New</t>
        </is>
      </c>
      <c r="I1126">
        <f>IF(H1126&lt;&gt;"",H1126,G1126)</f>
        <v/>
      </c>
      <c r="J1126" t="inlineStr">
        <is>
          <t>Wave 4 · Cases &amp; policies</t>
        </is>
      </c>
      <c r="K1126" t="n">
        <v>5</v>
      </c>
      <c r="L1126" t="n">
        <v>1</v>
      </c>
      <c r="M1126" s="5" t="inlineStr">
        <is>
          <t>As an HR admin, I want each case to have its own named team so that nobody else sees confidential matters.</t>
        </is>
      </c>
      <c r="N1126" s="5" t="inlineStr">
        <is>
          <t>• Given an HR admin who is not a case member, when they open a grievance, then they get 403 and the attempt is audited (YX-CASE-02).
• Given a respondent, when a complaint is filed, then they are not told until the process formally notifies them (YX-CASE-02).
• Given every read of a case, when it happens, then it is audited and shown in P08 'who accessed' (M08 §4).
• Given a case, when anyone tries to delete it, then it is refused; it can only be closed with an outcome, and each stage has a due date and reminders (YX-CASE-05).</t>
        </is>
      </c>
      <c r="O1126" s="5" t="inlineStr">
        <is>
          <t>YX-CASE-02, YX-CASE-05</t>
        </is>
      </c>
      <c r="P1126" t="inlineStr">
        <is>
          <t>M08</t>
        </is>
      </c>
      <c r="Q1126" t="inlineStr"/>
      <c r="R1126" s="5" t="inlineStr"/>
    </row>
    <row r="1127">
      <c r="A1127" t="inlineStr">
        <is>
          <t>US-D-083</t>
        </is>
      </c>
      <c r="B1127" t="n">
        <v>1032</v>
      </c>
      <c r="C1127" t="inlineStr">
        <is>
          <t>Story</t>
        </is>
      </c>
      <c r="D1127" s="5" t="inlineStr">
        <is>
          <t xml:space="preserve">        Employee files a complaint in their own name or anonymously</t>
        </is>
      </c>
      <c r="E1127" t="inlineStr">
        <is>
          <t>Cases and policies: POSH, accidents, grievance, disciplinary, whistleblower</t>
        </is>
      </c>
      <c r="F1127" t="inlineStr">
        <is>
          <t>Confidential case engine</t>
        </is>
      </c>
      <c r="G1127" t="inlineStr">
        <is>
          <t>New</t>
        </is>
      </c>
      <c r="I1127">
        <f>IF(H1127&lt;&gt;"",H1127,G1127)</f>
        <v/>
      </c>
      <c r="J1127" t="inlineStr">
        <is>
          <t>Wave 4 · Cases &amp; policies</t>
        </is>
      </c>
      <c r="K1127" t="n">
        <v>3</v>
      </c>
      <c r="L1127" t="n">
        <v>1</v>
      </c>
      <c r="M1127" s="5" t="inlineStr">
        <is>
          <t>As an employee, I want to file a complaint as myself or anonymously so that I feel safe to speak up.</t>
        </is>
      </c>
      <c r="N1127" s="5" t="inlineStr">
        <is>
          <t>• Given an employee files a case, when it is saved, then 'raised by' is always the logged-in user, or empty when anonymous (YX-CASE-01).
• Given an employee tries to file in a colleague's name, when they submit, then it is refused (YX-CASE-01).
• Given an anonymous complaint, when the case team opens it, then they see 'Anonymous', can message only through the anonymous channel, and no identity is stored in the row (YX-CASE-03).
• Given the complainant later chooses to reveal identity, when they do, then it is recorded from that point (YX-CASE-03).</t>
        </is>
      </c>
      <c r="O1127" s="5" t="inlineStr">
        <is>
          <t>YX-CASE-01, YX-CASE-03</t>
        </is>
      </c>
      <c r="P1127" t="inlineStr">
        <is>
          <t>M08</t>
        </is>
      </c>
      <c r="Q1127" t="inlineStr">
        <is>
          <t>US-D-082</t>
        </is>
      </c>
      <c r="R1127" s="5" t="inlineStr"/>
    </row>
    <row r="1128">
      <c r="A1128" t="inlineStr">
        <is>
          <t>US-D-084</t>
        </is>
      </c>
      <c r="B1128" t="n">
        <v>1033</v>
      </c>
      <c r="C1128" t="inlineStr">
        <is>
          <t>Story</t>
        </is>
      </c>
      <c r="D1128" s="5" t="inlineStr">
        <is>
          <t xml:space="preserve">        System blocks case members with a conflict of interest</t>
        </is>
      </c>
      <c r="E1128" t="inlineStr">
        <is>
          <t>Cases and policies: POSH, accidents, grievance, disciplinary, whistleblower</t>
        </is>
      </c>
      <c r="F1128" t="inlineStr">
        <is>
          <t>Confidential case engine</t>
        </is>
      </c>
      <c r="G1128" t="inlineStr">
        <is>
          <t>New</t>
        </is>
      </c>
      <c r="I1128">
        <f>IF(H1128&lt;&gt;"",H1128,G1128)</f>
        <v/>
      </c>
      <c r="J1128" t="inlineStr">
        <is>
          <t>Wave 4 · Cases &amp; policies</t>
        </is>
      </c>
      <c r="K1128" t="n">
        <v>2</v>
      </c>
      <c r="L1128" t="n">
        <v>1</v>
      </c>
      <c r="M1128" s="5" t="inlineStr">
        <is>
          <t>As an HR admin, I want people with a conflict blocked from a case so that the inquiry is fair.</t>
        </is>
      </c>
      <c r="N1128" s="5" t="inlineStr">
        <is>
          <t>• Given the respondent, their manager chain, or someone who self-declares, when added to the case, then they are blocked (YX-CASE-04).
• Given a real need to add such a person, when HR overrides, then a documented reason is required and audited (YX-CASE-04).
• Given a member declares a conflict mid-case, when they do, then their access ends (YX-CASE-04).</t>
        </is>
      </c>
      <c r="O1128" s="5" t="inlineStr">
        <is>
          <t>YX-CASE-04</t>
        </is>
      </c>
      <c r="P1128" t="inlineStr">
        <is>
          <t>M08</t>
        </is>
      </c>
      <c r="Q1128" t="inlineStr">
        <is>
          <t>US-D-082</t>
        </is>
      </c>
      <c r="R1128" s="5" t="inlineStr"/>
    </row>
    <row r="1129">
      <c r="A1129" t="inlineStr">
        <is>
          <t>US-D-085</t>
        </is>
      </c>
      <c r="B1129" t="n">
        <v>1034</v>
      </c>
      <c r="C1129" t="inlineStr">
        <is>
          <t>Story</t>
        </is>
      </c>
      <c r="D1129" s="5" t="inlineStr">
        <is>
          <t xml:space="preserve">        Case updates outside the app reveal nothing</t>
        </is>
      </c>
      <c r="E1129" t="inlineStr">
        <is>
          <t>Cases and policies: POSH, accidents, grievance, disciplinary, whistleblower</t>
        </is>
      </c>
      <c r="F1129" t="inlineStr">
        <is>
          <t>Confidential case engine</t>
        </is>
      </c>
      <c r="G1129" t="inlineStr">
        <is>
          <t>New</t>
        </is>
      </c>
      <c r="I1129">
        <f>IF(H1129&lt;&gt;"",H1129,G1129)</f>
        <v/>
      </c>
      <c r="J1129" t="inlineStr">
        <is>
          <t>Wave 4 · Cases &amp; policies</t>
        </is>
      </c>
      <c r="K1129" t="n">
        <v>2</v>
      </c>
      <c r="L1129" t="n">
        <v>1</v>
      </c>
      <c r="M1129" s="5" t="inlineStr">
        <is>
          <t>As a complainant, I want messages outside the app to say only that there is an update so that nobody learns about my case.</t>
        </is>
      </c>
      <c r="N1129" s="5" t="inlineStr">
        <is>
          <t>• Given any case update, when an email, SMS, push or WhatsApp is sent, then it says only 'You have an update on a confidential matter' with an in-app link (YX-CASE-06).
• Given the case workspace, when any screen or PDF shows, then it carries a 'Confidential' watermark (M08 §7).
• Given quiet hours, when a case message is due, then P04 quiet hours apply (YX-CASE-06).</t>
        </is>
      </c>
      <c r="O1129" s="5" t="inlineStr">
        <is>
          <t>YX-CASE-06</t>
        </is>
      </c>
      <c r="P1129" t="inlineStr">
        <is>
          <t>M08</t>
        </is>
      </c>
      <c r="Q1129" t="inlineStr">
        <is>
          <t>US-D-082</t>
        </is>
      </c>
      <c r="R1129" s="5" t="inlineStr"/>
    </row>
    <row r="1130">
      <c r="A1130" t="inlineStr">
        <is>
          <t>US-D-086</t>
        </is>
      </c>
      <c r="B1130" t="n">
        <v>1035</v>
      </c>
      <c r="C1130" t="inlineStr">
        <is>
          <t>Story</t>
        </is>
      </c>
      <c r="D1130" s="5" t="inlineStr">
        <is>
          <t xml:space="preserve">        Complainant raises a retaliation flag</t>
        </is>
      </c>
      <c r="E1130" t="inlineStr">
        <is>
          <t>Cases and policies: POSH, accidents, grievance, disciplinary, whistleblower</t>
        </is>
      </c>
      <c r="F1130" t="inlineStr">
        <is>
          <t>Confidential case engine</t>
        </is>
      </c>
      <c r="G1130" t="inlineStr">
        <is>
          <t>New</t>
        </is>
      </c>
      <c r="I1130">
        <f>IF(H1130&lt;&gt;"",H1130,G1130)</f>
        <v/>
      </c>
      <c r="J1130" t="inlineStr">
        <is>
          <t>Wave 4 · Cases &amp; policies</t>
        </is>
      </c>
      <c r="K1130" t="n">
        <v>2</v>
      </c>
      <c r="L1130" t="n">
        <v>1</v>
      </c>
      <c r="M1130" s="5" t="inlineStr">
        <is>
          <t>As a complainant, I want to report retaliation at any time so that I am protected.</t>
        </is>
      </c>
      <c r="N1130" s="5" t="inlineStr">
        <is>
          <t>• Given an open or closed case, when the complainant raises a retaliation flag, then a linked case is created (YX-CASE-08).
• Given the flag, when it is raised, then the case owner is alerted (YX-CASE-08).
• Given the linked case, when it opens, then the same membership-only access applies (YX-CASE-02).</t>
        </is>
      </c>
      <c r="O1130" s="5" t="inlineStr">
        <is>
          <t>YX-CASE-08</t>
        </is>
      </c>
      <c r="P1130" t="inlineStr">
        <is>
          <t>M08</t>
        </is>
      </c>
      <c r="Q1130" t="inlineStr">
        <is>
          <t>US-D-082</t>
        </is>
      </c>
      <c r="R1130" s="5" t="inlineStr"/>
    </row>
    <row r="1131">
      <c r="A1131" t="inlineStr">
        <is>
          <t>US-D-087</t>
        </is>
      </c>
      <c r="B1131" t="n">
        <v>1036</v>
      </c>
      <c r="C1131" t="inlineStr">
        <is>
          <t>Story</t>
        </is>
      </c>
      <c r="D1131" s="5" t="inlineStr">
        <is>
          <t xml:space="preserve">        Case includes a contractor, vendor or visitor as a party</t>
        </is>
      </c>
      <c r="E1131" t="inlineStr">
        <is>
          <t>Cases and policies: POSH, accidents, grievance, disciplinary, whistleblower</t>
        </is>
      </c>
      <c r="F1131" t="inlineStr">
        <is>
          <t>Confidential case engine</t>
        </is>
      </c>
      <c r="G1131" t="inlineStr">
        <is>
          <t>New</t>
        </is>
      </c>
      <c r="I1131">
        <f>IF(H1131&lt;&gt;"",H1131,G1131)</f>
        <v/>
      </c>
      <c r="J1131" t="inlineStr">
        <is>
          <t>Wave 4 · Cases &amp; policies</t>
        </is>
      </c>
      <c r="K1131" t="n">
        <v>3</v>
      </c>
      <c r="L1131" t="n">
        <v>2</v>
      </c>
      <c r="M1131" s="5" t="inlineStr">
        <is>
          <t>As an HR admin, I want to record an external complainant or respondent so that cases with non-employees are handled.</t>
        </is>
      </c>
      <c r="N1131" s="5" t="inlineStr">
        <is>
          <t>• Given an external party, when HR adds them, then name, employer, contact and party type are recorded (YX-CASE-09).
• Given an external respondent, when a notice is sent, then delivery to them and to their employer's named contact is logged on the timeline (YX-CASE-09).
• Given an external complainant, when they file or follow the case, then they use the OTP external login scoped to that case only (YX-CASE-09).</t>
        </is>
      </c>
      <c r="O1131" s="5" t="inlineStr">
        <is>
          <t>YX-CASE-09</t>
        </is>
      </c>
      <c r="P1131" t="inlineStr">
        <is>
          <t>M08</t>
        </is>
      </c>
      <c r="Q1131" t="inlineStr">
        <is>
          <t>US-D-082</t>
        </is>
      </c>
      <c r="R1131" s="5" t="inlineStr"/>
    </row>
    <row r="1132">
      <c r="A1132" t="inlineStr">
        <is>
          <t>US-D-088</t>
        </is>
      </c>
      <c r="B1132" t="n">
        <v>1037</v>
      </c>
      <c r="C1132" t="inlineStr">
        <is>
          <t>Story</t>
        </is>
      </c>
      <c r="D1132" s="5" t="inlineStr">
        <is>
          <t xml:space="preserve">        Case continues when a party leaves the company</t>
        </is>
      </c>
      <c r="E1132" t="inlineStr">
        <is>
          <t>Cases and policies: POSH, accidents, grievance, disciplinary, whistleblower</t>
        </is>
      </c>
      <c r="F1132" t="inlineStr">
        <is>
          <t>Confidential case engine</t>
        </is>
      </c>
      <c r="G1132" t="inlineStr">
        <is>
          <t>New</t>
        </is>
      </c>
      <c r="I1132">
        <f>IF(H1132&lt;&gt;"",H1132,G1132)</f>
        <v/>
      </c>
      <c r="J1132" t="inlineStr">
        <is>
          <t>Wave 4 · Cases &amp; policies</t>
        </is>
      </c>
      <c r="K1132" t="n">
        <v>3</v>
      </c>
      <c r="L1132" t="n">
        <v>1</v>
      </c>
      <c r="M1132" s="5" t="inlineStr">
        <is>
          <t>As an IC member, I want a case to continue after the complainant or respondent leaves so that it is completed properly.</t>
        </is>
      </c>
      <c r="N1132" s="5" t="inlineStr">
        <is>
          <t>• Given a party exits, when their LWD passes, then the case continues and the ex-employee keeps case-scoped alumni access (YX-CASE-10).
• Given an ex-employee within the POSH window, when they file a complaint, then they can do it through alumni-scoped access (YX-CASE-10).
• Given an exit case opens for a party, when the pre-check runs, then HR sees a flag that names no case details outside the case team (YX-CASE-10).</t>
        </is>
      </c>
      <c r="O1132" s="5" t="inlineStr">
        <is>
          <t>YX-CASE-10</t>
        </is>
      </c>
      <c r="P1132" t="inlineStr">
        <is>
          <t>M08</t>
        </is>
      </c>
      <c r="Q1132" t="inlineStr">
        <is>
          <t>US-D-082, US-D-059</t>
        </is>
      </c>
      <c r="R1132" s="5" t="inlineStr"/>
    </row>
    <row r="1133">
      <c r="A1133" t="inlineStr">
        <is>
          <t>US-D-089</t>
        </is>
      </c>
      <c r="B1133" t="n">
        <v>1038</v>
      </c>
      <c r="C1133" t="inlineStr">
        <is>
          <t>Story</t>
        </is>
      </c>
      <c r="D1133" s="5" t="inlineStr">
        <is>
          <t xml:space="preserve">        Closed cases are kept 8 years and can be put on legal hold</t>
        </is>
      </c>
      <c r="E1133" t="inlineStr">
        <is>
          <t>Cases and policies: POSH, accidents, grievance, disciplinary, whistleblower</t>
        </is>
      </c>
      <c r="F1133" t="inlineStr">
        <is>
          <t>Confidential case engine</t>
        </is>
      </c>
      <c r="G1133" t="inlineStr">
        <is>
          <t>New</t>
        </is>
      </c>
      <c r="I1133">
        <f>IF(H1133&lt;&gt;"",H1133,G1133)</f>
        <v/>
      </c>
      <c r="J1133" t="inlineStr">
        <is>
          <t>Wave 4 · Cases &amp; policies</t>
        </is>
      </c>
      <c r="K1133" t="n">
        <v>3</v>
      </c>
      <c r="L1133" t="n">
        <v>2</v>
      </c>
      <c r="M1133" s="5" t="inlineStr">
        <is>
          <t>As a compliance owner, I want closed cases retained and protected by legal hold so that we meet legal duties.</t>
        </is>
      </c>
      <c r="N1133" s="5" t="inlineStr">
        <is>
          <t>• Given a closed case, when 8 years pass from closure, then it is archived (encrypted, restricted restore) unless the company extended the period (M08 Q7).
• Given a legal hold flag, when archive or deletion would run, then it is blocked (M08 Q7, YX-CASE-05).
• Given case documents, when stored, then they are encrypted with a per-case key (M08 §4).</t>
        </is>
      </c>
      <c r="O1133" s="5" t="inlineStr">
        <is>
          <t>YX-CASE-05</t>
        </is>
      </c>
      <c r="P1133" t="inlineStr">
        <is>
          <t>M08</t>
        </is>
      </c>
      <c r="Q1133" t="inlineStr">
        <is>
          <t>US-D-082</t>
        </is>
      </c>
      <c r="R1133" s="5" t="inlineStr"/>
    </row>
    <row r="1134">
      <c r="A1134" s="9" t="inlineStr">
        <is>
          <t>FT-D-018</t>
        </is>
      </c>
      <c r="B1134" s="9" t="n">
        <v>1040</v>
      </c>
      <c r="C1134" s="9" t="inlineStr">
        <is>
          <t>Feature</t>
        </is>
      </c>
      <c r="D1134" s="10" t="inlineStr">
        <is>
          <t xml:space="preserve">    POSH complaints and Internal Committee</t>
        </is>
      </c>
      <c r="E1134" s="9" t="inlineStr">
        <is>
          <t>Cases and policies: POSH, accidents, grievance, disciplinary, whistleblower</t>
        </is>
      </c>
      <c r="F1134" s="9" t="inlineStr">
        <is>
          <t>POSH complaints and Internal Committee</t>
        </is>
      </c>
      <c r="G1134" s="9" t="inlineStr">
        <is>
          <t>New</t>
        </is>
      </c>
      <c r="H1134" s="9" t="n"/>
      <c r="I1134" s="9">
        <f>IF(H1134&lt;&gt;"",H1134,G1134)</f>
        <v/>
      </c>
      <c r="J1134" s="9" t="inlineStr">
        <is>
          <t>Wave 4 · Cases &amp; policies</t>
        </is>
      </c>
      <c r="K1134" s="9" t="n"/>
      <c r="L1134" s="9" t="n"/>
      <c r="M1134" s="10" t="inlineStr"/>
      <c r="N1134" s="10" t="inlineStr"/>
      <c r="O1134" s="10" t="inlineStr"/>
      <c r="P1134" s="9" t="inlineStr">
        <is>
          <t>M08, P07</t>
        </is>
      </c>
      <c r="Q1134" s="9" t="inlineStr"/>
      <c r="R1134" s="10" t="inlineStr"/>
      <c r="S1134" s="9" t="n"/>
    </row>
    <row r="1135">
      <c r="A1135" t="inlineStr">
        <is>
          <t>US-D-090</t>
        </is>
      </c>
      <c r="B1135" t="n">
        <v>1041</v>
      </c>
      <c r="C1135" t="inlineStr">
        <is>
          <t>Story</t>
        </is>
      </c>
      <c r="D1135" s="5" t="inlineStr">
        <is>
          <t xml:space="preserve">        HR sets up the Internal Committee and sees if it is valid</t>
        </is>
      </c>
      <c r="E1135" t="inlineStr">
        <is>
          <t>Cases and policies: POSH, accidents, grievance, disciplinary, whistleblower</t>
        </is>
      </c>
      <c r="F1135" t="inlineStr">
        <is>
          <t>POSH complaints and Internal Committee</t>
        </is>
      </c>
      <c r="G1135" t="inlineStr">
        <is>
          <t>New</t>
        </is>
      </c>
      <c r="I1135">
        <f>IF(H1135&lt;&gt;"",H1135,G1135)</f>
        <v/>
      </c>
      <c r="J1135" t="inlineStr">
        <is>
          <t>Wave 4 · Cases &amp; policies</t>
        </is>
      </c>
      <c r="K1135" t="n">
        <v>3</v>
      </c>
      <c r="L1135" t="n">
        <v>1</v>
      </c>
      <c r="M1135" s="5" t="inlineStr">
        <is>
          <t>As an HR admin, I want to record our Internal Committee and see if it meets the law so that we stay compliant.</t>
        </is>
      </c>
      <c r="N1135" s="5" t="inlineStr">
        <is>
          <t>• Given an entity at or above the P07 POSH threshold, when it has no valid IC, then a banner and a compliance-calendar item show (YX-POSH-01).
• Given IC members, when saved, then the composition is checked against P07 (senior woman presiding, at least half women, one external member, tenure 3 years or less) (YX-POSH-01).
• Given an IC with no external member, when the console opens, then it shows 'Committee not valid' (YX-POSH-01).
• Given the external member, when they need access, then they get a limited OTP login that is not a billed seat (M08 Q4).</t>
        </is>
      </c>
      <c r="O1135" s="5" t="inlineStr">
        <is>
          <t>YX-POSH-01</t>
        </is>
      </c>
      <c r="P1135" t="inlineStr">
        <is>
          <t>M08, P07</t>
        </is>
      </c>
      <c r="Q1135" t="inlineStr">
        <is>
          <t>US-D-082</t>
        </is>
      </c>
      <c r="R1135" s="5" t="inlineStr"/>
    </row>
    <row r="1136">
      <c r="A1136" t="inlineStr">
        <is>
          <t>US-D-091</t>
        </is>
      </c>
      <c r="B1136" t="n">
        <v>1042</v>
      </c>
      <c r="C1136" t="inlineStr">
        <is>
          <t>Story</t>
        </is>
      </c>
      <c r="D1136" s="5" t="inlineStr">
        <is>
          <t xml:space="preserve">        Aggrieved woman files a POSH complaint</t>
        </is>
      </c>
      <c r="E1136" t="inlineStr">
        <is>
          <t>Cases and policies: POSH, accidents, grievance, disciplinary, whistleblower</t>
        </is>
      </c>
      <c r="F1136" t="inlineStr">
        <is>
          <t>POSH complaints and Internal Committee</t>
        </is>
      </c>
      <c r="G1136" t="inlineStr">
        <is>
          <t>New</t>
        </is>
      </c>
      <c r="I1136">
        <f>IF(H1136&lt;&gt;"",H1136,G1136)</f>
        <v/>
      </c>
      <c r="J1136" t="inlineStr">
        <is>
          <t>Wave 4 · Cases &amp; policies</t>
        </is>
      </c>
      <c r="K1136" t="n">
        <v>3</v>
      </c>
      <c r="L1136" t="n">
        <v>1</v>
      </c>
      <c r="M1136" s="5" t="inlineStr">
        <is>
          <t>As an aggrieved woman, I want to file a POSH complaint (or have someone file for me) to the IC so that it is handled under the law.</t>
        </is>
      </c>
      <c r="N1136" s="5" t="inlineStr">
        <is>
          <t>• Given an incident date, when a complaint is filed within 3 months, then it is accepted and routed only to the IC (YX-POSH-02).
• Given more than 3 months have passed, when the IC extends the window by up to 3 more with reasons, then filing is allowed (YX-POSH-02).
• Given someone files on her behalf, when submitted, then the filer and the aggrieved woman are both recorded (YX-POSH-02).</t>
        </is>
      </c>
      <c r="O1136" s="5" t="inlineStr">
        <is>
          <t>YX-POSH-02</t>
        </is>
      </c>
      <c r="P1136" t="inlineStr">
        <is>
          <t>M08, P07</t>
        </is>
      </c>
      <c r="Q1136" t="inlineStr">
        <is>
          <t>US-D-090</t>
        </is>
      </c>
      <c r="R1136" s="5" t="inlineStr"/>
    </row>
    <row r="1137">
      <c r="A1137" t="inlineStr">
        <is>
          <t>US-D-092</t>
        </is>
      </c>
      <c r="B1137" t="n">
        <v>1043</v>
      </c>
      <c r="C1137" t="inlineStr">
        <is>
          <t>Story</t>
        </is>
      </c>
      <c r="D1137" s="5" t="inlineStr">
        <is>
          <t xml:space="preserve">        IC sees the statutory POSH clock on each case</t>
        </is>
      </c>
      <c r="E1137" t="inlineStr">
        <is>
          <t>Cases and policies: POSH, accidents, grievance, disciplinary, whistleblower</t>
        </is>
      </c>
      <c r="F1137" t="inlineStr">
        <is>
          <t>POSH complaints and Internal Committee</t>
        </is>
      </c>
      <c r="G1137" t="inlineStr">
        <is>
          <t>New</t>
        </is>
      </c>
      <c r="I1137">
        <f>IF(H1137&lt;&gt;"",H1137,G1137)</f>
        <v/>
      </c>
      <c r="J1137" t="inlineStr">
        <is>
          <t>Wave 4 · Cases &amp; policies</t>
        </is>
      </c>
      <c r="K1137" t="n">
        <v>3</v>
      </c>
      <c r="L1137" t="n">
        <v>1</v>
      </c>
      <c r="M1137" s="5" t="inlineStr">
        <is>
          <t>As an IC member, I want the legal due dates calculated and escalated so that we never miss the 90-day inquiry limit.</t>
        </is>
      </c>
      <c r="N1137" s="5" t="inlineStr">
        <is>
          <t>• Given a complaint filed on 1 Oct, when the case opens, then the inquiry due date shows 30 Dec, with escalation at 75 days (YX-POSH-03).
• Given the P07 POSH parameters, when the case moves, then due dates for notice to the respondent (7 days), report (10 days after inquiry) and employer action (60 days) are calculated (YX-POSH-03).
• Given a due date nears, when reminders run, then IC members are escalated (YX-POSH-03).</t>
        </is>
      </c>
      <c r="O1137" s="5" t="inlineStr">
        <is>
          <t>YX-POSH-03</t>
        </is>
      </c>
      <c r="P1137" t="inlineStr">
        <is>
          <t>M08, P07</t>
        </is>
      </c>
      <c r="Q1137" t="inlineStr">
        <is>
          <t>US-D-091</t>
        </is>
      </c>
      <c r="R1137" s="5" t="inlineStr"/>
    </row>
    <row r="1138">
      <c r="A1138" t="inlineStr">
        <is>
          <t>US-D-093</t>
        </is>
      </c>
      <c r="B1138" t="n">
        <v>1044</v>
      </c>
      <c r="C1138" t="inlineStr">
        <is>
          <t>Story</t>
        </is>
      </c>
      <c r="D1138" s="5" t="inlineStr">
        <is>
          <t xml:space="preserve">        Complainant asks for conciliation</t>
        </is>
      </c>
      <c r="E1138" t="inlineStr">
        <is>
          <t>Cases and policies: POSH, accidents, grievance, disciplinary, whistleblower</t>
        </is>
      </c>
      <c r="F1138" t="inlineStr">
        <is>
          <t>POSH complaints and Internal Committee</t>
        </is>
      </c>
      <c r="G1138" t="inlineStr">
        <is>
          <t>New</t>
        </is>
      </c>
      <c r="I1138">
        <f>IF(H1138&lt;&gt;"",H1138,G1138)</f>
        <v/>
      </c>
      <c r="J1138" t="inlineStr">
        <is>
          <t>Wave 4 · Cases &amp; policies</t>
        </is>
      </c>
      <c r="K1138" t="n">
        <v>2</v>
      </c>
      <c r="L1138" t="n">
        <v>1</v>
      </c>
      <c r="M1138" s="5" t="inlineStr">
        <is>
          <t>As a complainant, I want conciliation only if I ask for it so that I am never pushed into a settlement.</t>
        </is>
      </c>
      <c r="N1138" s="5" t="inlineStr">
        <is>
          <t>• Given a POSH case, when the complainant requests conciliation, then the IC can record it; otherwise the option is not offered (YX-POSH-04).
• Given a conciliation, when the terms are recorded, then a monetary settlement cannot be its basis (YX-POSH-04).
• Given conciliation fails or is not chosen, when the IC proceeds, then the inquiry steps run (M08 §6).</t>
        </is>
      </c>
      <c r="O1138" s="5" t="inlineStr">
        <is>
          <t>YX-POSH-04</t>
        </is>
      </c>
      <c r="P1138" t="inlineStr">
        <is>
          <t>M08, P07</t>
        </is>
      </c>
      <c r="Q1138" t="inlineStr">
        <is>
          <t>US-D-091</t>
        </is>
      </c>
      <c r="R1138" s="5" t="inlineStr"/>
    </row>
    <row r="1139">
      <c r="A1139" t="inlineStr">
        <is>
          <t>US-D-094</t>
        </is>
      </c>
      <c r="B1139" t="n">
        <v>1045</v>
      </c>
      <c r="C1139" t="inlineStr">
        <is>
          <t>Story</t>
        </is>
      </c>
      <c r="D1139" s="5" t="inlineStr">
        <is>
          <t xml:space="preserve">        Only IC members on the case see POSH details</t>
        </is>
      </c>
      <c r="E1139" t="inlineStr">
        <is>
          <t>Cases and policies: POSH, accidents, grievance, disciplinary, whistleblower</t>
        </is>
      </c>
      <c r="F1139" t="inlineStr">
        <is>
          <t>POSH complaints and Internal Committee</t>
        </is>
      </c>
      <c r="G1139" t="inlineStr">
        <is>
          <t>New</t>
        </is>
      </c>
      <c r="I1139">
        <f>IF(H1139&lt;&gt;"",H1139,G1139)</f>
        <v/>
      </c>
      <c r="J1139" t="inlineStr">
        <is>
          <t>Wave 4 · Cases &amp; policies</t>
        </is>
      </c>
      <c r="K1139" t="n">
        <v>2</v>
      </c>
      <c r="L1139" t="n">
        <v>1</v>
      </c>
      <c r="M1139" s="5" t="inlineStr">
        <is>
          <t>As a complainant, I want only the IC members on my case to see it so that my privacy is protected.</t>
        </is>
      </c>
      <c r="N1139" s="5" t="inlineStr">
        <is>
          <t>• Given a POSH case, when HR opens the POSH area, then HR sees only anonymised counts and the actions assigned to it (YX-POSH-05).
• Given System Admin or YukthiX support, when they try to access POSH data, then it is never shown, even in support sessions (YX-POSH-05, M08 Q4).
• Given performance or other modules, when they read employee data, then POSH case details are never used (YX-POSH-05).</t>
        </is>
      </c>
      <c r="O1139" s="5" t="inlineStr">
        <is>
          <t>YX-POSH-05</t>
        </is>
      </c>
      <c r="P1139" t="inlineStr">
        <is>
          <t>M08, P07</t>
        </is>
      </c>
      <c r="Q1139" t="inlineStr">
        <is>
          <t>US-D-091</t>
        </is>
      </c>
      <c r="R1139" s="5" t="inlineStr"/>
    </row>
    <row r="1140">
      <c r="A1140" t="inlineStr">
        <is>
          <t>US-D-095</t>
        </is>
      </c>
      <c r="B1140" t="n">
        <v>1046</v>
      </c>
      <c r="C1140" t="inlineStr">
        <is>
          <t>Story</t>
        </is>
      </c>
      <c r="D1140" s="5" t="inlineStr">
        <is>
          <t xml:space="preserve">        IC runs the inquiry and sends the report</t>
        </is>
      </c>
      <c r="E1140" t="inlineStr">
        <is>
          <t>Cases and policies: POSH, accidents, grievance, disciplinary, whistleblower</t>
        </is>
      </c>
      <c r="F1140" t="inlineStr">
        <is>
          <t>POSH complaints and Internal Committee</t>
        </is>
      </c>
      <c r="G1140" t="inlineStr">
        <is>
          <t>New</t>
        </is>
      </c>
      <c r="I1140">
        <f>IF(H1140&lt;&gt;"",H1140,G1140)</f>
        <v/>
      </c>
      <c r="J1140" t="inlineStr">
        <is>
          <t>Wave 4 · Cases &amp; policies</t>
        </is>
      </c>
      <c r="K1140" t="n">
        <v>3</v>
      </c>
      <c r="L1140" t="n">
        <v>1</v>
      </c>
      <c r="M1140" s="5" t="inlineStr">
        <is>
          <t>As an IC member, I want to send notices, hold hearings and record the report so that the inquiry is documented.</t>
        </is>
      </c>
      <c r="N1140" s="5" t="inlineStr">
        <is>
          <t>• Given an inquiry, when the IC sends notice to the respondent, then the P05 POSH letter is issued and the event goes on the timeline (YX-POSH-03).
• Given hearings, when they are held, then statements and documents are added to the case (M08 §6).
• Given the IC report with a recommendation, when submitted, then the employer action due date (60 days) starts and the appeal window is noted (YX-POSH-03).</t>
        </is>
      </c>
      <c r="O1140" s="5" t="inlineStr">
        <is>
          <t>YX-POSH-03</t>
        </is>
      </c>
      <c r="P1140" t="inlineStr">
        <is>
          <t>M08, P07</t>
        </is>
      </c>
      <c r="Q1140" t="inlineStr">
        <is>
          <t>US-D-092</t>
        </is>
      </c>
      <c r="R1140" s="5" t="inlineStr"/>
    </row>
    <row r="1141">
      <c r="A1141" t="inlineStr">
        <is>
          <t>US-D-096</t>
        </is>
      </c>
      <c r="B1141" t="n">
        <v>1047</v>
      </c>
      <c r="C1141" t="inlineStr">
        <is>
          <t>Story</t>
        </is>
      </c>
      <c r="D1141" s="5" t="inlineStr">
        <is>
          <t xml:space="preserve">        IC compiles and submits the POSH annual report</t>
        </is>
      </c>
      <c r="E1141" t="inlineStr">
        <is>
          <t>Cases and policies: POSH, accidents, grievance, disciplinary, whistleblower</t>
        </is>
      </c>
      <c r="F1141" t="inlineStr">
        <is>
          <t>POSH complaints and Internal Committee</t>
        </is>
      </c>
      <c r="G1141" t="inlineStr">
        <is>
          <t>New</t>
        </is>
      </c>
      <c r="I1141">
        <f>IF(H1141&lt;&gt;"",H1141,G1141)</f>
        <v/>
      </c>
      <c r="J1141" t="inlineStr">
        <is>
          <t>Wave 4 · Cases &amp; policies</t>
        </is>
      </c>
      <c r="K1141" t="n">
        <v>3</v>
      </c>
      <c r="L1141" t="n">
        <v>1</v>
      </c>
      <c r="M1141" s="5" t="inlineStr">
        <is>
          <t>As an IC presiding officer, I want the annual report built from cases and awareness sessions so that we file it on time.</t>
        </is>
      </c>
      <c r="N1141" s="5" t="inlineStr">
        <is>
          <t>• Given the year's closed cases, when the report is built, then counts come from cases in the P07 format and due date (YX-POSH-06).
• Given wave 4, when awareness sessions are held, then HR records them in a manual log (date, audience, attendance) used by the report; from wave 5 they come from M07 (YX-POSH-06).
• Given the report is not submitted by the due date, when the check runs, then the compliance calendar flags it (YX-POSH-06).
• Given submission, when HR marks it, then submission to the employer and the District Officer is recorded (YX-POSH-06).</t>
        </is>
      </c>
      <c r="O1141" s="5" t="inlineStr">
        <is>
          <t>YX-POSH-06</t>
        </is>
      </c>
      <c r="P1141" t="inlineStr">
        <is>
          <t>M08, P07</t>
        </is>
      </c>
      <c r="Q1141" t="inlineStr">
        <is>
          <t>US-D-095</t>
        </is>
      </c>
      <c r="R1141" s="5" t="inlineStr"/>
    </row>
    <row r="1142">
      <c r="A1142" s="9" t="inlineStr">
        <is>
          <t>FT-D-019</t>
        </is>
      </c>
      <c r="B1142" s="9" t="n">
        <v>1050</v>
      </c>
      <c r="C1142" s="9" t="inlineStr">
        <is>
          <t>Feature</t>
        </is>
      </c>
      <c r="D1142" s="10" t="inlineStr">
        <is>
          <t xml:space="preserve">    Workplace accident and injury</t>
        </is>
      </c>
      <c r="E1142" s="9" t="inlineStr">
        <is>
          <t>Cases and policies: POSH, accidents, grievance, disciplinary, whistleblower</t>
        </is>
      </c>
      <c r="F1142" s="9" t="inlineStr">
        <is>
          <t>Workplace accident and injury</t>
        </is>
      </c>
      <c r="G1142" s="9" t="inlineStr">
        <is>
          <t>New</t>
        </is>
      </c>
      <c r="H1142" s="9" t="n"/>
      <c r="I1142" s="9">
        <f>IF(H1142&lt;&gt;"",H1142,G1142)</f>
        <v/>
      </c>
      <c r="J1142" s="9" t="inlineStr">
        <is>
          <t>Wave 4 · Cases &amp; policies</t>
        </is>
      </c>
      <c r="K1142" s="9" t="n"/>
      <c r="L1142" s="9" t="n"/>
      <c r="M1142" s="10" t="inlineStr"/>
      <c r="N1142" s="10" t="inlineStr"/>
      <c r="O1142" s="10" t="inlineStr"/>
      <c r="P1142" s="9" t="inlineStr">
        <is>
          <t>M08, P07, M13</t>
        </is>
      </c>
      <c r="Q1142" s="9" t="inlineStr"/>
      <c r="R1142" s="10" t="inlineStr"/>
      <c r="S1142" s="9" t="n"/>
    </row>
    <row r="1143">
      <c r="A1143" t="inlineStr">
        <is>
          <t>US-D-097</t>
        </is>
      </c>
      <c r="B1143" t="n">
        <v>1051</v>
      </c>
      <c r="C1143" t="inlineStr">
        <is>
          <t>Story</t>
        </is>
      </c>
      <c r="D1143" s="5" t="inlineStr">
        <is>
          <t xml:space="preserve">        Anyone reports a workplace accident</t>
        </is>
      </c>
      <c r="E1143" t="inlineStr">
        <is>
          <t>Cases and policies: POSH, accidents, grievance, disciplinary, whistleblower</t>
        </is>
      </c>
      <c r="F1143" t="inlineStr">
        <is>
          <t>Workplace accident and injury</t>
        </is>
      </c>
      <c r="G1143" t="inlineStr">
        <is>
          <t>New</t>
        </is>
      </c>
      <c r="I1143">
        <f>IF(H1143&lt;&gt;"",H1143,G1143)</f>
        <v/>
      </c>
      <c r="J1143" t="inlineStr">
        <is>
          <t>Wave 4 · Cases &amp; policies</t>
        </is>
      </c>
      <c r="K1143" t="n">
        <v>3</v>
      </c>
      <c r="L1143" t="n">
        <v>1</v>
      </c>
      <c r="M1143" s="5" t="inlineStr">
        <is>
          <t>As a supervisor, I want to report an accident from my phone so that the safety officer and HR act fast.</t>
        </is>
      </c>
      <c r="N1143" s="5" t="inlineStr">
        <is>
          <t>• Given an employee, supervisor, security staff or contractor supervisor, when they report an accident, then a case opens for the location's safety officer and HR and the reporter is a member (YX-CASE-14).
• Given the incident record, when filled, then it has the person (employee, or contract worker linked to M13), time, place, description, witnesses, photos, injury, body part, first aid, hospital and days unable to work (YX-CASE-14).
• Given someone reports a near-miss, when they pick a case type, then the accident type is not offered (YX-CASE-14).</t>
        </is>
      </c>
      <c r="O1143" s="5" t="inlineStr">
        <is>
          <t>YX-CASE-14</t>
        </is>
      </c>
      <c r="P1143" t="inlineStr">
        <is>
          <t>M08, P07, M13</t>
        </is>
      </c>
      <c r="Q1143" t="inlineStr">
        <is>
          <t>US-D-082</t>
        </is>
      </c>
      <c r="R1143" s="5" t="inlineStr"/>
    </row>
    <row r="1144">
      <c r="A1144" t="inlineStr">
        <is>
          <t>US-D-098</t>
        </is>
      </c>
      <c r="B1144" t="n">
        <v>1052</v>
      </c>
      <c r="C1144" t="inlineStr">
        <is>
          <t>Story</t>
        </is>
      </c>
      <c r="D1144" s="5" t="inlineStr">
        <is>
          <t xml:space="preserve">        Medical details stay private and the register is filled on close</t>
        </is>
      </c>
      <c r="E1144" t="inlineStr">
        <is>
          <t>Cases and policies: POSH, accidents, grievance, disciplinary, whistleblower</t>
        </is>
      </c>
      <c r="F1144" t="inlineStr">
        <is>
          <t>Workplace accident and injury</t>
        </is>
      </c>
      <c r="G1144" t="inlineStr">
        <is>
          <t>New</t>
        </is>
      </c>
      <c r="I1144">
        <f>IF(H1144&lt;&gt;"",H1144,G1144)</f>
        <v/>
      </c>
      <c r="J1144" t="inlineStr">
        <is>
          <t>Wave 4 · Cases &amp; policies</t>
        </is>
      </c>
      <c r="K1144" t="n">
        <v>3</v>
      </c>
      <c r="L1144" t="n">
        <v>1</v>
      </c>
      <c r="M1144" s="5" t="inlineStr">
        <is>
          <t>As a safety officer, I want medical details visible only to members with medical access and the register filled automatically so that privacy and the law are both met.</t>
        </is>
      </c>
      <c r="N1144" s="5" t="inlineStr">
        <is>
          <t>• Given diagnosis, certificates and disablement, when stored, then they are Special and shown only to case members with medical access (YX-CASE-14).
• Given the manager, when they look at the injured employee, then they see only the injury leave dates (YX-CASE-14).
• Given the case closes, when it closes, then one entry is written to the statutory accidents register with no re-keying (YX-CASE-14).
• Given a correction after the register is signed, when made, then a new signed version is created (YX-CASE-14).</t>
        </is>
      </c>
      <c r="O1144" s="5" t="inlineStr">
        <is>
          <t>YX-CASE-14</t>
        </is>
      </c>
      <c r="P1144" t="inlineStr">
        <is>
          <t>M08, P07, M13</t>
        </is>
      </c>
      <c r="Q1144" t="inlineStr">
        <is>
          <t>US-D-097</t>
        </is>
      </c>
      <c r="R1144" s="5" t="inlineStr"/>
    </row>
    <row r="1145">
      <c r="A1145" t="inlineStr">
        <is>
          <t>US-D-099</t>
        </is>
      </c>
      <c r="B1145" t="n">
        <v>1053</v>
      </c>
      <c r="C1145" t="inlineStr">
        <is>
          <t>Story</t>
        </is>
      </c>
      <c r="D1145" s="5" t="inlineStr">
        <is>
          <t xml:space="preserve">        Case generates the ESIC accident report and statutory notice</t>
        </is>
      </c>
      <c r="E1145" t="inlineStr">
        <is>
          <t>Cases and policies: POSH, accidents, grievance, disciplinary, whistleblower</t>
        </is>
      </c>
      <c r="F1145" t="inlineStr">
        <is>
          <t>Workplace accident and injury</t>
        </is>
      </c>
      <c r="G1145" t="inlineStr">
        <is>
          <t>New</t>
        </is>
      </c>
      <c r="I1145">
        <f>IF(H1145&lt;&gt;"",H1145,G1145)</f>
        <v/>
      </c>
      <c r="J1145" t="inlineStr">
        <is>
          <t>Wave 4 · Cases &amp; policies</t>
        </is>
      </c>
      <c r="K1145" t="n">
        <v>5</v>
      </c>
      <c r="L1145" t="n">
        <v>1</v>
      </c>
      <c r="M1145" s="5" t="inlineStr">
        <is>
          <t>As a safety officer, I want the ESIC report and the accident notice pre-filled with their deadlines so that we file on time.</t>
        </is>
      </c>
      <c r="N1145" s="5" t="inlineStr">
        <is>
          <t>• Given an ESI-covered person, when the case is saved, then the ESIC accident report is generated with its due time on the compliance calendar (YX-CASE-15).
• Given a reportable accident (death, or disablement beyond the P07 days), when saved, then the statutory accident notice is generated in the prescribed form (YX-CASE-15).
• Given a report is filed, when the officer marks it submitted, then the acknowledgement number is recorded; a missed deadline shows the P07 estimated penalty (YX-CASE-15).
• Given a contract worker, when the contractor has not filed, then the principal employer is alerted (YX-CASE-15).</t>
        </is>
      </c>
      <c r="O1145" s="5" t="inlineStr">
        <is>
          <t>YX-CASE-15</t>
        </is>
      </c>
      <c r="P1145" t="inlineStr">
        <is>
          <t>M08, P07, M13</t>
        </is>
      </c>
      <c r="Q1145" t="inlineStr">
        <is>
          <t>US-D-097</t>
        </is>
      </c>
      <c r="R1145" s="5" t="inlineStr"/>
    </row>
    <row r="1146">
      <c r="A1146" t="inlineStr">
        <is>
          <t>US-D-100</t>
        </is>
      </c>
      <c r="B1146" t="n">
        <v>1054</v>
      </c>
      <c r="C1146" t="inlineStr">
        <is>
          <t>Story</t>
        </is>
      </c>
      <c r="D1146" s="5" t="inlineStr">
        <is>
          <t xml:space="preserve">        HR tracks an Employees' Compensation claim for non-ESI staff</t>
        </is>
      </c>
      <c r="E1146" t="inlineStr">
        <is>
          <t>Cases and policies: POSH, accidents, grievance, disciplinary, whistleblower</t>
        </is>
      </c>
      <c r="F1146" t="inlineStr">
        <is>
          <t>Workplace accident and injury</t>
        </is>
      </c>
      <c r="G1146" t="inlineStr">
        <is>
          <t>New</t>
        </is>
      </c>
      <c r="I1146">
        <f>IF(H1146&lt;&gt;"",H1146,G1146)</f>
        <v/>
      </c>
      <c r="J1146" t="inlineStr">
        <is>
          <t>Wave 4 · Cases &amp; policies</t>
        </is>
      </c>
      <c r="K1146" t="n">
        <v>5</v>
      </c>
      <c r="L1146" t="n">
        <v>1</v>
      </c>
      <c r="M1146" s="5" t="inlineStr">
        <is>
          <t>As an HR admin, I want the EC amount computed and its deadline tracked so that injured staff not under ESI are paid right.</t>
        </is>
      </c>
      <c r="N1146" s="5" t="inlineStr">
        <is>
          <t>• Given a person not covered by ESI, when the case is saved, then an EC claim opens; ESI-covered persons get no EC claim (YX-CASE-16).
• Given the P07 `IN.EC` rule valid on the accident date, when computed, then injury kind, wage with ceiling, age factor, minimums and waiting period are used (YX-CASE-16).
• Given temporary disablement, when paid, then it goes through payroll; a lump sum is paid or deposited with the commissioner where P07 requires, with the reference recorded (YX-CASE-16).
• Given payment after the due date, when recorded, then P07 interest and penalty lines are added, and the EC letter states the amount and calculation (YX-CASE-16).</t>
        </is>
      </c>
      <c r="O1146" s="5" t="inlineStr">
        <is>
          <t>YX-CASE-16</t>
        </is>
      </c>
      <c r="P1146" t="inlineStr">
        <is>
          <t>M08, P07, M03</t>
        </is>
      </c>
      <c r="Q1146" t="inlineStr">
        <is>
          <t>US-D-097</t>
        </is>
      </c>
      <c r="R1146" s="5" t="inlineStr"/>
    </row>
    <row r="1147">
      <c r="A1147" s="9" t="inlineStr">
        <is>
          <t>FT-D-020</t>
        </is>
      </c>
      <c r="B1147" s="9" t="n">
        <v>1060</v>
      </c>
      <c r="C1147" s="9" t="inlineStr">
        <is>
          <t>Feature</t>
        </is>
      </c>
      <c r="D1147" s="10" t="inlineStr">
        <is>
          <t xml:space="preserve">    Collective disputes and settlements</t>
        </is>
      </c>
      <c r="E1147" s="9" t="inlineStr">
        <is>
          <t>Cases and policies: POSH, accidents, grievance, disciplinary, whistleblower</t>
        </is>
      </c>
      <c r="F1147" s="9" t="inlineStr">
        <is>
          <t>Collective disputes and settlements</t>
        </is>
      </c>
      <c r="G1147" s="9" t="inlineStr">
        <is>
          <t>New</t>
        </is>
      </c>
      <c r="H1147" s="9" t="n"/>
      <c r="I1147" s="9">
        <f>IF(H1147&lt;&gt;"",H1147,G1147)</f>
        <v/>
      </c>
      <c r="J1147" s="9" t="inlineStr">
        <is>
          <t>Wave 4 · Cases &amp; policies</t>
        </is>
      </c>
      <c r="K1147" s="9" t="n"/>
      <c r="L1147" s="9" t="n"/>
      <c r="M1147" s="10" t="inlineStr"/>
      <c r="N1147" s="10" t="inlineStr"/>
      <c r="O1147" s="10" t="inlineStr"/>
      <c r="P1147" s="9" t="inlineStr">
        <is>
          <t>M08, M01</t>
        </is>
      </c>
      <c r="Q1147" s="9" t="inlineStr"/>
      <c r="R1147" s="10" t="inlineStr"/>
      <c r="S1147" s="9" t="n"/>
    </row>
    <row r="1148">
      <c r="A1148" t="inlineStr">
        <is>
          <t>US-D-101</t>
        </is>
      </c>
      <c r="B1148" t="n">
        <v>1061</v>
      </c>
      <c r="C1148" t="inlineStr">
        <is>
          <t>Story</t>
        </is>
      </c>
      <c r="D1148" s="5" t="inlineStr">
        <is>
          <t xml:space="preserve">        HR-IR records a collective dispute and its settlement</t>
        </is>
      </c>
      <c r="E1148" t="inlineStr">
        <is>
          <t>Cases and policies: POSH, accidents, grievance, disciplinary, whistleblower</t>
        </is>
      </c>
      <c r="F1148" t="inlineStr">
        <is>
          <t>Collective disputes and settlements</t>
        </is>
      </c>
      <c r="G1148" t="inlineStr">
        <is>
          <t>New</t>
        </is>
      </c>
      <c r="I1148">
        <f>IF(H1148&lt;&gt;"",H1148,G1148)</f>
        <v/>
      </c>
      <c r="J1148" t="inlineStr">
        <is>
          <t>Wave 4 · Cases &amp; policies</t>
        </is>
      </c>
      <c r="K1148" t="n">
        <v>5</v>
      </c>
      <c r="L1148" t="n">
        <v>2</v>
      </c>
      <c r="M1148" s="5" t="inlineStr">
        <is>
          <t>As an HR-IR officer, I want to record a union's charter of demands, conciliation and the signed settlement so that pay terms reach payroll.</t>
        </is>
      </c>
      <c r="N1148" s="5" t="inlineStr">
        <is>
          <t>• Given a union or worker group raises demands, when HR-IR records the dispute, then demands, conciliation events and outcome are on the case; the team is HR-IR and legal (YX-CASE-18).
• Given a signed settlement, when uploaded as a P05 document, then effective dates and covered categories are recorded and it is sent to the authority where the IR Code requires (YX-CASE-18).
• Given signing, when it is done, then pay terms go to M03 for settlement arrears and the settlement is linked from the union's register entry (YX-CASE-18).</t>
        </is>
      </c>
      <c r="O1148" s="5" t="inlineStr">
        <is>
          <t>YX-CASE-18</t>
        </is>
      </c>
      <c r="P1148" t="inlineStr">
        <is>
          <t>M08, M01</t>
        </is>
      </c>
      <c r="Q1148" t="inlineStr">
        <is>
          <t>US-D-082</t>
        </is>
      </c>
      <c r="R1148" s="5" t="inlineStr"/>
    </row>
    <row r="1149">
      <c r="A1149" s="9" t="inlineStr">
        <is>
          <t>FT-D-021</t>
        </is>
      </c>
      <c r="B1149" s="9" t="n">
        <v>1270</v>
      </c>
      <c r="C1149" s="9" t="inlineStr">
        <is>
          <t>Feature</t>
        </is>
      </c>
      <c r="D1149" s="10" t="inlineStr">
        <is>
          <t xml:space="preserve">    Grievance and Grievance Redressal Committee</t>
        </is>
      </c>
      <c r="E1149" s="9" t="inlineStr">
        <is>
          <t>Cases and policies: POSH, accidents, grievance, disciplinary, whistleblower</t>
        </is>
      </c>
      <c r="F1149" s="9" t="inlineStr">
        <is>
          <t>Grievance and Grievance Redressal Committee</t>
        </is>
      </c>
      <c r="G1149" s="9" t="inlineStr">
        <is>
          <t>New</t>
        </is>
      </c>
      <c r="H1149" s="9" t="n"/>
      <c r="I1149" s="9">
        <f>IF(H1149&lt;&gt;"",H1149,G1149)</f>
        <v/>
      </c>
      <c r="J1149" s="9" t="inlineStr">
        <is>
          <t>Wave 5 · Cases &amp; policies</t>
        </is>
      </c>
      <c r="K1149" s="9" t="n"/>
      <c r="L1149" s="9" t="n"/>
      <c r="M1149" s="10" t="inlineStr"/>
      <c r="N1149" s="10" t="inlineStr"/>
      <c r="O1149" s="10" t="inlineStr"/>
      <c r="P1149" s="9" t="inlineStr">
        <is>
          <t>M08, P07</t>
        </is>
      </c>
      <c r="Q1149" s="9" t="inlineStr"/>
      <c r="R1149" s="10" t="inlineStr"/>
      <c r="S1149" s="9" t="n"/>
    </row>
    <row r="1150">
      <c r="A1150" t="inlineStr">
        <is>
          <t>US-D-102</t>
        </is>
      </c>
      <c r="B1150" t="n">
        <v>1271</v>
      </c>
      <c r="C1150" t="inlineStr">
        <is>
          <t>Story</t>
        </is>
      </c>
      <c r="D1150" s="5" t="inlineStr">
        <is>
          <t xml:space="preserve">        Case owner handles a grievance to resolution</t>
        </is>
      </c>
      <c r="E1150" t="inlineStr">
        <is>
          <t>Cases and policies: POSH, accidents, grievance, disciplinary, whistleblower</t>
        </is>
      </c>
      <c r="F1150" t="inlineStr">
        <is>
          <t>Grievance and Grievance Redressal Committee</t>
        </is>
      </c>
      <c r="G1150" t="inlineStr">
        <is>
          <t>New</t>
        </is>
      </c>
      <c r="I1150">
        <f>IF(H1150&lt;&gt;"",H1150,G1150)</f>
        <v/>
      </c>
      <c r="J1150" t="inlineStr">
        <is>
          <t>Wave 5 · Cases &amp; policies</t>
        </is>
      </c>
      <c r="K1150" t="n">
        <v>3</v>
      </c>
      <c r="L1150" t="n">
        <v>1</v>
      </c>
      <c r="M1150" s="5" t="inlineStr">
        <is>
          <t>As a case owner, I want to acknowledge, investigate and resolve a grievance with an appeal step so that employees get a fair answer.</t>
        </is>
      </c>
      <c r="N1150" s="5" t="inlineStr">
        <is>
          <t>• Given a filed grievance, when it is acknowledged, then a case owner is assigned and each stage has a due date (YX-CASE-05).
• Given the investigation, when meetings, statements and documents are added, then they appear on the timeline (YX-CASE-05).
• Given a finding and resolution, when recorded, then the complainant can appeal once to the next level (M08 §6).
• Given the company switched anonymous grievances off, when an employee files, then only named-confidential is offered (M08 Q3, YX-CASE-01).</t>
        </is>
      </c>
      <c r="O1150" s="5" t="inlineStr">
        <is>
          <t>YX-CASE-05, YX-CASE-01</t>
        </is>
      </c>
      <c r="P1150" t="inlineStr">
        <is>
          <t>M08, P07</t>
        </is>
      </c>
      <c r="Q1150" t="inlineStr">
        <is>
          <t>US-D-083</t>
        </is>
      </c>
      <c r="R1150" s="5" t="inlineStr"/>
    </row>
    <row r="1151">
      <c r="A1151" t="inlineStr">
        <is>
          <t>US-D-103</t>
        </is>
      </c>
      <c r="B1151" t="n">
        <v>1272</v>
      </c>
      <c r="C1151" t="inlineStr">
        <is>
          <t>Story</t>
        </is>
      </c>
      <c r="D1151" s="5" t="inlineStr">
        <is>
          <t xml:space="preserve">        HR sets up a Grievance Redressal Committee</t>
        </is>
      </c>
      <c r="E1151" t="inlineStr">
        <is>
          <t>Cases and policies: POSH, accidents, grievance, disciplinary, whistleblower</t>
        </is>
      </c>
      <c r="F1151" t="inlineStr">
        <is>
          <t>Grievance and Grievance Redressal Committee</t>
        </is>
      </c>
      <c r="G1151" t="inlineStr">
        <is>
          <t>New</t>
        </is>
      </c>
      <c r="I1151">
        <f>IF(H1151&lt;&gt;"",H1151,G1151)</f>
        <v/>
      </c>
      <c r="J1151" t="inlineStr">
        <is>
          <t>Wave 5 · Cases &amp; policies</t>
        </is>
      </c>
      <c r="K1151" t="n">
        <v>3</v>
      </c>
      <c r="L1151" t="n">
        <v>1</v>
      </c>
      <c r="M1151" s="5" t="inlineStr">
        <is>
          <t>As an HR admin, I want to record the GRC for each establishment with 20+ workers and see if it is valid so that we meet the IR Code.</t>
        </is>
      </c>
      <c r="N1151" s="5" t="inlineStr">
        <is>
          <t>• Given an establishment at or above the `IN.IR` threshold, when it has no valid GRC, then a banner and a compliance-calendar flag show (YX-CASE-12).
• Given members with sides, when saved, then equal employer / worker sides, a chair alternating between sides, and women at least in proportion to women workers are checked (YX-CASE-12).
• Given a 45-worker warehouse with 3 employer and 2 worker members, when the console opens, then it shows 'Committee not valid (unequal sides)' (YX-CASE-12).</t>
        </is>
      </c>
      <c r="O1151" s="5" t="inlineStr">
        <is>
          <t>YX-CASE-12</t>
        </is>
      </c>
      <c r="P1151" t="inlineStr">
        <is>
          <t>M08, P07</t>
        </is>
      </c>
      <c r="Q1151" t="inlineStr">
        <is>
          <t>US-D-082</t>
        </is>
      </c>
      <c r="R1151" s="5" t="inlineStr"/>
    </row>
    <row r="1152">
      <c r="A1152" t="inlineStr">
        <is>
          <t>US-D-104</t>
        </is>
      </c>
      <c r="B1152" t="n">
        <v>1273</v>
      </c>
      <c r="C1152" t="inlineStr">
        <is>
          <t>Story</t>
        </is>
      </c>
      <c r="D1152" s="5" t="inlineStr">
        <is>
          <t xml:space="preserve">        Worker grievance is routed to the GRC with the disposal clock</t>
        </is>
      </c>
      <c r="E1152" t="inlineStr">
        <is>
          <t>Cases and policies: POSH, accidents, grievance, disciplinary, whistleblower</t>
        </is>
      </c>
      <c r="F1152" t="inlineStr">
        <is>
          <t>Grievance and Grievance Redressal Committee</t>
        </is>
      </c>
      <c r="G1152" t="inlineStr">
        <is>
          <t>New</t>
        </is>
      </c>
      <c r="I1152">
        <f>IF(H1152&lt;&gt;"",H1152,G1152)</f>
        <v/>
      </c>
      <c r="J1152" t="inlineStr">
        <is>
          <t>Wave 5 · Cases &amp; policies</t>
        </is>
      </c>
      <c r="K1152" t="n">
        <v>3</v>
      </c>
      <c r="L1152" t="n">
        <v>1</v>
      </c>
      <c r="M1152" s="5" t="inlineStr">
        <is>
          <t>As a worker, I want my grievance sent to the GRC with a deadline and an appeal path so that it is decided on time.</t>
        </is>
      </c>
      <c r="N1152" s="5" t="inlineStr">
        <is>
          <t>• Given an establishment with a GRC, when a worker files a named grievance, then GRC members join the case team, with conflict rules applied (YX-CASE-12, YX-CASE-04).
• Given the case, when it opens, then the statutory disposal clock from P07 shows with reminders and escalation (YX-CASE-12).
• Given a rejected or undecided grievance, when the worker views it, then the appeal path and time limit are shown (YX-CASE-12).
• Given an anonymous grievance, when filed, then it keeps the normal flow (YX-CASE-12).</t>
        </is>
      </c>
      <c r="O1152" s="5" t="inlineStr">
        <is>
          <t>YX-CASE-12</t>
        </is>
      </c>
      <c r="P1152" t="inlineStr">
        <is>
          <t>M08, P07</t>
        </is>
      </c>
      <c r="Q1152" t="inlineStr">
        <is>
          <t>US-D-103, US-D-102</t>
        </is>
      </c>
      <c r="R1152" s="5" t="inlineStr"/>
    </row>
    <row r="1153">
      <c r="A1153" s="9" t="inlineStr">
        <is>
          <t>FT-D-022</t>
        </is>
      </c>
      <c r="B1153" s="9" t="n">
        <v>1275</v>
      </c>
      <c r="C1153" s="9" t="inlineStr">
        <is>
          <t>Feature</t>
        </is>
      </c>
      <c r="D1153" s="10" t="inlineStr">
        <is>
          <t xml:space="preserve">    Disciplinary cases</t>
        </is>
      </c>
      <c r="E1153" s="9" t="inlineStr">
        <is>
          <t>Cases and policies: POSH, accidents, grievance, disciplinary, whistleblower</t>
        </is>
      </c>
      <c r="F1153" s="9" t="inlineStr">
        <is>
          <t>Disciplinary cases</t>
        </is>
      </c>
      <c r="G1153" s="9" t="inlineStr">
        <is>
          <t>New</t>
        </is>
      </c>
      <c r="H1153" s="9" t="n"/>
      <c r="I1153" s="9">
        <f>IF(H1153&lt;&gt;"",H1153,G1153)</f>
        <v/>
      </c>
      <c r="J1153" s="9" t="inlineStr">
        <is>
          <t>Wave 5 · Cases &amp; policies</t>
        </is>
      </c>
      <c r="K1153" s="9" t="n"/>
      <c r="L1153" s="9" t="n"/>
      <c r="M1153" s="10" t="inlineStr"/>
      <c r="N1153" s="10" t="inlineStr"/>
      <c r="O1153" s="10" t="inlineStr"/>
      <c r="P1153" s="9" t="inlineStr">
        <is>
          <t>M08, P05</t>
        </is>
      </c>
      <c r="Q1153" s="9" t="inlineStr"/>
      <c r="R1153" s="10" t="inlineStr"/>
      <c r="S1153" s="9" t="n"/>
    </row>
    <row r="1154">
      <c r="A1154" t="inlineStr">
        <is>
          <t>US-D-105</t>
        </is>
      </c>
      <c r="B1154" t="n">
        <v>1276</v>
      </c>
      <c r="C1154" t="inlineStr">
        <is>
          <t>Story</t>
        </is>
      </c>
      <c r="D1154" s="5" t="inlineStr">
        <is>
          <t xml:space="preserve">        HR sets up the misconduct matrix</t>
        </is>
      </c>
      <c r="E1154" t="inlineStr">
        <is>
          <t>Cases and policies: POSH, accidents, grievance, disciplinary, whistleblower</t>
        </is>
      </c>
      <c r="F1154" t="inlineStr">
        <is>
          <t>Disciplinary cases</t>
        </is>
      </c>
      <c r="G1154" t="inlineStr">
        <is>
          <t>New</t>
        </is>
      </c>
      <c r="I1154">
        <f>IF(H1154&lt;&gt;"",H1154,G1154)</f>
        <v/>
      </c>
      <c r="J1154" t="inlineStr">
        <is>
          <t>Wave 5 · Cases &amp; policies</t>
        </is>
      </c>
      <c r="K1154" t="n">
        <v>2</v>
      </c>
      <c r="L1154" t="n">
        <v>1</v>
      </c>
      <c r="M1154" s="5" t="inlineStr">
        <is>
          <t>As an HR admin, I want a misconduct matrix of minor and major acts with suggested actions so that penalties are consistent.</t>
        </is>
      </c>
      <c r="N1154" s="5" t="inlineStr">
        <is>
          <t>• Given the matrix, when HR adds a misconduct type, then it has a level and suggested actions (YX-CASE-07).
• Given an establishment below the standing-orders threshold, when the matrix is used, then it is company policy (YX-CASE-13).
• Given a warning level, when HR sets an expiry (default 12 months), then warnings expire after it but stay on record (YX-CASE-07).</t>
        </is>
      </c>
      <c r="O1154" s="5" t="inlineStr">
        <is>
          <t>YX-CASE-07</t>
        </is>
      </c>
      <c r="P1154" t="inlineStr">
        <is>
          <t>M08, P05</t>
        </is>
      </c>
      <c r="Q1154" t="inlineStr">
        <is>
          <t>US-D-082</t>
        </is>
      </c>
      <c r="R1154" s="5" t="inlineStr"/>
    </row>
    <row r="1155">
      <c r="A1155" t="inlineStr">
        <is>
          <t>US-D-106</t>
        </is>
      </c>
      <c r="B1155" t="n">
        <v>1277</v>
      </c>
      <c r="C1155" t="inlineStr">
        <is>
          <t>Story</t>
        </is>
      </c>
      <c r="D1155" s="5" t="inlineStr">
        <is>
          <t xml:space="preserve">        HR runs show-cause, reply, inquiry and decision</t>
        </is>
      </c>
      <c r="E1155" t="inlineStr">
        <is>
          <t>Cases and policies: POSH, accidents, grievance, disciplinary, whistleblower</t>
        </is>
      </c>
      <c r="F1155" t="inlineStr">
        <is>
          <t>Disciplinary cases</t>
        </is>
      </c>
      <c r="G1155" t="inlineStr">
        <is>
          <t>New</t>
        </is>
      </c>
      <c r="I1155">
        <f>IF(H1155&lt;&gt;"",H1155,G1155)</f>
        <v/>
      </c>
      <c r="J1155" t="inlineStr">
        <is>
          <t>Wave 5 · Cases &amp; policies</t>
        </is>
      </c>
      <c r="K1155" t="n">
        <v>5</v>
      </c>
      <c r="L1155" t="n">
        <v>1</v>
      </c>
      <c r="M1155" s="5" t="inlineStr">
        <is>
          <t>As an HR admin, I want the disciplinary steps enforced so that no penalty is given without a chance to reply.</t>
        </is>
      </c>
      <c r="N1155" s="5" t="inlineStr">
        <is>
          <t>• Given an incident raised by a manager or HR, when HR reviews it, then a show-cause notice (P05 letter) is sent (YX-CASE-07).
• Given the reply window (default 7 days, extendable), when HR tries to record a penalty before it ends, then it is blocked (YX-CASE-07).
• Given an optional inquiry, when an inquiry officer is named, then hearings are recorded on the timeline (YX-CASE-07).
• Given a decision of warning, suspension, deduction, termination or no action, when recorded, then the letter is issued and the employee may appeal (YX-CASE-07).</t>
        </is>
      </c>
      <c r="O1155" s="5" t="inlineStr">
        <is>
          <t>YX-CASE-07</t>
        </is>
      </c>
      <c r="P1155" t="inlineStr">
        <is>
          <t>M08, P05</t>
        </is>
      </c>
      <c r="Q1155" t="inlineStr">
        <is>
          <t>US-D-105</t>
        </is>
      </c>
      <c r="R1155" s="5" t="inlineStr"/>
    </row>
    <row r="1156">
      <c r="A1156" t="inlineStr">
        <is>
          <t>US-D-107</t>
        </is>
      </c>
      <c r="B1156" t="n">
        <v>1278</v>
      </c>
      <c r="C1156" t="inlineStr">
        <is>
          <t>Story</t>
        </is>
      </c>
      <c r="D1156" s="5" t="inlineStr">
        <is>
          <t xml:space="preserve">        Suspension pays subsistence allowance and termination opens an exit case</t>
        </is>
      </c>
      <c r="E1156" t="inlineStr">
        <is>
          <t>Cases and policies: POSH, accidents, grievance, disciplinary, whistleblower</t>
        </is>
      </c>
      <c r="F1156" t="inlineStr">
        <is>
          <t>Disciplinary cases</t>
        </is>
      </c>
      <c r="G1156" t="inlineStr">
        <is>
          <t>New</t>
        </is>
      </c>
      <c r="I1156">
        <f>IF(H1156&lt;&gt;"",H1156,G1156)</f>
        <v/>
      </c>
      <c r="J1156" t="inlineStr">
        <is>
          <t>Wave 5 · Cases &amp; policies</t>
        </is>
      </c>
      <c r="K1156" t="n">
        <v>3</v>
      </c>
      <c r="L1156" t="n">
        <v>1</v>
      </c>
      <c r="M1156" s="5" t="inlineStr">
        <is>
          <t>As a payroll admin, I want suspension pending inquiry to pay subsistence allowance and a termination to open an exit case so that pay and exit follow the decision.</t>
        </is>
      </c>
      <c r="N1156" s="5" t="inlineStr">
        <is>
          <t>• Given suspension pending inquiry, when recorded, then M03 pays subsistence allowance at the P07 rate (YX-CASE-07).
• Given a termination decision, when recorded, then an M01 exit case opens (YX-CASE-07).
• Given active warnings, when HR opens the employee file, then they show with their expiry (YX-CASE-07).</t>
        </is>
      </c>
      <c r="O1156" s="5" t="inlineStr">
        <is>
          <t>YX-CASE-07</t>
        </is>
      </c>
      <c r="P1156" t="inlineStr">
        <is>
          <t>M08, P05</t>
        </is>
      </c>
      <c r="Q1156" t="inlineStr">
        <is>
          <t>US-D-106, US-D-059</t>
        </is>
      </c>
      <c r="R1156" s="5" t="inlineStr"/>
    </row>
    <row r="1157">
      <c r="A1157" t="inlineStr">
        <is>
          <t>US-D-108</t>
        </is>
      </c>
      <c r="B1157" t="n">
        <v>1279</v>
      </c>
      <c r="C1157" t="inlineStr">
        <is>
          <t>Story</t>
        </is>
      </c>
      <c r="D1157" s="5" t="inlineStr">
        <is>
          <t xml:space="preserve">        Misconduct cites the standing orders valid on the incident date</t>
        </is>
      </c>
      <c r="E1157" t="inlineStr">
        <is>
          <t>Cases and policies: POSH, accidents, grievance, disciplinary, whistleblower</t>
        </is>
      </c>
      <c r="F1157" t="inlineStr">
        <is>
          <t>Disciplinary cases</t>
        </is>
      </c>
      <c r="G1157" t="inlineStr">
        <is>
          <t>New</t>
        </is>
      </c>
      <c r="I1157">
        <f>IF(H1157&lt;&gt;"",H1157,G1157)</f>
        <v/>
      </c>
      <c r="J1157" t="inlineStr">
        <is>
          <t>Wave 5 · Cases &amp; policies</t>
        </is>
      </c>
      <c r="K1157" t="n">
        <v>3</v>
      </c>
      <c r="L1157" t="n">
        <v>2</v>
      </c>
      <c r="M1157" s="5" t="inlineStr">
        <is>
          <t>As an HR admin at a 300+ worker plant, I want misconduct linked to our standing orders so that charges cite the right clause.</t>
        </is>
      </c>
      <c r="N1157" s="5" t="inlineStr">
        <is>
          <t>• Given an establishment at or above the `IN.IR` standing-orders threshold, when HR uploads certified or model standing orders, then they are versioned with effective dates (YX-CASE-13).
• Given a disciplinary case for an incident on 5 Oct, when HR picks the misconduct, then only types from the version valid on 5 Oct are offered, and the clause shows on the show-cause letter (YX-CASE-13).
• Given no standing orders on record above the threshold, when the check runs, then a compliance alert is raised (YX-CASE-13).</t>
        </is>
      </c>
      <c r="O1157" s="5" t="inlineStr">
        <is>
          <t>YX-CASE-13</t>
        </is>
      </c>
      <c r="P1157" t="inlineStr">
        <is>
          <t>M08, P05</t>
        </is>
      </c>
      <c r="Q1157" t="inlineStr">
        <is>
          <t>US-D-105</t>
        </is>
      </c>
      <c r="R1157" s="5" t="inlineStr"/>
    </row>
    <row r="1158">
      <c r="A1158" s="9" t="inlineStr">
        <is>
          <t>FT-D-023</t>
        </is>
      </c>
      <c r="B1158" s="9" t="n">
        <v>1280</v>
      </c>
      <c r="C1158" s="9" t="inlineStr">
        <is>
          <t>Feature</t>
        </is>
      </c>
      <c r="D1158" s="10" t="inlineStr">
        <is>
          <t xml:space="preserve">    Whistleblower reports</t>
        </is>
      </c>
      <c r="E1158" s="9" t="inlineStr">
        <is>
          <t>Cases and policies: POSH, accidents, grievance, disciplinary, whistleblower</t>
        </is>
      </c>
      <c r="F1158" s="9" t="inlineStr">
        <is>
          <t>Whistleblower reports</t>
        </is>
      </c>
      <c r="G1158" s="9" t="inlineStr">
        <is>
          <t>New</t>
        </is>
      </c>
      <c r="H1158" s="9" t="n"/>
      <c r="I1158" s="9">
        <f>IF(H1158&lt;&gt;"",H1158,G1158)</f>
        <v/>
      </c>
      <c r="J1158" s="9" t="inlineStr">
        <is>
          <t>Wave 5 · Cases &amp; policies</t>
        </is>
      </c>
      <c r="K1158" s="9" t="n"/>
      <c r="L1158" s="9" t="n"/>
      <c r="M1158" s="10" t="inlineStr"/>
      <c r="N1158" s="10" t="inlineStr"/>
      <c r="O1158" s="10" t="inlineStr"/>
      <c r="P1158" s="9" t="inlineStr">
        <is>
          <t>M08</t>
        </is>
      </c>
      <c r="Q1158" s="9" t="inlineStr"/>
      <c r="R1158" s="10" t="inlineStr"/>
      <c r="S1158" s="9" t="n"/>
    </row>
    <row r="1159">
      <c r="A1159" t="inlineStr">
        <is>
          <t>US-D-109</t>
        </is>
      </c>
      <c r="B1159" t="n">
        <v>1281</v>
      </c>
      <c r="C1159" t="inlineStr">
        <is>
          <t>Story</t>
        </is>
      </c>
      <c r="D1159" s="5" t="inlineStr">
        <is>
          <t xml:space="preserve">        Employee files a whistleblower report to the ethics officer</t>
        </is>
      </c>
      <c r="E1159" t="inlineStr">
        <is>
          <t>Cases and policies: POSH, accidents, grievance, disciplinary, whistleblower</t>
        </is>
      </c>
      <c r="F1159" t="inlineStr">
        <is>
          <t>Whistleblower reports</t>
        </is>
      </c>
      <c r="G1159" t="inlineStr">
        <is>
          <t>New</t>
        </is>
      </c>
      <c r="I1159">
        <f>IF(H1159&lt;&gt;"",H1159,G1159)</f>
        <v/>
      </c>
      <c r="J1159" t="inlineStr">
        <is>
          <t>Wave 5 · Cases &amp; policies</t>
        </is>
      </c>
      <c r="K1159" t="n">
        <v>3</v>
      </c>
      <c r="L1159" t="n">
        <v>1</v>
      </c>
      <c r="M1159" s="5" t="inlineStr">
        <is>
          <t>As an employee, I want to report fraud, named or anonymously, to an ethics officer outside HR so that I am protected.</t>
        </is>
      </c>
      <c r="N1159" s="5" t="inlineStr">
        <is>
          <t>• Given a whistleblower report, when filed on web or mobile, then it goes to the ethics officer and HR is not a member unless added (M08 Q8, YX-CASE-02).
• Given a serious category per the company threshold, when filed, then the audit committee chair is added through a limited external login (M08 Q8).
• Given an anonymous report, when filed, then the anonymity rules apply and a retaliation flag can be raised later (YX-CASE-03, YX-CASE-08).</t>
        </is>
      </c>
      <c r="O1159" s="5" t="inlineStr">
        <is>
          <t>YX-CASE-03</t>
        </is>
      </c>
      <c r="P1159" t="inlineStr">
        <is>
          <t>M08</t>
        </is>
      </c>
      <c r="Q1159" t="inlineStr">
        <is>
          <t>US-D-083</t>
        </is>
      </c>
      <c r="R1159" s="5" t="inlineStr"/>
    </row>
    <row r="1160">
      <c r="A1160" t="inlineStr">
        <is>
          <t>US-D-110</t>
        </is>
      </c>
      <c r="B1160" t="n">
        <v>1282</v>
      </c>
      <c r="C1160" t="inlineStr">
        <is>
          <t>Story</t>
        </is>
      </c>
      <c r="D1160" s="5" t="inlineStr">
        <is>
          <t xml:space="preserve">        Anonymous reporter checks status with a case access code</t>
        </is>
      </c>
      <c r="E1160" t="inlineStr">
        <is>
          <t>Cases and policies: POSH, accidents, grievance, disciplinary, whistleblower</t>
        </is>
      </c>
      <c r="F1160" t="inlineStr">
        <is>
          <t>Whistleblower reports</t>
        </is>
      </c>
      <c r="G1160" t="inlineStr">
        <is>
          <t>New</t>
        </is>
      </c>
      <c r="I1160">
        <f>IF(H1160&lt;&gt;"",H1160,G1160)</f>
        <v/>
      </c>
      <c r="J1160" t="inlineStr">
        <is>
          <t>Wave 5 · Cases &amp; policies</t>
        </is>
      </c>
      <c r="K1160" t="n">
        <v>5</v>
      </c>
      <c r="L1160" t="n">
        <v>1</v>
      </c>
      <c r="M1160" s="5" t="inlineStr">
        <is>
          <t>As an anonymous reporter, I want a one-time code to check my case and reply without logging in so that I stay anonymous.</t>
        </is>
      </c>
      <c r="N1160" s="5" t="inlineStr">
        <is>
          <t>• Given an anonymous grievance or whistleblower report, when filed, then a random case access code is shown once and stored only as a hash (YX-CASE-11).
• Given the code, when used on the no-login page, then the reporter sees status and can reply; no identity, IP or device is stored (YX-CASE-11).
• Given an optional contact, when given, then it is stored encrypted, visible to nobody, and used only for the content-free alert (YX-CASE-11).
• Given failed code attempts, when they repeat, then they are rate-limited; a lost code can't be recovered and the reporter files a linked follow-up (YX-CASE-11).</t>
        </is>
      </c>
      <c r="O1160" s="5" t="inlineStr">
        <is>
          <t>YX-CASE-11</t>
        </is>
      </c>
      <c r="P1160" t="inlineStr">
        <is>
          <t>M08</t>
        </is>
      </c>
      <c r="Q1160" t="inlineStr">
        <is>
          <t>US-D-109</t>
        </is>
      </c>
      <c r="R1160" s="5" t="inlineStr"/>
    </row>
    <row r="1161">
      <c r="A1161" t="inlineStr">
        <is>
          <t>US-D-111</t>
        </is>
      </c>
      <c r="B1161" t="n">
        <v>1283</v>
      </c>
      <c r="C1161" t="inlineStr">
        <is>
          <t>Story</t>
        </is>
      </c>
      <c r="D1161" s="5" t="inlineStr">
        <is>
          <t xml:space="preserve">        Whistleblower case at an EU entity gets statutory clocks</t>
        </is>
      </c>
      <c r="E1161" t="inlineStr">
        <is>
          <t>Cases and policies: POSH, accidents, grievance, disciplinary, whistleblower</t>
        </is>
      </c>
      <c r="F1161" t="inlineStr">
        <is>
          <t>Whistleblower reports</t>
        </is>
      </c>
      <c r="G1161" t="inlineStr">
        <is>
          <t>New</t>
        </is>
      </c>
      <c r="I1161">
        <f>IF(H1161&lt;&gt;"",H1161,G1161)</f>
        <v/>
      </c>
      <c r="J1161" t="inlineStr">
        <is>
          <t>Wave 5 · Cases &amp; policies</t>
        </is>
      </c>
      <c r="K1161" t="n">
        <v>2</v>
      </c>
      <c r="L1161" t="n">
        <v>3</v>
      </c>
      <c r="M1161" s="5" t="inlineStr">
        <is>
          <t>As an ethics officer at an EU entity, I want acknowledgement and feedback deadlines shown so that we meet the EU Directive.</t>
        </is>
      </c>
      <c r="N1161" s="5" t="inlineStr">
        <is>
          <t>• Given an entity whose country has a P07 whistleblowing parameter set, when a report arrives on 1 Oct, then 'Acknowledge by 8 Oct' shows (YX-CASE-17).
• Given acknowledgement, when sent, then feedback is due within 3 months of it (or of receipt + 7 days if none), with reminders and escalation (YX-CASE-17).
• Given an Indian entity, when a report arrives, then no statutory clock shows and the normal flow applies (YX-CASE-17).</t>
        </is>
      </c>
      <c r="O1161" s="5" t="inlineStr">
        <is>
          <t>YX-CASE-17</t>
        </is>
      </c>
      <c r="P1161" t="inlineStr">
        <is>
          <t>M08, P07</t>
        </is>
      </c>
      <c r="Q1161" t="inlineStr">
        <is>
          <t>US-D-109</t>
        </is>
      </c>
      <c r="R1161" s="5" t="inlineStr"/>
    </row>
    <row r="1162">
      <c r="A1162" s="9" t="inlineStr">
        <is>
          <t>FT-D-024</t>
        </is>
      </c>
      <c r="B1162" s="9" t="n">
        <v>1285</v>
      </c>
      <c r="C1162" s="9" t="inlineStr">
        <is>
          <t>Feature</t>
        </is>
      </c>
      <c r="D1162" s="10" t="inlineStr">
        <is>
          <t xml:space="preserve">    Policies and acknowledgement</t>
        </is>
      </c>
      <c r="E1162" s="9" t="inlineStr">
        <is>
          <t>Cases and policies: POSH, accidents, grievance, disciplinary, whistleblower</t>
        </is>
      </c>
      <c r="F1162" s="9" t="inlineStr">
        <is>
          <t>Policies and acknowledgement</t>
        </is>
      </c>
      <c r="G1162" s="9" t="inlineStr">
        <is>
          <t>New</t>
        </is>
      </c>
      <c r="H1162" s="9" t="n"/>
      <c r="I1162" s="9">
        <f>IF(H1162&lt;&gt;"",H1162,G1162)</f>
        <v/>
      </c>
      <c r="J1162" s="9" t="inlineStr">
        <is>
          <t>Wave 5 · Cases &amp; policies</t>
        </is>
      </c>
      <c r="K1162" s="9" t="n"/>
      <c r="L1162" s="9" t="n"/>
      <c r="M1162" s="10" t="inlineStr"/>
      <c r="N1162" s="10" t="inlineStr"/>
      <c r="O1162" s="10" t="inlineStr"/>
      <c r="P1162" s="9" t="inlineStr">
        <is>
          <t>M08, P05</t>
        </is>
      </c>
      <c r="Q1162" s="9" t="inlineStr"/>
      <c r="R1162" s="10" t="inlineStr"/>
      <c r="S1162" s="9" t="n"/>
    </row>
    <row r="1163">
      <c r="A1163" t="inlineStr">
        <is>
          <t>US-D-112</t>
        </is>
      </c>
      <c r="B1163" t="n">
        <v>1286</v>
      </c>
      <c r="C1163" t="inlineStr">
        <is>
          <t>Story</t>
        </is>
      </c>
      <c r="D1163" s="5" t="inlineStr">
        <is>
          <t xml:space="preserve">        HR publishes a versioned policy to an audience</t>
        </is>
      </c>
      <c r="E1163" t="inlineStr">
        <is>
          <t>Cases and policies: POSH, accidents, grievance, disciplinary, whistleblower</t>
        </is>
      </c>
      <c r="F1163" t="inlineStr">
        <is>
          <t>Policies and acknowledgement</t>
        </is>
      </c>
      <c r="G1163" t="inlineStr">
        <is>
          <t>New</t>
        </is>
      </c>
      <c r="I1163">
        <f>IF(H1163&lt;&gt;"",H1163,G1163)</f>
        <v/>
      </c>
      <c r="J1163" t="inlineStr">
        <is>
          <t>Wave 5 · Cases &amp; policies</t>
        </is>
      </c>
      <c r="K1163" t="n">
        <v>3</v>
      </c>
      <c r="L1163" t="n">
        <v>1</v>
      </c>
      <c r="M1163" s="5" t="inlineStr">
        <is>
          <t>As an HR admin, I want to publish policies with versions and audiences so that each employee sees the right ones.</t>
        </is>
      </c>
      <c r="N1163" s="5" t="inlineStr">
        <is>
          <t>• Given a policy, when HR publishes a version, then it has an effective date, a change summary and an audience (entity / location / department / designation) (YX-POL-01).
• Given a new version with 're-acknowledge', when published, then the audience must acknowledge again and older acknowledgements stay on record (YX-POL-01).
• Given a published policy, when the AI helpdesk answers, then it can use it as a source (M08 Q6).</t>
        </is>
      </c>
      <c r="O1163" s="5" t="inlineStr">
        <is>
          <t>YX-POL-01</t>
        </is>
      </c>
      <c r="P1163" t="inlineStr">
        <is>
          <t>M08, P05</t>
        </is>
      </c>
      <c r="Q1163" t="inlineStr"/>
      <c r="R1163" s="5" t="inlineStr"/>
    </row>
    <row r="1164">
      <c r="A1164" t="inlineStr">
        <is>
          <t>US-D-113</t>
        </is>
      </c>
      <c r="B1164" t="n">
        <v>1287</v>
      </c>
      <c r="C1164" t="inlineStr">
        <is>
          <t>Story</t>
        </is>
      </c>
      <c r="D1164" s="5" t="inlineStr">
        <is>
          <t xml:space="preserve">        Employee reads and acknowledges a policy</t>
        </is>
      </c>
      <c r="E1164" t="inlineStr">
        <is>
          <t>Cases and policies: POSH, accidents, grievance, disciplinary, whistleblower</t>
        </is>
      </c>
      <c r="F1164" t="inlineStr">
        <is>
          <t>Policies and acknowledgement</t>
        </is>
      </c>
      <c r="G1164" t="inlineStr">
        <is>
          <t>New</t>
        </is>
      </c>
      <c r="I1164">
        <f>IF(H1164&lt;&gt;"",H1164,G1164)</f>
        <v/>
      </c>
      <c r="J1164" t="inlineStr">
        <is>
          <t>Wave 5 · Cases &amp; policies</t>
        </is>
      </c>
      <c r="K1164" t="n">
        <v>3</v>
      </c>
      <c r="L1164" t="n">
        <v>1</v>
      </c>
      <c r="M1164" s="5" t="inlineStr">
        <is>
          <t>As an employee, I want to read and acknowledge policies in the app so that I know the rules.</t>
        </is>
      </c>
      <c r="N1164" s="5" t="inlineStr">
        <is>
          <t>• Given a pending policy, when the employee accepts, then version, time and method (click, OTP, quiz pass) are recorded (YX-POL-02).
• Given a critical policy, when accepting, then an OTP is required (YX-POL-02).
• Given a policy with a quiz (M07), when the employee passes, then the score is stored with the acknowledgement (YX-POL-02).
• Given an overdue acknowledgement, when reminders run within quiet hours, then it escalates to the manager (YX-POL-02).</t>
        </is>
      </c>
      <c r="O1164" s="5" t="inlineStr">
        <is>
          <t>YX-POL-02</t>
        </is>
      </c>
      <c r="P1164" t="inlineStr">
        <is>
          <t>M08, P05</t>
        </is>
      </c>
      <c r="Q1164" t="inlineStr">
        <is>
          <t>US-D-112</t>
        </is>
      </c>
      <c r="R1164" s="5" t="inlineStr"/>
    </row>
    <row r="1165">
      <c r="A1165" t="inlineStr">
        <is>
          <t>US-D-114</t>
        </is>
      </c>
      <c r="B1165" t="n">
        <v>1288</v>
      </c>
      <c r="C1165" t="inlineStr">
        <is>
          <t>Story</t>
        </is>
      </c>
      <c r="D1165" s="5" t="inlineStr">
        <is>
          <t xml:space="preserve">        New joiners get policies as an onboarding task</t>
        </is>
      </c>
      <c r="E1165" t="inlineStr">
        <is>
          <t>Cases and policies: POSH, accidents, grievance, disciplinary, whistleblower</t>
        </is>
      </c>
      <c r="F1165" t="inlineStr">
        <is>
          <t>Policies and acknowledgement</t>
        </is>
      </c>
      <c r="G1165" t="inlineStr">
        <is>
          <t>New</t>
        </is>
      </c>
      <c r="I1165">
        <f>IF(H1165&lt;&gt;"",H1165,G1165)</f>
        <v/>
      </c>
      <c r="J1165" t="inlineStr">
        <is>
          <t>Wave 5 · Cases &amp; policies</t>
        </is>
      </c>
      <c r="K1165" t="n">
        <v>2</v>
      </c>
      <c r="L1165" t="n">
        <v>1</v>
      </c>
      <c r="M1165" s="5" t="inlineStr">
        <is>
          <t>As an HR admin, I want joiners to receive their audience's policies in pre-boarding so that they acknowledge them before day 1.</t>
        </is>
      </c>
      <c r="N1165" s="5" t="inlineStr">
        <is>
          <t>• Given a joiner, when the journey starts, then a task lists the policies for their audience (YX-POL-03).
• Given the joiner acknowledges in the pre-boarding portal, when done, then the task completes (YX-POL-03, YX-POL-02).
• Given the joiner has not acknowledged by the due date, when it passes, then HR is reminded (YX-LC-02).</t>
        </is>
      </c>
      <c r="O1165" s="5" t="inlineStr">
        <is>
          <t>YX-POL-03</t>
        </is>
      </c>
      <c r="P1165" t="inlineStr">
        <is>
          <t>M08, P05</t>
        </is>
      </c>
      <c r="Q1165" t="inlineStr">
        <is>
          <t>US-D-113, US-D-037</t>
        </is>
      </c>
      <c r="R1165" s="5" t="inlineStr"/>
    </row>
    <row r="1166">
      <c r="A1166" t="inlineStr">
        <is>
          <t>US-D-115</t>
        </is>
      </c>
      <c r="B1166" t="n">
        <v>1289</v>
      </c>
      <c r="C1166" t="inlineStr">
        <is>
          <t>Story</t>
        </is>
      </c>
      <c r="D1166" s="5" t="inlineStr">
        <is>
          <t xml:space="preserve">        HR sees acknowledgement % per policy</t>
        </is>
      </c>
      <c r="E1166" t="inlineStr">
        <is>
          <t>Cases and policies: POSH, accidents, grievance, disciplinary, whistleblower</t>
        </is>
      </c>
      <c r="F1166" t="inlineStr">
        <is>
          <t>Policies and acknowledgement</t>
        </is>
      </c>
      <c r="G1166" t="inlineStr">
        <is>
          <t>New</t>
        </is>
      </c>
      <c r="I1166">
        <f>IF(H1166&lt;&gt;"",H1166,G1166)</f>
        <v/>
      </c>
      <c r="J1166" t="inlineStr">
        <is>
          <t>Wave 5 · Cases &amp; policies</t>
        </is>
      </c>
      <c r="K1166" t="n">
        <v>2</v>
      </c>
      <c r="L1166" t="n">
        <v>2</v>
      </c>
      <c r="M1166" s="5" t="inlineStr">
        <is>
          <t>As an HR admin, I want a dashboard of acknowledged and pending people per policy so that I can chase gaps.</t>
        </is>
      </c>
      <c r="N1166" s="5" t="inlineStr">
        <is>
          <t>• Given a policy, when HR opens the dashboard, then acknowledged % and pending names show by entity and department (YX-POL-02).
• Given a new version with re-acknowledge for 200 employees, when published, then all 200 move to pending (YX-POL-01).
• Given the employee policy library, when it opens, then pending items show 'pending acknowledgement' chips (M08 §7).</t>
        </is>
      </c>
      <c r="O1166" s="5" t="inlineStr">
        <is>
          <t>YX-POL-02, YX-POL-01</t>
        </is>
      </c>
      <c r="P1166" t="inlineStr">
        <is>
          <t>M08, P05</t>
        </is>
      </c>
      <c r="Q1166" t="inlineStr">
        <is>
          <t>US-D-113</t>
        </is>
      </c>
      <c r="R1166" s="5" t="inlineStr"/>
    </row>
    <row r="1167">
      <c r="A1167" s="7" t="inlineStr">
        <is>
          <t>EP-D-05</t>
        </is>
      </c>
      <c r="B1167" s="7" t="n">
        <v>1080</v>
      </c>
      <c r="C1167" s="7" t="inlineStr">
        <is>
          <t>Epic</t>
        </is>
      </c>
      <c r="D1167" s="8" t="inlineStr">
        <is>
          <t>Contract labour (CLRA / OSH Code) compliance</t>
        </is>
      </c>
      <c r="E1167" s="7" t="inlineStr">
        <is>
          <t>Contract labour (CLRA / OSH Code) compliance</t>
        </is>
      </c>
      <c r="F1167" s="7" t="inlineStr"/>
      <c r="G1167" s="7" t="inlineStr">
        <is>
          <t>New</t>
        </is>
      </c>
      <c r="H1167" s="7" t="n"/>
      <c r="I1167" s="7">
        <f>IF(H1167&lt;&gt;"",H1167,G1167)</f>
        <v/>
      </c>
      <c r="J1167" s="7" t="inlineStr">
        <is>
          <t>Wave 4 · Contract labour</t>
        </is>
      </c>
      <c r="K1167" s="7" t="n"/>
      <c r="L1167" s="7" t="n"/>
      <c r="M1167" s="8" t="inlineStr"/>
      <c r="N1167" s="8" t="inlineStr"/>
      <c r="O1167" s="8" t="inlineStr"/>
      <c r="P1167" s="7" t="inlineStr">
        <is>
          <t>M13</t>
        </is>
      </c>
      <c r="Q1167" s="7" t="inlineStr"/>
      <c r="R1167" s="8" t="inlineStr"/>
      <c r="S1167" s="7" t="n"/>
    </row>
    <row r="1168">
      <c r="A1168" s="9" t="inlineStr">
        <is>
          <t>FT-D-025</t>
        </is>
      </c>
      <c r="B1168" s="9" t="n">
        <v>1080</v>
      </c>
      <c r="C1168" s="9" t="inlineStr">
        <is>
          <t>Feature</t>
        </is>
      </c>
      <c r="D1168" s="10" t="inlineStr">
        <is>
          <t xml:space="preserve">    Tenant as contractor (staffing agency duties)</t>
        </is>
      </c>
      <c r="E1168" s="9" t="inlineStr">
        <is>
          <t>Contract labour (CLRA / OSH Code) compliance</t>
        </is>
      </c>
      <c r="F1168" s="9" t="inlineStr">
        <is>
          <t>Tenant as contractor (staffing agency duties)</t>
        </is>
      </c>
      <c r="G1168" s="9" t="inlineStr">
        <is>
          <t>New</t>
        </is>
      </c>
      <c r="H1168" s="9" t="n"/>
      <c r="I1168" s="9">
        <f>IF(H1168&lt;&gt;"",H1168,G1168)</f>
        <v/>
      </c>
      <c r="J1168" s="9" t="inlineStr">
        <is>
          <t>Wave 4 · Contract labour</t>
        </is>
      </c>
      <c r="K1168" s="9" t="n"/>
      <c r="L1168" s="9" t="n"/>
      <c r="M1168" s="10" t="inlineStr"/>
      <c r="N1168" s="10" t="inlineStr"/>
      <c r="O1168" s="10" t="inlineStr"/>
      <c r="P1168" s="9" t="inlineStr">
        <is>
          <t>M13</t>
        </is>
      </c>
      <c r="Q1168" s="9" t="inlineStr"/>
      <c r="R1168" s="10" t="inlineStr"/>
      <c r="S1168" s="9" t="n"/>
    </row>
    <row r="1169">
      <c r="A1169" t="inlineStr">
        <is>
          <t>US-D-116</t>
        </is>
      </c>
      <c r="B1169" t="n">
        <v>1081</v>
      </c>
      <c r="C1169" t="inlineStr">
        <is>
          <t>Story</t>
        </is>
      </c>
      <c r="D1169" s="5" t="inlineStr">
        <is>
          <t xml:space="preserve">        Staffing company records its own contractor licences per client site</t>
        </is>
      </c>
      <c r="E1169" t="inlineStr">
        <is>
          <t>Contract labour (CLRA / OSH Code) compliance</t>
        </is>
      </c>
      <c r="F1169" t="inlineStr">
        <is>
          <t>Tenant as contractor (staffing agency duties)</t>
        </is>
      </c>
      <c r="G1169" t="inlineStr">
        <is>
          <t>New</t>
        </is>
      </c>
      <c r="I1169">
        <f>IF(H1169&lt;&gt;"",H1169,G1169)</f>
        <v/>
      </c>
      <c r="J1169" t="inlineStr">
        <is>
          <t>Wave 4 · Contract labour</t>
        </is>
      </c>
      <c r="K1169" t="n">
        <v>3</v>
      </c>
      <c r="L1169" t="n">
        <v>2</v>
      </c>
      <c r="M1169" s="5" t="inlineStr">
        <is>
          <t>As an HR admin at a staffing company, I want our contractor licences recorded per client establishment so that we only deploy within the licence.</t>
        </is>
      </c>
      <c r="N1169" s="5" t="inlineStr">
        <is>
          <t>• Given an entity flagged as contractor, when HR adds a client establishment, then the licence covering it (per site, or a scoped OSH Code licence) is linked (YX-CLRA-15).
• Given a licence allowing 50, when HR deploys a 51st guard to that client site, then it is blocked (YX-CLRA-15).
• Given no valid licence covering the site, when HR deploys, then it is blocked with the reason (YX-CLRA-15).</t>
        </is>
      </c>
      <c r="O1169" s="5" t="inlineStr">
        <is>
          <t>YX-CLRA-15</t>
        </is>
      </c>
      <c r="P1169" t="inlineStr">
        <is>
          <t>M13</t>
        </is>
      </c>
      <c r="Q1169" t="inlineStr"/>
      <c r="R1169" s="5" t="inlineStr"/>
    </row>
    <row r="1170">
      <c r="A1170" t="inlineStr">
        <is>
          <t>US-D-117</t>
        </is>
      </c>
      <c r="B1170" t="n">
        <v>1082</v>
      </c>
      <c r="C1170" t="inlineStr">
        <is>
          <t>Story</t>
        </is>
      </c>
      <c r="D1170" s="5" t="inlineStr">
        <is>
          <t xml:space="preserve">        Staffing company sends each client a monthly compliance pack</t>
        </is>
      </c>
      <c r="E1170" t="inlineStr">
        <is>
          <t>Contract labour (CLRA / OSH Code) compliance</t>
        </is>
      </c>
      <c r="F1170" t="inlineStr">
        <is>
          <t>Tenant as contractor (staffing agency duties)</t>
        </is>
      </c>
      <c r="G1170" t="inlineStr">
        <is>
          <t>New</t>
        </is>
      </c>
      <c r="I1170">
        <f>IF(H1170&lt;&gt;"",H1170,G1170)</f>
        <v/>
      </c>
      <c r="J1170" t="inlineStr">
        <is>
          <t>Wave 4 · Contract labour</t>
        </is>
      </c>
      <c r="K1170" t="n">
        <v>5</v>
      </c>
      <c r="L1170" t="n">
        <v>2</v>
      </c>
      <c r="M1170" s="5" t="inlineStr">
        <is>
          <t>As an HR admin at a staffing company, I want a monthly pack per client built from our payroll so that clients get proof on time.</t>
        </is>
      </c>
      <c r="N1170" s="5" t="inlineStr">
        <is>
          <t>• Given a wage month, when payroll is paid, then a pack per client establishment is built from M02 / M03 (wage register, muster, PF ECR / TRRN, ESI challan, wage proof, PT / LWF) (YX-CLRA-15).
• Given the client's due date (company setting), when HR uploads to the client portal, then the date, reference and acknowledgement document are recorded (YX-CLRA-15).
• Given an overdue or missing upload, when the due date passes, then HR and the account owner are alerted (YX-CLRA-15).</t>
        </is>
      </c>
      <c r="O1170" s="5" t="inlineStr">
        <is>
          <t>YX-CLRA-15</t>
        </is>
      </c>
      <c r="P1170" t="inlineStr">
        <is>
          <t>M13, M02, M03</t>
        </is>
      </c>
      <c r="Q1170" t="inlineStr">
        <is>
          <t>US-D-116</t>
        </is>
      </c>
      <c r="R1170" s="5" t="inlineStr"/>
    </row>
    <row r="1171">
      <c r="A1171" s="9" t="inlineStr">
        <is>
          <t>FT-D-026</t>
        </is>
      </c>
      <c r="B1171" s="9" t="n">
        <v>1390</v>
      </c>
      <c r="C1171" s="9" t="inlineStr">
        <is>
          <t>Feature</t>
        </is>
      </c>
      <c r="D1171" s="10" t="inlineStr">
        <is>
          <t xml:space="preserve">    Establishments, contractors and licences</t>
        </is>
      </c>
      <c r="E1171" s="9" t="inlineStr">
        <is>
          <t>Contract labour (CLRA / OSH Code) compliance</t>
        </is>
      </c>
      <c r="F1171" s="9" t="inlineStr">
        <is>
          <t>Establishments, contractors and licences</t>
        </is>
      </c>
      <c r="G1171" s="9" t="inlineStr">
        <is>
          <t>New</t>
        </is>
      </c>
      <c r="H1171" s="9" t="n"/>
      <c r="I1171" s="9">
        <f>IF(H1171&lt;&gt;"",H1171,G1171)</f>
        <v/>
      </c>
      <c r="J1171" s="9" t="inlineStr">
        <is>
          <t>Wave 5 · Contract labour</t>
        </is>
      </c>
      <c r="K1171" s="9" t="n"/>
      <c r="L1171" s="9" t="n"/>
      <c r="M1171" s="10" t="inlineStr"/>
      <c r="N1171" s="10" t="inlineStr"/>
      <c r="O1171" s="10" t="inlineStr"/>
      <c r="P1171" s="9" t="inlineStr">
        <is>
          <t>M13, P07</t>
        </is>
      </c>
      <c r="Q1171" s="9" t="inlineStr"/>
      <c r="R1171" s="10" t="inlineStr"/>
      <c r="S1171" s="9" t="n"/>
    </row>
    <row r="1172">
      <c r="A1172" t="inlineStr">
        <is>
          <t>US-D-118</t>
        </is>
      </c>
      <c r="B1172" t="n">
        <v>1391</v>
      </c>
      <c r="C1172" t="inlineStr">
        <is>
          <t>Story</t>
        </is>
      </c>
      <c r="D1172" s="5" t="inlineStr">
        <is>
          <t xml:space="preserve">        Compliance owner records the registration per establishment</t>
        </is>
      </c>
      <c r="E1172" t="inlineStr">
        <is>
          <t>Contract labour (CLRA / OSH Code) compliance</t>
        </is>
      </c>
      <c r="F1172" t="inlineStr">
        <is>
          <t>Establishments, contractors and licences</t>
        </is>
      </c>
      <c r="G1172" t="inlineStr">
        <is>
          <t>New</t>
        </is>
      </c>
      <c r="I1172">
        <f>IF(H1172&lt;&gt;"",H1172,G1172)</f>
        <v/>
      </c>
      <c r="J1172" t="inlineStr">
        <is>
          <t>Wave 5 · Contract labour</t>
        </is>
      </c>
      <c r="K1172" t="n">
        <v>5</v>
      </c>
      <c r="L1172" t="n">
        <v>1</v>
      </c>
      <c r="M1172" s="5" t="inlineStr">
        <is>
          <t>As a compliance owner, I want each site's registration recorded and checked against the contract-worker count so that we never cross a threshold unregistered.</t>
        </is>
      </c>
      <c r="N1172" s="5" t="inlineStr">
        <is>
          <t>• Given an establishment, when the owner records the registration (OSH Code single registration or CLRA), then RC number, authority, maximum workers, nature of work and validity are saved (YX-CLRA-13).
• Given active deployments cross the dated `IN.CLRA` threshold, when no valid registration exists, then a liability alert goes to the compliance owner (YX-CLRA-01).
• Given dates before 21 Nov 2025, or a state without OSH rules, when the check runs, then CLRA 1970 values apply; otherwise OSH Code values (YX-CLRA-13).
• Given registration expiry, when the lead times (starter 60 / 30 / 7 days) come, then alerts fire (YX-CLRA-02).</t>
        </is>
      </c>
      <c r="O1172" s="5" t="inlineStr">
        <is>
          <t>YX-CLRA-01, YX-CLRA-13, YX-CLRA-02</t>
        </is>
      </c>
      <c r="P1172" t="inlineStr">
        <is>
          <t>M13, P07</t>
        </is>
      </c>
      <c r="Q1172" t="inlineStr"/>
      <c r="R1172" s="5" t="inlineStr"/>
    </row>
    <row r="1173">
      <c r="A1173" t="inlineStr">
        <is>
          <t>US-D-119</t>
        </is>
      </c>
      <c r="B1173" t="n">
        <v>1392</v>
      </c>
      <c r="C1173" t="inlineStr">
        <is>
          <t>Story</t>
        </is>
      </c>
      <c r="D1173" s="5" t="inlineStr">
        <is>
          <t xml:space="preserve">        HR adds a contractor with licences and work orders</t>
        </is>
      </c>
      <c r="E1173" t="inlineStr">
        <is>
          <t>Contract labour (CLRA / OSH Code) compliance</t>
        </is>
      </c>
      <c r="F1173" t="inlineStr">
        <is>
          <t>Establishments, contractors and licences</t>
        </is>
      </c>
      <c r="G1173" t="inlineStr">
        <is>
          <t>New</t>
        </is>
      </c>
      <c r="I1173">
        <f>IF(H1173&lt;&gt;"",H1173,G1173)</f>
        <v/>
      </c>
      <c r="J1173" t="inlineStr">
        <is>
          <t>Wave 5 · Contract labour</t>
        </is>
      </c>
      <c r="K1173" t="n">
        <v>3</v>
      </c>
      <c r="L1173" t="n">
        <v>1</v>
      </c>
      <c r="M1173" s="5" t="inlineStr">
        <is>
          <t>As an HR admin, I want to add a contractor with its licences and work orders so that only licensed contractors supply workers.</t>
        </is>
      </c>
      <c r="N1173" s="5" t="inlineStr">
        <is>
          <t>• Given a new contractor, when HR adds it, then PAN and bank are verified (P10) and an M03 vendor payee is created (M13 §6).
• Given a licence, when added, then its scope (establishment / state / multi-state), maximum workers and validity are saved (YX-CLRA-13).
• Given licence expiry, when the lead times come, then alerts fire (YX-CLRA-02).
• Given a work order, when added, then scope, site, headcount, rate and period are saved (M13 §3).</t>
        </is>
      </c>
      <c r="O1173" s="5" t="inlineStr">
        <is>
          <t>YX-CLRA-02, YX-CLRA-13</t>
        </is>
      </c>
      <c r="P1173" t="inlineStr">
        <is>
          <t>M13, P07</t>
        </is>
      </c>
      <c r="Q1173" t="inlineStr">
        <is>
          <t>US-D-118</t>
        </is>
      </c>
      <c r="R1173" s="5" t="inlineStr"/>
    </row>
    <row r="1174">
      <c r="A1174" t="inlineStr">
        <is>
          <t>US-D-120</t>
        </is>
      </c>
      <c r="B1174" t="n">
        <v>1393</v>
      </c>
      <c r="C1174" t="inlineStr">
        <is>
          <t>Story</t>
        </is>
      </c>
      <c r="D1174" s="5" t="inlineStr">
        <is>
          <t xml:space="preserve">        Contractor representative uses the contractor portal</t>
        </is>
      </c>
      <c r="E1174" t="inlineStr">
        <is>
          <t>Contract labour (CLRA / OSH Code) compliance</t>
        </is>
      </c>
      <c r="F1174" t="inlineStr">
        <is>
          <t>Establishments, contractors and licences</t>
        </is>
      </c>
      <c r="G1174" t="inlineStr">
        <is>
          <t>New</t>
        </is>
      </c>
      <c r="I1174">
        <f>IF(H1174&lt;&gt;"",H1174,G1174)</f>
        <v/>
      </c>
      <c r="J1174" t="inlineStr">
        <is>
          <t>Wave 5 · Contract labour</t>
        </is>
      </c>
      <c r="K1174" t="n">
        <v>3</v>
      </c>
      <c r="L1174" t="n">
        <v>1</v>
      </c>
      <c r="M1174" s="5" t="inlineStr">
        <is>
          <t>As a contractor's representative, I want my own login to manage my workers, proofs and bills so that I don't need to email HR.</t>
        </is>
      </c>
      <c r="N1174" s="5" t="inlineStr">
        <is>
          <t>• Given HR invites the representative, when they sign in by OTP, then they see only their own establishments, workers, packs and bills (YX-CLRA-11).
• Given the contractor login, when billing runs, then it is not a billed seat (YX-CLRA-11, YX-CLRA-12).
• Given the contractor is deactivated, when the representative tries to sign in, then the login has expired (YX-CLRA-11).</t>
        </is>
      </c>
      <c r="O1174" s="5" t="inlineStr">
        <is>
          <t>YX-CLRA-11</t>
        </is>
      </c>
      <c r="P1174" t="inlineStr">
        <is>
          <t>M13, P07</t>
        </is>
      </c>
      <c r="Q1174" t="inlineStr">
        <is>
          <t>US-D-119</t>
        </is>
      </c>
      <c r="R1174" s="5" t="inlineStr"/>
    </row>
    <row r="1175">
      <c r="A1175" s="9" t="inlineStr">
        <is>
          <t>FT-D-027</t>
        </is>
      </c>
      <c r="B1175" s="9" t="n">
        <v>1395</v>
      </c>
      <c r="C1175" s="9" t="inlineStr">
        <is>
          <t>Feature</t>
        </is>
      </c>
      <c r="D1175" s="10" t="inlineStr">
        <is>
          <t xml:space="preserve">    Contract workers and site attendance</t>
        </is>
      </c>
      <c r="E1175" s="9" t="inlineStr">
        <is>
          <t>Contract labour (CLRA / OSH Code) compliance</t>
        </is>
      </c>
      <c r="F1175" s="9" t="inlineStr">
        <is>
          <t>Contract workers and site attendance</t>
        </is>
      </c>
      <c r="G1175" s="9" t="inlineStr">
        <is>
          <t>New</t>
        </is>
      </c>
      <c r="H1175" s="9" t="n"/>
      <c r="I1175" s="9">
        <f>IF(H1175&lt;&gt;"",H1175,G1175)</f>
        <v/>
      </c>
      <c r="J1175" s="9" t="inlineStr">
        <is>
          <t>Wave 5 · Contract labour</t>
        </is>
      </c>
      <c r="K1175" s="9" t="n"/>
      <c r="L1175" s="9" t="n"/>
      <c r="M1175" s="10" t="inlineStr"/>
      <c r="N1175" s="10" t="inlineStr"/>
      <c r="O1175" s="10" t="inlineStr"/>
      <c r="P1175" s="9" t="inlineStr">
        <is>
          <t>M13, M02, P01</t>
        </is>
      </c>
      <c r="Q1175" s="9" t="inlineStr"/>
      <c r="R1175" s="10" t="inlineStr"/>
      <c r="S1175" s="9" t="n"/>
    </row>
    <row r="1176">
      <c r="A1176" t="inlineStr">
        <is>
          <t>US-D-121</t>
        </is>
      </c>
      <c r="B1176" t="n">
        <v>1396</v>
      </c>
      <c r="C1176" t="inlineStr">
        <is>
          <t>Story</t>
        </is>
      </c>
      <c r="D1176" s="5" t="inlineStr">
        <is>
          <t xml:space="preserve">        Contractor submits workers linked to a person record</t>
        </is>
      </c>
      <c r="E1176" t="inlineStr">
        <is>
          <t>Contract labour (CLRA / OSH Code) compliance</t>
        </is>
      </c>
      <c r="F1176" t="inlineStr">
        <is>
          <t>Contract workers and site attendance</t>
        </is>
      </c>
      <c r="G1176" t="inlineStr">
        <is>
          <t>New</t>
        </is>
      </c>
      <c r="I1176">
        <f>IF(H1176&lt;&gt;"",H1176,G1176)</f>
        <v/>
      </c>
      <c r="J1176" t="inlineStr">
        <is>
          <t>Wave 5 · Contract labour</t>
        </is>
      </c>
      <c r="K1176" t="n">
        <v>3</v>
      </c>
      <c r="L1176" t="n">
        <v>1</v>
      </c>
      <c r="M1176" s="5" t="inlineStr">
        <is>
          <t>As a contractor's representative, I want to submit my workers so that they can be deployed.</t>
        </is>
      </c>
      <c r="N1176" s="5" t="inlineStr">
        <is>
          <t>• Given a worker, when submitted, then name, photo, masked ID, DOB, gender, skill category and wage rate are recorded (YX-CLRA-03).
• Given a person already known (earlier deployment, past employee, applicant), when matched, then the worker links to that P01 person, not a duplicate (YX-CLRA-14).
• Given the same person with another contractor, when submitted, then the duplicate check flags it (YX-CLRA-14).
• Given a list import, when HR uploads it, then a dry-run validation shows errors first (M13 §8).</t>
        </is>
      </c>
      <c r="O1176" s="5" t="inlineStr">
        <is>
          <t>YX-CLRA-03, YX-CLRA-14</t>
        </is>
      </c>
      <c r="P1176" t="inlineStr">
        <is>
          <t>M13, M02, P01</t>
        </is>
      </c>
      <c r="Q1176" t="inlineStr">
        <is>
          <t>US-D-120</t>
        </is>
      </c>
      <c r="R1176" s="5" t="inlineStr"/>
    </row>
    <row r="1177">
      <c r="A1177" t="inlineStr">
        <is>
          <t>US-D-122</t>
        </is>
      </c>
      <c r="B1177" t="n">
        <v>1397</v>
      </c>
      <c r="C1177" t="inlineStr">
        <is>
          <t>Story</t>
        </is>
      </c>
      <c r="D1177" s="5" t="inlineStr">
        <is>
          <t xml:space="preserve">        Site admin approves a deployment within licence limits</t>
        </is>
      </c>
      <c r="E1177" t="inlineStr">
        <is>
          <t>Contract labour (CLRA / OSH Code) compliance</t>
        </is>
      </c>
      <c r="F1177" t="inlineStr">
        <is>
          <t>Contract workers and site attendance</t>
        </is>
      </c>
      <c r="G1177" t="inlineStr">
        <is>
          <t>New</t>
        </is>
      </c>
      <c r="I1177">
        <f>IF(H1177&lt;&gt;"",H1177,G1177)</f>
        <v/>
      </c>
      <c r="J1177" t="inlineStr">
        <is>
          <t>Wave 5 · Contract labour</t>
        </is>
      </c>
      <c r="K1177" t="n">
        <v>5</v>
      </c>
      <c r="L1177" t="n">
        <v>1</v>
      </c>
      <c r="M1177" s="5" t="inlineStr">
        <is>
          <t>As a site admin, I want deployments checked for age, licence and limits before I approve so that we never break the law.</t>
        </is>
      </c>
      <c r="N1177" s="5" t="inlineStr">
        <is>
          <t>• Given a worker aged 17, when deployment is requested, then it is blocked (YX-CLRA-03).
• Given a contractor licence allowing 30 at the site, when a 31st worker is deployed, then it is blocked with the limit shown (YX-CLRA-02).
• Given a licence scoped to Tamil Nadu and Karnataka, when deploying at a Kochi site, then it is blocked with 'licence scope does not cover Kerala' (YX-CLRA-13).
• Given approval, when it is given, then a gate pass with QR is issued and the kiosk / biometric enrolment is mapped to the person (YX-CLRA-14).</t>
        </is>
      </c>
      <c r="O1177" s="5" t="inlineStr">
        <is>
          <t>YX-CLRA-02, YX-CLRA-03, YX-CLRA-13, YX-CLRA-14</t>
        </is>
      </c>
      <c r="P1177" t="inlineStr">
        <is>
          <t>M13, M02, P01</t>
        </is>
      </c>
      <c r="Q1177" t="inlineStr">
        <is>
          <t>US-D-121</t>
        </is>
      </c>
      <c r="R1177" s="5" t="inlineStr"/>
    </row>
    <row r="1178">
      <c r="A1178" t="inlineStr">
        <is>
          <t>US-D-123</t>
        </is>
      </c>
      <c r="B1178" t="n">
        <v>1398</v>
      </c>
      <c r="C1178" t="inlineStr">
        <is>
          <t>Story</t>
        </is>
      </c>
      <c r="D1178" s="5" t="inlineStr">
        <is>
          <t xml:space="preserve">        Licence and RC limits are re-checked every day</t>
        </is>
      </c>
      <c r="E1178" t="inlineStr">
        <is>
          <t>Contract labour (CLRA / OSH Code) compliance</t>
        </is>
      </c>
      <c r="F1178" t="inlineStr">
        <is>
          <t>Contract workers and site attendance</t>
        </is>
      </c>
      <c r="G1178" t="inlineStr">
        <is>
          <t>New</t>
        </is>
      </c>
      <c r="I1178">
        <f>IF(H1178&lt;&gt;"",H1178,G1178)</f>
        <v/>
      </c>
      <c r="J1178" t="inlineStr">
        <is>
          <t>Wave 5 · Contract labour</t>
        </is>
      </c>
      <c r="K1178" t="n">
        <v>2</v>
      </c>
      <c r="L1178" t="n">
        <v>1</v>
      </c>
      <c r="M1178" s="5" t="inlineStr">
        <is>
          <t>As a compliance owner, I want licence and RC limits checked every day so that expired licences or over-limit sites are caught.</t>
        </is>
      </c>
      <c r="N1178" s="5" t="inlineStr">
        <is>
          <t>• Given active deployments, when the daily check runs, then any contractor over its licence or RC maximum raises an alert (YX-CLRA-02).
• Given a licence expires, when the daily check runs, then its deployments are flagged (YX-CLRA-02).
• Given an alert, when resolved, then a note is required (YX-CLRA-07).</t>
        </is>
      </c>
      <c r="O1178" s="5" t="inlineStr">
        <is>
          <t>YX-CLRA-02</t>
        </is>
      </c>
      <c r="P1178" t="inlineStr">
        <is>
          <t>M13, M02, P01</t>
        </is>
      </c>
      <c r="Q1178" t="inlineStr">
        <is>
          <t>US-D-122</t>
        </is>
      </c>
      <c r="R1178" s="5" t="inlineStr"/>
    </row>
    <row r="1179">
      <c r="A1179" t="inlineStr">
        <is>
          <t>US-D-124</t>
        </is>
      </c>
      <c r="B1179" t="n">
        <v>1399</v>
      </c>
      <c r="C1179" t="inlineStr">
        <is>
          <t>Story</t>
        </is>
      </c>
      <c r="D1179" s="5" t="inlineStr">
        <is>
          <t xml:space="preserve">        Contract workers check in at the site kiosk with a gate pass</t>
        </is>
      </c>
      <c r="E1179" t="inlineStr">
        <is>
          <t>Contract labour (CLRA / OSH Code) compliance</t>
        </is>
      </c>
      <c r="F1179" t="inlineStr">
        <is>
          <t>Contract workers and site attendance</t>
        </is>
      </c>
      <c r="G1179" t="inlineStr">
        <is>
          <t>New</t>
        </is>
      </c>
      <c r="I1179">
        <f>IF(H1179&lt;&gt;"",H1179,G1179)</f>
        <v/>
      </c>
      <c r="J1179" t="inlineStr">
        <is>
          <t>Wave 5 · Contract labour</t>
        </is>
      </c>
      <c r="K1179" t="n">
        <v>3</v>
      </c>
      <c r="L1179" t="n">
        <v>1</v>
      </c>
      <c r="M1179" s="5" t="inlineStr">
        <is>
          <t>As a contract worker, I want to check in with my gate pass so that my days on site are recorded.</t>
        </is>
      </c>
      <c r="N1179" s="5" t="inlineStr">
        <is>
          <t>• Given a valid gate pass, when the worker checks in at the M02 kiosk or a mapped biometric device, then the punch carries `person_type = contract_worker` (YX-CLRA-04).
• Given contract-worker punches, when payroll and exceptions run, then they create no employee exceptions or payroll inputs (YX-CLRA-04).
• Given a month's punches, when the pack is checked, then days on site come from them (YX-CLRA-04).
• Given the worker later converts to employee, when they punch on the same device, then punches from the conversion date carry `person_type = employee` (YX-CLRA-14).</t>
        </is>
      </c>
      <c r="O1179" s="5" t="inlineStr">
        <is>
          <t>YX-CLRA-04, YX-CLRA-14</t>
        </is>
      </c>
      <c r="P1179" t="inlineStr">
        <is>
          <t>M13, M02, P10</t>
        </is>
      </c>
      <c r="Q1179" t="inlineStr">
        <is>
          <t>US-D-122</t>
        </is>
      </c>
      <c r="R1179" s="5" t="inlineStr"/>
    </row>
    <row r="1180">
      <c r="A1180" t="inlineStr">
        <is>
          <t>US-D-125</t>
        </is>
      </c>
      <c r="B1180" t="n">
        <v>1400</v>
      </c>
      <c r="C1180" t="inlineStr">
        <is>
          <t>Story</t>
        </is>
      </c>
      <c r="D1180" s="5" t="inlineStr">
        <is>
          <t xml:space="preserve">        Site admin watches the on-site board</t>
        </is>
      </c>
      <c r="E1180" t="inlineStr">
        <is>
          <t>Contract labour (CLRA / OSH Code) compliance</t>
        </is>
      </c>
      <c r="F1180" t="inlineStr">
        <is>
          <t>Contract workers and site attendance</t>
        </is>
      </c>
      <c r="G1180" t="inlineStr">
        <is>
          <t>New</t>
        </is>
      </c>
      <c r="I1180">
        <f>IF(H1180&lt;&gt;"",H1180,G1180)</f>
        <v/>
      </c>
      <c r="J1180" t="inlineStr">
        <is>
          <t>Wave 5 · Contract labour</t>
        </is>
      </c>
      <c r="K1180" t="n">
        <v>2</v>
      </c>
      <c r="L1180" t="n">
        <v>2</v>
      </c>
      <c r="M1180" s="5" t="inlineStr">
        <is>
          <t>As a site admin, I want to see on-site workers per contractor against the work-order headcount so that I spot shortfalls.</t>
        </is>
      </c>
      <c r="N1180" s="5" t="inlineStr">
        <is>
          <t>• Given today's punches, when the board opens, then on-site count per contractor vs headcount shows (M13 §7).
• Given a gate pass scan, when done at the board, then the worker's validity is shown (YX-CLRA-04).
• Given a deployment ends, when released, then the gate pass is void, the device mapping removed and the worker kept in the register for the retention period (M13 §6).</t>
        </is>
      </c>
      <c r="O1180" s="5" t="inlineStr">
        <is>
          <t>YX-CLRA-04</t>
        </is>
      </c>
      <c r="P1180" t="inlineStr">
        <is>
          <t>M13, M02, P01</t>
        </is>
      </c>
      <c r="Q1180" t="inlineStr">
        <is>
          <t>US-D-124</t>
        </is>
      </c>
      <c r="R1180" s="5" t="inlineStr"/>
    </row>
    <row r="1181">
      <c r="A1181" t="inlineStr">
        <is>
          <t>US-D-126</t>
        </is>
      </c>
      <c r="B1181" t="n">
        <v>1401</v>
      </c>
      <c r="C1181" t="inlineStr">
        <is>
          <t>Story</t>
        </is>
      </c>
      <c r="D1181" s="5" t="inlineStr">
        <is>
          <t xml:space="preserve">        Contract workers with attendance count as billable units</t>
        </is>
      </c>
      <c r="E1181" t="inlineStr">
        <is>
          <t>Contract labour (CLRA / OSH Code) compliance</t>
        </is>
      </c>
      <c r="F1181" t="inlineStr">
        <is>
          <t>Contract workers and site attendance</t>
        </is>
      </c>
      <c r="G1181" t="inlineStr">
        <is>
          <t>New</t>
        </is>
      </c>
      <c r="I1181">
        <f>IF(H1181&lt;&gt;"",H1181,G1181)</f>
        <v/>
      </c>
      <c r="J1181" t="inlineStr">
        <is>
          <t>Wave 5 · Contract labour</t>
        </is>
      </c>
      <c r="K1181" t="n">
        <v>2</v>
      </c>
      <c r="L1181" t="n">
        <v>1</v>
      </c>
      <c r="M1181" s="5" t="inlineStr">
        <is>
          <t>As the YukthiX billing owner, I want each contract worker with site attendance billed once per person so that pricing is fair.</t>
        </is>
      </c>
      <c r="N1181" s="5" t="inlineStr">
        <is>
          <t>• Given 60 workers with site attendance in November, when the invoice runs, then 60 HRMS units are added to that entity's invoice (YX-CLRA-12).
• Given 5 registered workers absent all month, when billing runs, then they add nothing (YX-CLRA-12).
• Given a person who is also a billable employee that month, when billing runs, then they are counted once (YX-CLRA-12).</t>
        </is>
      </c>
      <c r="O1181" s="5" t="inlineStr">
        <is>
          <t>YX-CLRA-12</t>
        </is>
      </c>
      <c r="P1181" t="inlineStr">
        <is>
          <t>M13, P14</t>
        </is>
      </c>
      <c r="Q1181" t="inlineStr">
        <is>
          <t>US-D-124</t>
        </is>
      </c>
      <c r="R1181" s="5" t="inlineStr"/>
    </row>
    <row r="1182">
      <c r="A1182" s="9" t="inlineStr">
        <is>
          <t>FT-D-028</t>
        </is>
      </c>
      <c r="B1182" s="9" t="n">
        <v>1405</v>
      </c>
      <c r="C1182" s="9" t="inlineStr">
        <is>
          <t>Feature</t>
        </is>
      </c>
      <c r="D1182" s="10" t="inlineStr">
        <is>
          <t xml:space="preserve">    Monthly compliance, alerts and contractor payment</t>
        </is>
      </c>
      <c r="E1182" s="9" t="inlineStr">
        <is>
          <t>Contract labour (CLRA / OSH Code) compliance</t>
        </is>
      </c>
      <c r="F1182" s="9" t="inlineStr">
        <is>
          <t>Monthly compliance, alerts and contractor payment</t>
        </is>
      </c>
      <c r="G1182" s="9" t="inlineStr">
        <is>
          <t>New</t>
        </is>
      </c>
      <c r="H1182" s="9" t="n"/>
      <c r="I1182" s="9">
        <f>IF(H1182&lt;&gt;"",H1182,G1182)</f>
        <v/>
      </c>
      <c r="J1182" s="9" t="inlineStr">
        <is>
          <t>Wave 5 · Contract labour</t>
        </is>
      </c>
      <c r="K1182" s="9" t="n"/>
      <c r="L1182" s="9" t="n"/>
      <c r="M1182" s="10" t="inlineStr"/>
      <c r="N1182" s="10" t="inlineStr"/>
      <c r="O1182" s="10" t="inlineStr"/>
      <c r="P1182" s="9" t="inlineStr">
        <is>
          <t>M13, M03, P07</t>
        </is>
      </c>
      <c r="Q1182" s="9" t="inlineStr"/>
      <c r="R1182" s="10" t="inlineStr"/>
      <c r="S1182" s="9" t="n"/>
    </row>
    <row r="1183">
      <c r="A1183" t="inlineStr">
        <is>
          <t>US-D-127</t>
        </is>
      </c>
      <c r="B1183" t="n">
        <v>1406</v>
      </c>
      <c r="C1183" t="inlineStr">
        <is>
          <t>Story</t>
        </is>
      </c>
      <c r="D1183" s="5" t="inlineStr">
        <is>
          <t xml:space="preserve">        Monthly compliance pack opens for each contractor and site</t>
        </is>
      </c>
      <c r="E1183" t="inlineStr">
        <is>
          <t>Contract labour (CLRA / OSH Code) compliance</t>
        </is>
      </c>
      <c r="F1183" t="inlineStr">
        <is>
          <t>Monthly compliance, alerts and contractor payment</t>
        </is>
      </c>
      <c r="G1183" t="inlineStr">
        <is>
          <t>New</t>
        </is>
      </c>
      <c r="I1183">
        <f>IF(H1183&lt;&gt;"",H1183,G1183)</f>
        <v/>
      </c>
      <c r="J1183" t="inlineStr">
        <is>
          <t>Wave 5 · Contract labour</t>
        </is>
      </c>
      <c r="K1183" t="n">
        <v>3</v>
      </c>
      <c r="L1183" t="n">
        <v>1</v>
      </c>
      <c r="M1183" s="5" t="inlineStr">
        <is>
          <t>As a compliance owner, I want a monthly pack per contractor and site listing the proofs due so that I know what is missing.</t>
        </is>
      </c>
      <c r="N1183" s="5" t="inlineStr">
        <is>
          <t>• Given a wage month, when it starts, then a pack opens per contractor × establishment with the proofs company policy requires (starter: PF ECR + challan, ESI challan, wage register, payment proof) (YX-CLRA-05).
• Given the due date (starter 15th of next month, never later than statutory dates), when proofs are still missing after it, then an overdue alert fires (YX-CLRA-05).
• Given the matrix view, when opened, then contractor × proof type × status shows (M13 §7).</t>
        </is>
      </c>
      <c r="O1183" s="5" t="inlineStr">
        <is>
          <t>YX-CLRA-05</t>
        </is>
      </c>
      <c r="P1183" t="inlineStr">
        <is>
          <t>M13, M03, P07</t>
        </is>
      </c>
      <c r="Q1183" t="inlineStr">
        <is>
          <t>US-D-120</t>
        </is>
      </c>
      <c r="R1183" s="5" t="inlineStr"/>
    </row>
    <row r="1184">
      <c r="A1184" t="inlineStr">
        <is>
          <t>US-D-128</t>
        </is>
      </c>
      <c r="B1184" t="n">
        <v>1407</v>
      </c>
      <c r="C1184" t="inlineStr">
        <is>
          <t>Story</t>
        </is>
      </c>
      <c r="D1184" s="5" t="inlineStr">
        <is>
          <t xml:space="preserve">        Verifier checks proofs with automatic checks</t>
        </is>
      </c>
      <c r="E1184" t="inlineStr">
        <is>
          <t>Contract labour (CLRA / OSH Code) compliance</t>
        </is>
      </c>
      <c r="F1184" t="inlineStr">
        <is>
          <t>Monthly compliance, alerts and contractor payment</t>
        </is>
      </c>
      <c r="G1184" t="inlineStr">
        <is>
          <t>New</t>
        </is>
      </c>
      <c r="I1184">
        <f>IF(H1184&lt;&gt;"",H1184,G1184)</f>
        <v/>
      </c>
      <c r="J1184" t="inlineStr">
        <is>
          <t>Wave 5 · Contract labour</t>
        </is>
      </c>
      <c r="K1184" t="n">
        <v>5</v>
      </c>
      <c r="L1184" t="n">
        <v>1</v>
      </c>
      <c r="M1184" s="5" t="inlineStr">
        <is>
          <t>As a proof verifier, I want automatic checks beside each document so that I catch short challans and low wages.</t>
        </is>
      </c>
      <c r="N1184" s="5" t="inlineStr">
        <is>
          <t>• Given a proof uploaded by someone, when they try to verify it themselves, then it is refused; only another `clra.proof.verify` holder can (YX-CLRA-06).
• Given an ESI challan for 40 workers when 52 had attendance, when checks run, then 'short challan' is flagged (YX-CLRA-06).
• Given a wage below the P07 minimum for the state, zone and skill, when checks run, then it is flagged with the rule version (YX-CLRA-06).
• Given days paid below days on site, when checks run, then a discrepancy is raised for the contractor to answer (YX-CLRA-06).</t>
        </is>
      </c>
      <c r="O1184" s="5" t="inlineStr">
        <is>
          <t>YX-CLRA-06</t>
        </is>
      </c>
      <c r="P1184" t="inlineStr">
        <is>
          <t>M13, M03, P07</t>
        </is>
      </c>
      <c r="Q1184" t="inlineStr">
        <is>
          <t>US-D-127, US-D-124</t>
        </is>
      </c>
      <c r="R1184" s="5" t="inlineStr"/>
    </row>
    <row r="1185">
      <c r="A1185" t="inlineStr">
        <is>
          <t>US-D-129</t>
        </is>
      </c>
      <c r="B1185" t="n">
        <v>1408</v>
      </c>
      <c r="C1185" t="inlineStr">
        <is>
          <t>Story</t>
        </is>
      </c>
      <c r="D1185" s="5" t="inlineStr">
        <is>
          <t xml:space="preserve">        Compliance owner works liability alerts</t>
        </is>
      </c>
      <c r="E1185" t="inlineStr">
        <is>
          <t>Contract labour (CLRA / OSH Code) compliance</t>
        </is>
      </c>
      <c r="F1185" t="inlineStr">
        <is>
          <t>Monthly compliance, alerts and contractor payment</t>
        </is>
      </c>
      <c r="G1185" t="inlineStr">
        <is>
          <t>New</t>
        </is>
      </c>
      <c r="I1185">
        <f>IF(H1185&lt;&gt;"",H1185,G1185)</f>
        <v/>
      </c>
      <c r="J1185" t="inlineStr">
        <is>
          <t>Wave 5 · Contract labour</t>
        </is>
      </c>
      <c r="K1185" t="n">
        <v>3</v>
      </c>
      <c r="L1185" t="n">
        <v>1</v>
      </c>
      <c r="M1185" s="5" t="inlineStr">
        <is>
          <t>As a compliance owner, I want alerts when we may become liable for a contractor's unpaid dues so that I act early.</t>
        </is>
      </c>
      <c r="N1185" s="5" t="inlineStr">
        <is>
          <t>• Given unpaid or below-minimum wages, short challans, an expired licence / RC, an over-limit deployment or an underage worker, when detected, then an alert goes to the compliance owner and site HR (YX-CLRA-07).
• Given an alert, when shown, then the estimated potential liability is included (YX-CLRA-07).
• Given an alert, when resolved, then a note is required and audited (YX-CLRA-07).</t>
        </is>
      </c>
      <c r="O1185" s="5" t="inlineStr">
        <is>
          <t>YX-CLRA-07</t>
        </is>
      </c>
      <c r="P1185" t="inlineStr">
        <is>
          <t>M13, M03, P07</t>
        </is>
      </c>
      <c r="Q1185" t="inlineStr">
        <is>
          <t>US-D-128</t>
        </is>
      </c>
      <c r="R1185" s="5" t="inlineStr"/>
    </row>
    <row r="1186">
      <c r="A1186" t="inlineStr">
        <is>
          <t>US-D-130</t>
        </is>
      </c>
      <c r="B1186" t="n">
        <v>1409</v>
      </c>
      <c r="C1186" t="inlineStr">
        <is>
          <t>Story</t>
        </is>
      </c>
      <c r="D1186" s="5" t="inlineStr">
        <is>
          <t xml:space="preserve">        Contractor bill is held while the pack has open issues</t>
        </is>
      </c>
      <c r="E1186" t="inlineStr">
        <is>
          <t>Contract labour (CLRA / OSH Code) compliance</t>
        </is>
      </c>
      <c r="F1186" t="inlineStr">
        <is>
          <t>Monthly compliance, alerts and contractor payment</t>
        </is>
      </c>
      <c r="G1186" t="inlineStr">
        <is>
          <t>New</t>
        </is>
      </c>
      <c r="I1186">
        <f>IF(H1186&lt;&gt;"",H1186,G1186)</f>
        <v/>
      </c>
      <c r="J1186" t="inlineStr">
        <is>
          <t>Wave 5 · Contract labour</t>
        </is>
      </c>
      <c r="K1186" t="n">
        <v>3</v>
      </c>
      <c r="L1186" t="n">
        <v>1</v>
      </c>
      <c r="M1186" s="5" t="inlineStr">
        <is>
          <t>As a finance user, I want contractor bills held while compliance items are overdue so that we don't pay a contractor who hasn't paid workers.</t>
        </is>
      </c>
      <c r="N1186" s="5" t="inlineStr">
        <is>
          <t>• Given the starter hold policy and an overdue October pack, when the October bill is approved, then M03 marks it held (YX-CLRA-08).
• Given the compliance owner overrides with a reason, when saved, then the bill is released and the override audited (YX-CLRA-08).
• Given the principal pays wages directly, when recorded, then the amount is recovered from the contractor's next bills (YX-CLRA-08).</t>
        </is>
      </c>
      <c r="O1186" s="5" t="inlineStr">
        <is>
          <t>YX-CLRA-08</t>
        </is>
      </c>
      <c r="P1186" t="inlineStr">
        <is>
          <t>M13, M03</t>
        </is>
      </c>
      <c r="Q1186" t="inlineStr">
        <is>
          <t>US-D-129</t>
        </is>
      </c>
      <c r="R1186" s="5" t="inlineStr"/>
    </row>
    <row r="1187">
      <c r="A1187" t="inlineStr">
        <is>
          <t>US-D-131</t>
        </is>
      </c>
      <c r="B1187" t="n">
        <v>1410</v>
      </c>
      <c r="C1187" t="inlineStr">
        <is>
          <t>Story</t>
        </is>
      </c>
      <c r="D1187" s="5" t="inlineStr">
        <is>
          <t xml:space="preserve">        Contractor bill is paid as a vendor invoice with TDS</t>
        </is>
      </c>
      <c r="E1187" t="inlineStr">
        <is>
          <t>Contract labour (CLRA / OSH Code) compliance</t>
        </is>
      </c>
      <c r="F1187" t="inlineStr">
        <is>
          <t>Monthly compliance, alerts and contractor payment</t>
        </is>
      </c>
      <c r="G1187" t="inlineStr">
        <is>
          <t>New</t>
        </is>
      </c>
      <c r="I1187">
        <f>IF(H1187&lt;&gt;"",H1187,G1187)</f>
        <v/>
      </c>
      <c r="J1187" t="inlineStr">
        <is>
          <t>Wave 5 · Contract labour</t>
        </is>
      </c>
      <c r="K1187" t="n">
        <v>3</v>
      </c>
      <c r="L1187" t="n">
        <v>1</v>
      </c>
      <c r="M1187" s="5" t="inlineStr">
        <is>
          <t>As a finance user, I want contractor bills processed as vendor invoices with TDS 194C so that payments and tax are right.</t>
        </is>
      </c>
      <c r="N1187" s="5" t="inlineStr">
        <is>
          <t>• Given a contractor bill, when uploaded, then it links to its work order and the month's pack (YX-CLRA-09).
• Given approval, when paid, then it goes through the M03 consultant / vendor invoice path with TDS s.194C and GST captured (YX-CLRA-09).
• Given the contractor portal, when the representative opens bills, then payment status shows (YX-CLRA-11).</t>
        </is>
      </c>
      <c r="O1187" s="5" t="inlineStr">
        <is>
          <t>YX-CLRA-09</t>
        </is>
      </c>
      <c r="P1187" t="inlineStr">
        <is>
          <t>M13, M03</t>
        </is>
      </c>
      <c r="Q1187" t="inlineStr">
        <is>
          <t>US-D-130</t>
        </is>
      </c>
      <c r="R1187" s="5" t="inlineStr"/>
    </row>
    <row r="1188">
      <c r="A1188" t="inlineStr">
        <is>
          <t>US-D-132</t>
        </is>
      </c>
      <c r="B1188" t="n">
        <v>1411</v>
      </c>
      <c r="C1188" t="inlineStr">
        <is>
          <t>Story</t>
        </is>
      </c>
      <c r="D1188" s="5" t="inlineStr">
        <is>
          <t xml:space="preserve">        Registers and annual return are generated and signed</t>
        </is>
      </c>
      <c r="E1188" t="inlineStr">
        <is>
          <t>Contract labour (CLRA / OSH Code) compliance</t>
        </is>
      </c>
      <c r="F1188" t="inlineStr">
        <is>
          <t>Monthly compliance, alerts and contractor payment</t>
        </is>
      </c>
      <c r="G1188" t="inlineStr">
        <is>
          <t>New</t>
        </is>
      </c>
      <c r="I1188">
        <f>IF(H1188&lt;&gt;"",H1188,G1188)</f>
        <v/>
      </c>
      <c r="J1188" t="inlineStr">
        <is>
          <t>Wave 5 · Contract labour</t>
        </is>
      </c>
      <c r="K1188" t="n">
        <v>5</v>
      </c>
      <c r="L1188" t="n">
        <v>1</v>
      </c>
      <c r="M1188" s="5" t="inlineStr">
        <is>
          <t>As a compliance owner, I want the principal-employer registers and returns generated in the right format so that inspections are easy.</t>
        </is>
      </c>
      <c r="N1188" s="5" t="inlineStr">
        <is>
          <t>• Given worker records, when the register is generated, then it uses the `IN.REGISTERS` format valid on the period date (YX-CLRA-03, YX-CLRA-10).
• Given the period lock, when it applies, then registers are frozen and DSC-signed (YX-CLRA-10).
• Given the year's data, when the annual return is drafted, then it uses the dated `IN.CLRA` format and is tracked in the compliance calendar (YX-CLRA-10).</t>
        </is>
      </c>
      <c r="O1188" s="5" t="inlineStr">
        <is>
          <t>YX-CLRA-10, YX-CLRA-03</t>
        </is>
      </c>
      <c r="P1188" t="inlineStr">
        <is>
          <t>M13, M03, P07</t>
        </is>
      </c>
      <c r="Q1188" t="inlineStr">
        <is>
          <t>US-D-127</t>
        </is>
      </c>
      <c r="R1188" s="5" t="inlineStr"/>
    </row>
    <row r="1189">
      <c r="A1189" s="7" t="inlineStr">
        <is>
          <t>EP-D-06</t>
        </is>
      </c>
      <c r="B1189" s="7" t="n">
        <v>1100</v>
      </c>
      <c r="C1189" s="7" t="inlineStr">
        <is>
          <t>Epic</t>
        </is>
      </c>
      <c r="D1189" s="8" t="inlineStr">
        <is>
          <t>Expenses, advances and travel</t>
        </is>
      </c>
      <c r="E1189" s="7" t="inlineStr">
        <is>
          <t>Expenses, advances and travel</t>
        </is>
      </c>
      <c r="F1189" s="7" t="inlineStr"/>
      <c r="G1189" s="7" t="inlineStr">
        <is>
          <t>New</t>
        </is>
      </c>
      <c r="H1189" s="7" t="n"/>
      <c r="I1189" s="7">
        <f>IF(H1189&lt;&gt;"",H1189,G1189)</f>
        <v/>
      </c>
      <c r="J1189" s="7" t="inlineStr">
        <is>
          <t>Wave 5 · Expenses</t>
        </is>
      </c>
      <c r="K1189" s="7" t="n"/>
      <c r="L1189" s="7" t="n"/>
      <c r="M1189" s="8" t="inlineStr"/>
      <c r="N1189" s="8" t="inlineStr"/>
      <c r="O1189" s="8" t="inlineStr"/>
      <c r="P1189" s="7" t="inlineStr">
        <is>
          <t>M05</t>
        </is>
      </c>
      <c r="Q1189" s="7" t="inlineStr"/>
      <c r="R1189" s="8" t="inlineStr"/>
      <c r="S1189" s="7" t="n"/>
    </row>
    <row r="1190">
      <c r="A1190" s="9" t="inlineStr">
        <is>
          <t>FT-D-029</t>
        </is>
      </c>
      <c r="B1190" s="9" t="n">
        <v>1100</v>
      </c>
      <c r="C1190" s="9" t="inlineStr">
        <is>
          <t>Feature</t>
        </is>
      </c>
      <c r="D1190" s="10" t="inlineStr">
        <is>
          <t xml:space="preserve">    Expense categories and policies</t>
        </is>
      </c>
      <c r="E1190" s="9" t="inlineStr">
        <is>
          <t>Expenses, advances and travel</t>
        </is>
      </c>
      <c r="F1190" s="9" t="inlineStr">
        <is>
          <t>Expense categories and policies</t>
        </is>
      </c>
      <c r="G1190" s="9" t="inlineStr">
        <is>
          <t>New</t>
        </is>
      </c>
      <c r="H1190" s="9" t="n"/>
      <c r="I1190" s="9">
        <f>IF(H1190&lt;&gt;"",H1190,G1190)</f>
        <v/>
      </c>
      <c r="J1190" s="9" t="inlineStr">
        <is>
          <t>Wave 5 · Expenses</t>
        </is>
      </c>
      <c r="K1190" s="9" t="n"/>
      <c r="L1190" s="9" t="n"/>
      <c r="M1190" s="10" t="inlineStr"/>
      <c r="N1190" s="10" t="inlineStr"/>
      <c r="O1190" s="10" t="inlineStr"/>
      <c r="P1190" s="9" t="inlineStr">
        <is>
          <t>M05</t>
        </is>
      </c>
      <c r="Q1190" s="9" t="inlineStr"/>
      <c r="R1190" s="10" t="inlineStr"/>
      <c r="S1190" s="9" t="n"/>
    </row>
    <row r="1191">
      <c r="A1191" t="inlineStr">
        <is>
          <t>US-D-133</t>
        </is>
      </c>
      <c r="B1191" t="n">
        <v>1101</v>
      </c>
      <c r="C1191" t="inlineStr">
        <is>
          <t>Story</t>
        </is>
      </c>
      <c r="D1191" s="5" t="inlineStr">
        <is>
          <t xml:space="preserve">        Finance sets up expense categories</t>
        </is>
      </c>
      <c r="E1191" t="inlineStr">
        <is>
          <t>Expenses, advances and travel</t>
        </is>
      </c>
      <c r="F1191" t="inlineStr">
        <is>
          <t>Expense categories and policies</t>
        </is>
      </c>
      <c r="G1191" t="inlineStr">
        <is>
          <t>New</t>
        </is>
      </c>
      <c r="I1191">
        <f>IF(H1191&lt;&gt;"",H1191,G1191)</f>
        <v/>
      </c>
      <c r="J1191" t="inlineStr">
        <is>
          <t>Wave 5 · Expenses</t>
        </is>
      </c>
      <c r="K1191" t="n">
        <v>2</v>
      </c>
      <c r="L1191" t="n">
        <v>1</v>
      </c>
      <c r="M1191" s="5" t="inlineStr">
        <is>
          <t>As a finance admin, I want categories with accounting head, taxability, GST flag and receipt rule so that every claim posts correctly.</t>
        </is>
      </c>
      <c r="N1191" s="5" t="inlineStr">
        <is>
          <t>• Given a category, when finance saves it, then it has an accounting head, taxability, GST-eligible flag and receipt threshold (M05 §3).
• Given the default receipt rule, when no change is made, then a receipt is mandatory above ₹500 and below it a self-declaration is used (YX-EXP-03).
• Given a taxable category, when its claims are paid, then they flow to M03 as taxable reimbursement (YX-EXP-10).</t>
        </is>
      </c>
      <c r="O1191" s="5" t="inlineStr">
        <is>
          <t>YX-EXP-03, YX-EXP-10</t>
        </is>
      </c>
      <c r="P1191" t="inlineStr">
        <is>
          <t>M05</t>
        </is>
      </c>
      <c r="Q1191" t="inlineStr"/>
      <c r="R1191" s="5" t="inlineStr"/>
    </row>
    <row r="1192">
      <c r="A1192" t="inlineStr">
        <is>
          <t>US-D-134</t>
        </is>
      </c>
      <c r="B1192" t="n">
        <v>1102</v>
      </c>
      <c r="C1192" t="inlineStr">
        <is>
          <t>Story</t>
        </is>
      </c>
      <c r="D1192" s="5" t="inlineStr">
        <is>
          <t xml:space="preserve">        Finance builds the expense policy matrix</t>
        </is>
      </c>
      <c r="E1192" t="inlineStr">
        <is>
          <t>Expenses, advances and travel</t>
        </is>
      </c>
      <c r="F1192" t="inlineStr">
        <is>
          <t>Expense categories and policies</t>
        </is>
      </c>
      <c r="G1192" t="inlineStr">
        <is>
          <t>New</t>
        </is>
      </c>
      <c r="I1192">
        <f>IF(H1192&lt;&gt;"",H1192,G1192)</f>
        <v/>
      </c>
      <c r="J1192" t="inlineStr">
        <is>
          <t>Wave 5 · Expenses</t>
        </is>
      </c>
      <c r="K1192" t="n">
        <v>3</v>
      </c>
      <c r="L1192" t="n">
        <v>1</v>
      </c>
      <c r="M1192" s="5" t="inlineStr">
        <is>
          <t>As a finance admin, I want limits per category × grade × city tier, per line, day, trip and month, so that policy is clear.</t>
        </is>
      </c>
      <c r="N1192" s="5" t="inlineStr">
        <is>
          <t>• Given the matrix editor, when finance sets limits, then they are saved as a dated policy version (M05 Q1, YX-EXP-01).
• Given shipped templates by grade band and city tier, when a company starts, then they can be used and edited (M05 §8).
• Given a category, when finance sets it to hard block, then over-limit lines are blocked instead of escalated (YX-EXP-02).</t>
        </is>
      </c>
      <c r="O1192" s="5" t="inlineStr">
        <is>
          <t>YX-EXP-01, YX-EXP-02</t>
        </is>
      </c>
      <c r="P1192" t="inlineStr">
        <is>
          <t>M05</t>
        </is>
      </c>
      <c r="Q1192" t="inlineStr">
        <is>
          <t>US-D-133</t>
        </is>
      </c>
      <c r="R1192" s="5" t="inlineStr"/>
    </row>
    <row r="1193">
      <c r="A1193" t="inlineStr">
        <is>
          <t>US-D-135</t>
        </is>
      </c>
      <c r="B1193" t="n">
        <v>1103</v>
      </c>
      <c r="C1193" t="inlineStr">
        <is>
          <t>Story</t>
        </is>
      </c>
      <c r="D1193" s="5" t="inlineStr">
        <is>
          <t xml:space="preserve">        Finance sets mileage and per-diem rates</t>
        </is>
      </c>
      <c r="E1193" t="inlineStr">
        <is>
          <t>Expenses, advances and travel</t>
        </is>
      </c>
      <c r="F1193" t="inlineStr">
        <is>
          <t>Expense categories and policies</t>
        </is>
      </c>
      <c r="G1193" t="inlineStr">
        <is>
          <t>New</t>
        </is>
      </c>
      <c r="I1193">
        <f>IF(H1193&lt;&gt;"",H1193,G1193)</f>
        <v/>
      </c>
      <c r="J1193" t="inlineStr">
        <is>
          <t>Wave 5 · Expenses</t>
        </is>
      </c>
      <c r="K1193" t="n">
        <v>2</v>
      </c>
      <c r="L1193" t="n">
        <v>1</v>
      </c>
      <c r="M1193" s="5" t="inlineStr">
        <is>
          <t>As a finance admin, I want mileage rates per vehicle and per-diem rates per city tier and country so that these lines are computed.</t>
        </is>
      </c>
      <c r="N1193" s="5" t="inlineStr">
        <is>
          <t>• Given dated mileage rates, when an employee claims 42 km by car, then the amount is km × rate and can't be typed (YX-EXP-03).
• Given per-diem rates by tier or country, when an employee claims 3 days, then the amount is days × rate (YX-EXP-03).
• Given a rate change, when a new rate is dated, then old lines keep the rate valid on their expense date (YX-EXP-01).</t>
        </is>
      </c>
      <c r="O1193" s="5" t="inlineStr">
        <is>
          <t>YX-EXP-03</t>
        </is>
      </c>
      <c r="P1193" t="inlineStr">
        <is>
          <t>M05</t>
        </is>
      </c>
      <c r="Q1193" t="inlineStr">
        <is>
          <t>US-D-133</t>
        </is>
      </c>
      <c r="R1193" s="5" t="inlineStr"/>
    </row>
    <row r="1194">
      <c r="A1194" s="9" t="inlineStr">
        <is>
          <t>FT-D-030</t>
        </is>
      </c>
      <c r="B1194" s="9" t="n">
        <v>1105</v>
      </c>
      <c r="C1194" s="9" t="inlineStr">
        <is>
          <t>Feature</t>
        </is>
      </c>
      <c r="D1194" s="10" t="inlineStr">
        <is>
          <t xml:space="preserve">    Claims and approvals</t>
        </is>
      </c>
      <c r="E1194" s="9" t="inlineStr">
        <is>
          <t>Expenses, advances and travel</t>
        </is>
      </c>
      <c r="F1194" s="9" t="inlineStr">
        <is>
          <t>Claims and approvals</t>
        </is>
      </c>
      <c r="G1194" s="9" t="inlineStr">
        <is>
          <t>New</t>
        </is>
      </c>
      <c r="H1194" s="9" t="n"/>
      <c r="I1194" s="9">
        <f>IF(H1194&lt;&gt;"",H1194,G1194)</f>
        <v/>
      </c>
      <c r="J1194" s="9" t="inlineStr">
        <is>
          <t>Wave 5 · Expenses</t>
        </is>
      </c>
      <c r="K1194" s="9" t="n"/>
      <c r="L1194" s="9" t="n"/>
      <c r="M1194" s="10" t="inlineStr"/>
      <c r="N1194" s="10" t="inlineStr"/>
      <c r="O1194" s="10" t="inlineStr"/>
      <c r="P1194" s="9" t="inlineStr">
        <is>
          <t>M05, M04</t>
        </is>
      </c>
      <c r="Q1194" s="9" t="inlineStr"/>
      <c r="R1194" s="10" t="inlineStr"/>
      <c r="S1194" s="9" t="n"/>
    </row>
    <row r="1195">
      <c r="A1195" t="inlineStr">
        <is>
          <t>US-D-136</t>
        </is>
      </c>
      <c r="B1195" t="n">
        <v>1106</v>
      </c>
      <c r="C1195" t="inlineStr">
        <is>
          <t>Story</t>
        </is>
      </c>
      <c r="D1195" s="5" t="inlineStr">
        <is>
          <t xml:space="preserve">        Employee snaps a receipt and OCR fills the line</t>
        </is>
      </c>
      <c r="E1195" t="inlineStr">
        <is>
          <t>Expenses, advances and travel</t>
        </is>
      </c>
      <c r="F1195" t="inlineStr">
        <is>
          <t>Claims and approvals</t>
        </is>
      </c>
      <c r="G1195" t="inlineStr">
        <is>
          <t>New</t>
        </is>
      </c>
      <c r="I1195">
        <f>IF(H1195&lt;&gt;"",H1195,G1195)</f>
        <v/>
      </c>
      <c r="J1195" t="inlineStr">
        <is>
          <t>Wave 5 · Expenses</t>
        </is>
      </c>
      <c r="K1195" t="n">
        <v>3</v>
      </c>
      <c r="L1195" t="n">
        <v>1</v>
      </c>
      <c r="M1195" s="5" t="inlineStr">
        <is>
          <t>As an employee, I want to photograph a receipt and have the line filled for me so that claiming is fast.</t>
        </is>
      </c>
      <c r="N1195" s="5" t="inlineStr">
        <is>
          <t>• Given a receipt photo, when uploaded, then OCR pre-fills merchant, date, amount and GST fields (M05 Q4).
• Given OCR results, when shown, then they are only pre-fill; the employee confirms the category and OCR never approves (M05 Q4).
• Given each line, when saved, then it has exactly one receipt where the receipt rule needs one (YX-EXP-03).
• Given OCR usage, when it runs, then it is metered in AI credits (M05 Q4).</t>
        </is>
      </c>
      <c r="O1195" s="5" t="inlineStr">
        <is>
          <t>YX-EXP-03</t>
        </is>
      </c>
      <c r="P1195" t="inlineStr">
        <is>
          <t>M05, M04</t>
        </is>
      </c>
      <c r="Q1195" t="inlineStr">
        <is>
          <t>US-D-133</t>
        </is>
      </c>
      <c r="R1195" s="5" t="inlineStr"/>
    </row>
    <row r="1196">
      <c r="A1196" t="inlineStr">
        <is>
          <t>US-D-137</t>
        </is>
      </c>
      <c r="B1196" t="n">
        <v>1107</v>
      </c>
      <c r="C1196" t="inlineStr">
        <is>
          <t>Story</t>
        </is>
      </c>
      <c r="D1196" s="5" t="inlineStr">
        <is>
          <t xml:space="preserve">        Employee sees the policy check on each line before submitting</t>
        </is>
      </c>
      <c r="E1196" t="inlineStr">
        <is>
          <t>Expenses, advances and travel</t>
        </is>
      </c>
      <c r="F1196" t="inlineStr">
        <is>
          <t>Claims and approvals</t>
        </is>
      </c>
      <c r="G1196" t="inlineStr">
        <is>
          <t>New</t>
        </is>
      </c>
      <c r="I1196">
        <f>IF(H1196&lt;&gt;"",H1196,G1196)</f>
        <v/>
      </c>
      <c r="J1196" t="inlineStr">
        <is>
          <t>Wave 5 · Expenses</t>
        </is>
      </c>
      <c r="K1196" t="n">
        <v>3</v>
      </c>
      <c r="L1196" t="n">
        <v>1</v>
      </c>
      <c r="M1196" s="5" t="inlineStr">
        <is>
          <t>As an employee, I want to see if a line breaks policy before I submit so that I can fix it.</t>
        </is>
      </c>
      <c r="N1196" s="5" t="inlineStr">
        <is>
          <t>• Given a line, when entered, then it is checked against the policy on its expense date: limit, receipt rule, rate and category for the grade (YX-EXP-01).
• Given a ₹1,00,000 taxi line with no receipt, when checked, then it is blocked or flagged per policy (YX-EXP-01, YX-EXP-03).
• Given the results, when the approver opens the claim, then they see the same flags (YX-EXP-01).</t>
        </is>
      </c>
      <c r="O1196" s="5" t="inlineStr">
        <is>
          <t>YX-EXP-01</t>
        </is>
      </c>
      <c r="P1196" t="inlineStr">
        <is>
          <t>M05, M04</t>
        </is>
      </c>
      <c r="Q1196" t="inlineStr">
        <is>
          <t>US-D-136, US-D-134</t>
        </is>
      </c>
      <c r="R1196" s="5" t="inlineStr"/>
    </row>
    <row r="1197">
      <c r="A1197" t="inlineStr">
        <is>
          <t>US-D-138</t>
        </is>
      </c>
      <c r="B1197" t="n">
        <v>1108</v>
      </c>
      <c r="C1197" t="inlineStr">
        <is>
          <t>Story</t>
        </is>
      </c>
      <c r="D1197" s="5" t="inlineStr">
        <is>
          <t xml:space="preserve">        Over-limit line needs a justification and an extra approver</t>
        </is>
      </c>
      <c r="E1197" t="inlineStr">
        <is>
          <t>Expenses, advances and travel</t>
        </is>
      </c>
      <c r="F1197" t="inlineStr">
        <is>
          <t>Claims and approvals</t>
        </is>
      </c>
      <c r="G1197" t="inlineStr">
        <is>
          <t>New</t>
        </is>
      </c>
      <c r="I1197">
        <f>IF(H1197&lt;&gt;"",H1197,G1197)</f>
        <v/>
      </c>
      <c r="J1197" t="inlineStr">
        <is>
          <t>Wave 5 · Expenses</t>
        </is>
      </c>
      <c r="K1197" t="n">
        <v>3</v>
      </c>
      <c r="L1197" t="n">
        <v>1</v>
      </c>
      <c r="M1197" s="5" t="inlineStr">
        <is>
          <t>As an employee, I want to claim more than the limit with a reason so that genuine costs are still paid.</t>
        </is>
      </c>
      <c r="N1197" s="5" t="inlineStr">
        <is>
          <t>• Given an over-limit line, when submitted, then a justification is required and an extra approval step (default department head) is added for the excess (YX-EXP-02).
• Given a hard-block category, when the line is over the limit, then it can't be submitted (YX-EXP-02).
• Given over-limit lines, when P09 spend analytics runs, then they are counted (M05 Q7).</t>
        </is>
      </c>
      <c r="O1197" s="5" t="inlineStr">
        <is>
          <t>YX-EXP-02</t>
        </is>
      </c>
      <c r="P1197" t="inlineStr">
        <is>
          <t>M05, M04</t>
        </is>
      </c>
      <c r="Q1197" t="inlineStr">
        <is>
          <t>US-D-137</t>
        </is>
      </c>
      <c r="R1197" s="5" t="inlineStr"/>
    </row>
    <row r="1198">
      <c r="A1198" t="inlineStr">
        <is>
          <t>US-D-139</t>
        </is>
      </c>
      <c r="B1198" t="n">
        <v>1109</v>
      </c>
      <c r="C1198" t="inlineStr">
        <is>
          <t>Story</t>
        </is>
      </c>
      <c r="D1198" s="5" t="inlineStr">
        <is>
          <t xml:space="preserve">        System flags duplicate claims</t>
        </is>
      </c>
      <c r="E1198" t="inlineStr">
        <is>
          <t>Expenses, advances and travel</t>
        </is>
      </c>
      <c r="F1198" t="inlineStr">
        <is>
          <t>Claims and approvals</t>
        </is>
      </c>
      <c r="G1198" t="inlineStr">
        <is>
          <t>New</t>
        </is>
      </c>
      <c r="I1198">
        <f>IF(H1198&lt;&gt;"",H1198,G1198)</f>
        <v/>
      </c>
      <c r="J1198" t="inlineStr">
        <is>
          <t>Wave 5 · Expenses</t>
        </is>
      </c>
      <c r="K1198" t="n">
        <v>3</v>
      </c>
      <c r="L1198" t="n">
        <v>1</v>
      </c>
      <c r="M1198" s="5" t="inlineStr">
        <is>
          <t>As a finance user, I want duplicates flagged across the company so that nobody is paid twice.</t>
        </is>
      </c>
      <c r="N1198" s="5" t="inlineStr">
        <is>
          <t>• Given the same employee, amount, date and merchant, when a line is added, then it is flagged to the approver and finance (YX-EXP-04).
• Given an identical receipt image hash uploaded by another employee, when submitted, then it is blocked (YX-EXP-04).
• Given the same GST invoice number from the same supplier anywhere in the tenant, when added, then it is flagged (YX-EXP-04).</t>
        </is>
      </c>
      <c r="O1198" s="5" t="inlineStr">
        <is>
          <t>YX-EXP-04</t>
        </is>
      </c>
      <c r="P1198" t="inlineStr">
        <is>
          <t>M05, M04</t>
        </is>
      </c>
      <c r="Q1198" t="inlineStr">
        <is>
          <t>US-D-136</t>
        </is>
      </c>
      <c r="R1198" s="5" t="inlineStr"/>
    </row>
    <row r="1199">
      <c r="A1199" t="inlineStr">
        <is>
          <t>US-D-140</t>
        </is>
      </c>
      <c r="B1199" t="n">
        <v>1110</v>
      </c>
      <c r="C1199" t="inlineStr">
        <is>
          <t>Story</t>
        </is>
      </c>
      <c r="D1199" s="5" t="inlineStr">
        <is>
          <t xml:space="preserve">        Finance turns on GST capture for input credit</t>
        </is>
      </c>
      <c r="E1199" t="inlineStr">
        <is>
          <t>Expenses, advances and travel</t>
        </is>
      </c>
      <c r="F1199" t="inlineStr">
        <is>
          <t>Claims and approvals</t>
        </is>
      </c>
      <c r="G1199" t="inlineStr">
        <is>
          <t>New</t>
        </is>
      </c>
      <c r="I1199">
        <f>IF(H1199&lt;&gt;"",H1199,G1199)</f>
        <v/>
      </c>
      <c r="J1199" t="inlineStr">
        <is>
          <t>Wave 5 · Expenses</t>
        </is>
      </c>
      <c r="K1199" t="n">
        <v>3</v>
      </c>
      <c r="L1199" t="n">
        <v>2</v>
      </c>
      <c r="M1199" s="5" t="inlineStr">
        <is>
          <t>As a finance admin, I want GST details captured on eligible lines so that we can claim input credit.</t>
        </is>
      </c>
      <c r="N1199" s="5" t="inlineStr">
        <is>
          <t>• Given GST capture is on (off by default), when a GST-eligible line is added, then supplier GSTIN, invoice no. / date, taxable value and CGST / SGST / IGST are captured (M05 Q5).
• Given a GSTIN, when entered, then its format and state code are checked against the entity's GSTIN (M05 Q5).
• Given two lines at different GST rates, when saved, then each keeps its own tax (M05 §9).
• Given approved claims, when the journal posts, then GST input lines are included and the GST report lists them (YX-EXP-11).</t>
        </is>
      </c>
      <c r="O1199" s="5" t="inlineStr">
        <is>
          <t>YX-EXP-11</t>
        </is>
      </c>
      <c r="P1199" t="inlineStr">
        <is>
          <t>M05, M04</t>
        </is>
      </c>
      <c r="Q1199" t="inlineStr">
        <is>
          <t>US-D-136</t>
        </is>
      </c>
      <c r="R1199" s="5" t="inlineStr"/>
    </row>
    <row r="1200">
      <c r="A1200" t="inlineStr">
        <is>
          <t>US-D-141</t>
        </is>
      </c>
      <c r="B1200" t="n">
        <v>1111</v>
      </c>
      <c r="C1200" t="inlineStr">
        <is>
          <t>Story</t>
        </is>
      </c>
      <c r="D1200" s="5" t="inlineStr">
        <is>
          <t xml:space="preserve">        Employee submits a claim and sees 'You will receive ₹X'</t>
        </is>
      </c>
      <c r="E1200" t="inlineStr">
        <is>
          <t>Expenses, advances and travel</t>
        </is>
      </c>
      <c r="F1200" t="inlineStr">
        <is>
          <t>Claims and approvals</t>
        </is>
      </c>
      <c r="G1200" t="inlineStr">
        <is>
          <t>New</t>
        </is>
      </c>
      <c r="I1200">
        <f>IF(H1200&lt;&gt;"",H1200,G1200)</f>
        <v/>
      </c>
      <c r="J1200" t="inlineStr">
        <is>
          <t>Wave 5 · Expenses</t>
        </is>
      </c>
      <c r="K1200" t="n">
        <v>3</v>
      </c>
      <c r="L1200" t="n">
        <v>1</v>
      </c>
      <c r="M1200" s="5" t="inlineStr">
        <is>
          <t>As an employee, I want to see how much I will receive on every screen so that I am never confused.</t>
        </is>
      </c>
      <c r="N1200" s="5" t="inlineStr">
        <is>
          <t>• Given a claim, when it shows on the claim, list, mobile or reports, then net payable (approved − advance adjusted) is the first figure (YX-EXP-06).
• Given submission, when the approver is set, then it comes from the P03 chain on the server; a client-chosen approver is ignored (YX-EXP-05).
• Given amount-based routing, when it applies, then it uses the claim total (YX-EXP-05).
• Given offline, when the employee submits, then the draft syncs later (M04 Q7).</t>
        </is>
      </c>
      <c r="O1200" s="5" t="inlineStr">
        <is>
          <t>YX-EXP-06, YX-EXP-05</t>
        </is>
      </c>
      <c r="P1200" t="inlineStr">
        <is>
          <t>M05, M04</t>
        </is>
      </c>
      <c r="Q1200" t="inlineStr">
        <is>
          <t>US-D-137</t>
        </is>
      </c>
      <c r="R1200" s="5" t="inlineStr"/>
    </row>
    <row r="1201">
      <c r="A1201" t="inlineStr">
        <is>
          <t>US-D-142</t>
        </is>
      </c>
      <c r="B1201" t="n">
        <v>1112</v>
      </c>
      <c r="C1201" t="inlineStr">
        <is>
          <t>Story</t>
        </is>
      </c>
      <c r="D1201" s="5" t="inlineStr">
        <is>
          <t xml:space="preserve">        Manager approves a claim with changes</t>
        </is>
      </c>
      <c r="E1201" t="inlineStr">
        <is>
          <t>Expenses, advances and travel</t>
        </is>
      </c>
      <c r="F1201" t="inlineStr">
        <is>
          <t>Claims and approvals</t>
        </is>
      </c>
      <c r="G1201" t="inlineStr">
        <is>
          <t>New</t>
        </is>
      </c>
      <c r="I1201">
        <f>IF(H1201&lt;&gt;"",H1201,G1201)</f>
        <v/>
      </c>
      <c r="J1201" t="inlineStr">
        <is>
          <t>Wave 5 · Expenses</t>
        </is>
      </c>
      <c r="K1201" t="n">
        <v>3</v>
      </c>
      <c r="L1201" t="n">
        <v>1</v>
      </c>
      <c r="M1201" s="5" t="inlineStr">
        <is>
          <t>As a manager, I want to approve, reduce, send back or reject lines from the approval card so that I control spend.</t>
        </is>
      </c>
      <c r="N1201" s="5" t="inlineStr">
        <is>
          <t>• Given the approval card, when opened, then lines show policy flags, duplicates and receipt thumbnails (M05 §6).
• Given the approver cuts ₹800, when saving, then a reason is required and the employee sees 'Approved ₹1,200 of ₹2,000 — hotel cap Tier 2' (YX-EXP-02).
• Given approval, when the status changes, then it is separate from payment status (YX-EXP-07).</t>
        </is>
      </c>
      <c r="O1201" s="5" t="inlineStr">
        <is>
          <t>YX-EXP-02, YX-EXP-07</t>
        </is>
      </c>
      <c r="P1201" t="inlineStr">
        <is>
          <t>M05, M04</t>
        </is>
      </c>
      <c r="Q1201" t="inlineStr">
        <is>
          <t>US-D-141</t>
        </is>
      </c>
      <c r="R1201" s="5" t="inlineStr"/>
    </row>
    <row r="1202">
      <c r="A1202" t="inlineStr">
        <is>
          <t>US-D-143</t>
        </is>
      </c>
      <c r="B1202" t="n">
        <v>1113</v>
      </c>
      <c r="C1202" t="inlineStr">
        <is>
          <t>Story</t>
        </is>
      </c>
      <c r="D1202" s="5" t="inlineStr">
        <is>
          <t xml:space="preserve">        Finance reviews flagged claims before payment</t>
        </is>
      </c>
      <c r="E1202" t="inlineStr">
        <is>
          <t>Expenses, advances and travel</t>
        </is>
      </c>
      <c r="F1202" t="inlineStr">
        <is>
          <t>Claims and approvals</t>
        </is>
      </c>
      <c r="G1202" t="inlineStr">
        <is>
          <t>New</t>
        </is>
      </c>
      <c r="I1202">
        <f>IF(H1202&lt;&gt;"",H1202,G1202)</f>
        <v/>
      </c>
      <c r="J1202" t="inlineStr">
        <is>
          <t>Wave 5 · Expenses</t>
        </is>
      </c>
      <c r="K1202" t="n">
        <v>2</v>
      </c>
      <c r="L1202" t="n">
        <v>2</v>
      </c>
      <c r="M1202" s="5" t="inlineStr">
        <is>
          <t>As a finance user, I want a review queue for flagged claims so that risky claims get a final check.</t>
        </is>
      </c>
      <c r="N1202" s="5" t="inlineStr">
        <is>
          <t>• Given claims with duplicates, missing GST or over-limit lines, when approved, then they enter the finance queue if the company uses the audit step (M05 §6).
• Given the queue, when finance opens a claim, then the receipt viewer shows beside the lines (M05 §7).
• Given finance decides, when done, then the claim moves to payment or back with a reason (YX-EXP-04).</t>
        </is>
      </c>
      <c r="O1202" s="5" t="inlineStr">
        <is>
          <t>YX-EXP-04</t>
        </is>
      </c>
      <c r="P1202" t="inlineStr">
        <is>
          <t>M05, M04</t>
        </is>
      </c>
      <c r="Q1202" t="inlineStr">
        <is>
          <t>US-D-142</t>
        </is>
      </c>
      <c r="R1202" s="5" t="inlineStr"/>
    </row>
    <row r="1203">
      <c r="A1203" s="9" t="inlineStr">
        <is>
          <t>FT-D-031</t>
        </is>
      </c>
      <c r="B1203" s="9" t="n">
        <v>1115</v>
      </c>
      <c r="C1203" s="9" t="inlineStr">
        <is>
          <t>Feature</t>
        </is>
      </c>
      <c r="D1203" s="10" t="inlineStr">
        <is>
          <t xml:space="preserve">    Trips and advances</t>
        </is>
      </c>
      <c r="E1203" s="9" t="inlineStr">
        <is>
          <t>Expenses, advances and travel</t>
        </is>
      </c>
      <c r="F1203" s="9" t="inlineStr">
        <is>
          <t>Trips and advances</t>
        </is>
      </c>
      <c r="G1203" s="9" t="inlineStr">
        <is>
          <t>New</t>
        </is>
      </c>
      <c r="H1203" s="9" t="n"/>
      <c r="I1203" s="9">
        <f>IF(H1203&lt;&gt;"",H1203,G1203)</f>
        <v/>
      </c>
      <c r="J1203" s="9" t="inlineStr">
        <is>
          <t>Wave 5 · Expenses</t>
        </is>
      </c>
      <c r="K1203" s="9" t="n"/>
      <c r="L1203" s="9" t="n"/>
      <c r="M1203" s="10" t="inlineStr"/>
      <c r="N1203" s="10" t="inlineStr"/>
      <c r="O1203" s="10" t="inlineStr"/>
      <c r="P1203" s="9" t="inlineStr">
        <is>
          <t>M05</t>
        </is>
      </c>
      <c r="Q1203" s="9" t="inlineStr"/>
      <c r="R1203" s="10" t="inlineStr"/>
      <c r="S1203" s="9" t="n"/>
    </row>
    <row r="1204">
      <c r="A1204" t="inlineStr">
        <is>
          <t>US-D-144</t>
        </is>
      </c>
      <c r="B1204" t="n">
        <v>1116</v>
      </c>
      <c r="C1204" t="inlineStr">
        <is>
          <t>Story</t>
        </is>
      </c>
      <c r="D1204" s="5" t="inlineStr">
        <is>
          <t xml:space="preserve">        Employee requests a trip with an advance</t>
        </is>
      </c>
      <c r="E1204" t="inlineStr">
        <is>
          <t>Expenses, advances and travel</t>
        </is>
      </c>
      <c r="F1204" t="inlineStr">
        <is>
          <t>Trips and advances</t>
        </is>
      </c>
      <c r="G1204" t="inlineStr">
        <is>
          <t>New</t>
        </is>
      </c>
      <c r="I1204">
        <f>IF(H1204&lt;&gt;"",H1204,G1204)</f>
        <v/>
      </c>
      <c r="J1204" t="inlineStr">
        <is>
          <t>Wave 5 · Expenses</t>
        </is>
      </c>
      <c r="K1204" t="n">
        <v>3</v>
      </c>
      <c r="L1204" t="n">
        <v>1</v>
      </c>
      <c r="M1204" s="5" t="inlineStr">
        <is>
          <t>As an employee, I want to request a trip with purpose, dates, legs and an advance so that my travel is approved before I go.</t>
        </is>
      </c>
      <c r="N1204" s="5" t="inlineStr">
        <is>
          <t>• Given any employee, when they open Requests, then a trip request is available (YX-EXP-08).
• Given the request, when approved through P03, then the approved advance creates an advance record automatically (YX-EXP-08).
• Given the trip, when claims are added, then they are linked to it as their parent (M05 §3).</t>
        </is>
      </c>
      <c r="O1204" s="5" t="inlineStr">
        <is>
          <t>YX-EXP-08</t>
        </is>
      </c>
      <c r="P1204" t="inlineStr">
        <is>
          <t>M05</t>
        </is>
      </c>
      <c r="Q1204" t="inlineStr">
        <is>
          <t>US-D-141</t>
        </is>
      </c>
      <c r="R1204" s="5" t="inlineStr"/>
    </row>
    <row r="1205">
      <c r="A1205" t="inlineStr">
        <is>
          <t>US-D-145</t>
        </is>
      </c>
      <c r="B1205" t="n">
        <v>1117</v>
      </c>
      <c r="C1205" t="inlineStr">
        <is>
          <t>Story</t>
        </is>
      </c>
      <c r="D1205" s="5" t="inlineStr">
        <is>
          <t xml:space="preserve">        Travel desk uploads bookings to the trip</t>
        </is>
      </c>
      <c r="E1205" t="inlineStr">
        <is>
          <t>Expenses, advances and travel</t>
        </is>
      </c>
      <c r="F1205" t="inlineStr">
        <is>
          <t>Trips and advances</t>
        </is>
      </c>
      <c r="G1205" t="inlineStr">
        <is>
          <t>New</t>
        </is>
      </c>
      <c r="I1205">
        <f>IF(H1205&lt;&gt;"",H1205,G1205)</f>
        <v/>
      </c>
      <c r="J1205" t="inlineStr">
        <is>
          <t>Wave 5 · Expenses</t>
        </is>
      </c>
      <c r="K1205" t="n">
        <v>2</v>
      </c>
      <c r="L1205" t="n">
        <v>2</v>
      </c>
      <c r="M1205" s="5" t="inlineStr">
        <is>
          <t>As a travel desk user, I want to upload tickets and hotel bookings to a trip so that company-paid costs count against the budget.</t>
        </is>
      </c>
      <c r="N1205" s="5" t="inlineStr">
        <is>
          <t>• Given a trip, when the employee, admin or travel desk uploads a booking, then it is attached to the trip (M05 Q3).
• Given a company-paid booking, when recorded, then it counts against the trip budget but is not reimbursed (M05 Q3).
• Given the trip timeline, when opened, then bookings, advance and claims show in order (M05 §7).</t>
        </is>
      </c>
      <c r="O1205" s="5" t="inlineStr"/>
      <c r="P1205" t="inlineStr">
        <is>
          <t>M05</t>
        </is>
      </c>
      <c r="Q1205" t="inlineStr">
        <is>
          <t>US-D-144</t>
        </is>
      </c>
      <c r="R1205" s="5" t="inlineStr"/>
    </row>
    <row r="1206">
      <c r="A1206" t="inlineStr">
        <is>
          <t>US-D-146</t>
        </is>
      </c>
      <c r="B1206" t="n">
        <v>1118</v>
      </c>
      <c r="C1206" t="inlineStr">
        <is>
          <t>Story</t>
        </is>
      </c>
      <c r="D1206" s="5" t="inlineStr">
        <is>
          <t xml:space="preserve">        Employee settles a trip advance</t>
        </is>
      </c>
      <c r="E1206" t="inlineStr">
        <is>
          <t>Expenses, advances and travel</t>
        </is>
      </c>
      <c r="F1206" t="inlineStr">
        <is>
          <t>Trips and advances</t>
        </is>
      </c>
      <c r="G1206" t="inlineStr">
        <is>
          <t>New</t>
        </is>
      </c>
      <c r="I1206">
        <f>IF(H1206&lt;&gt;"",H1206,G1206)</f>
        <v/>
      </c>
      <c r="J1206" t="inlineStr">
        <is>
          <t>Wave 5 · Expenses</t>
        </is>
      </c>
      <c r="K1206" t="n">
        <v>3</v>
      </c>
      <c r="L1206" t="n">
        <v>1</v>
      </c>
      <c r="M1206" s="5" t="inlineStr">
        <is>
          <t>As an employee, I want to see my advance against my spend so that I know if I must return money.</t>
        </is>
      </c>
      <c r="N1206" s="5" t="inlineStr">
        <is>
          <t>• Given an advance of ₹10,000 and claims of ₹7,000, when the settlement shows, then ₹3,000 to return or recover is shown (YX-EXP-06).
• Given the employee repays by bank transfer, when finance confirms, then the advance is settled (M05 Q6).
• Given the employee exits with an open balance, when F&amp;F is calculated, then it appears there (YX-EXP-09).</t>
        </is>
      </c>
      <c r="O1206" s="5" t="inlineStr">
        <is>
          <t>YX-EXP-06, YX-EXP-09</t>
        </is>
      </c>
      <c r="P1206" t="inlineStr">
        <is>
          <t>M05</t>
        </is>
      </c>
      <c r="Q1206" t="inlineStr">
        <is>
          <t>US-D-144</t>
        </is>
      </c>
      <c r="R1206" s="5" t="inlineStr"/>
    </row>
    <row r="1207">
      <c r="A1207" t="inlineStr">
        <is>
          <t>US-D-147</t>
        </is>
      </c>
      <c r="B1207" t="n">
        <v>1119</v>
      </c>
      <c r="C1207" t="inlineStr">
        <is>
          <t>Story</t>
        </is>
      </c>
      <c r="D1207" s="5" t="inlineStr">
        <is>
          <t xml:space="preserve">        Unsettled advances are reminded and then recovered from salary</t>
        </is>
      </c>
      <c r="E1207" t="inlineStr">
        <is>
          <t>Expenses, advances and travel</t>
        </is>
      </c>
      <c r="F1207" t="inlineStr">
        <is>
          <t>Trips and advances</t>
        </is>
      </c>
      <c r="G1207" t="inlineStr">
        <is>
          <t>New</t>
        </is>
      </c>
      <c r="I1207">
        <f>IF(H1207&lt;&gt;"",H1207,G1207)</f>
        <v/>
      </c>
      <c r="J1207" t="inlineStr">
        <is>
          <t>Wave 5 · Expenses</t>
        </is>
      </c>
      <c r="K1207" t="n">
        <v>3</v>
      </c>
      <c r="L1207" t="n">
        <v>1</v>
      </c>
      <c r="M1207" s="5" t="inlineStr">
        <is>
          <t>As a finance user, I want old unsettled advances reminded and then recovered in instalments so that money comes back.</t>
        </is>
      </c>
      <c r="N1207" s="5" t="inlineStr">
        <is>
          <t>• Given an advance unsettled 30 days after the trip ends (default), when the check runs, then the employee gets reminders (YX-EXP-09).
• Given reminders fail, when recovery starts, then up to 3 instalments (company sets) become one-time deductions in M03, respecting protected net pay (M05 Q6, YX-EXP-09).
• Given payroll defers a recovery, when `recovery.deferred` arrives, then the remaining instalments shift and the open balance is kept (YX-EXP-13).</t>
        </is>
      </c>
      <c r="O1207" s="5" t="inlineStr">
        <is>
          <t>YX-EXP-09, YX-EXP-13</t>
        </is>
      </c>
      <c r="P1207" t="inlineStr">
        <is>
          <t>M05</t>
        </is>
      </c>
      <c r="Q1207" t="inlineStr">
        <is>
          <t>US-D-146</t>
        </is>
      </c>
      <c r="R1207" s="5" t="inlineStr"/>
    </row>
    <row r="1208">
      <c r="A1208" s="9" t="inlineStr">
        <is>
          <t>FT-D-032</t>
        </is>
      </c>
      <c r="B1208" s="9" t="n">
        <v>1120</v>
      </c>
      <c r="C1208" s="9" t="inlineStr">
        <is>
          <t>Feature</t>
        </is>
      </c>
      <c r="D1208" s="10" t="inlineStr">
        <is>
          <t xml:space="preserve">    Payment and accounting</t>
        </is>
      </c>
      <c r="E1208" s="9" t="inlineStr">
        <is>
          <t>Expenses, advances and travel</t>
        </is>
      </c>
      <c r="F1208" s="9" t="inlineStr">
        <is>
          <t>Payment and accounting</t>
        </is>
      </c>
      <c r="G1208" s="9" t="inlineStr">
        <is>
          <t>New</t>
        </is>
      </c>
      <c r="H1208" s="9" t="n"/>
      <c r="I1208" s="9">
        <f>IF(H1208&lt;&gt;"",H1208,G1208)</f>
        <v/>
      </c>
      <c r="J1208" s="9" t="inlineStr">
        <is>
          <t>Wave 5 · Expenses</t>
        </is>
      </c>
      <c r="K1208" s="9" t="n"/>
      <c r="L1208" s="9" t="n"/>
      <c r="M1208" s="10" t="inlineStr"/>
      <c r="N1208" s="10" t="inlineStr"/>
      <c r="O1208" s="10" t="inlineStr"/>
      <c r="P1208" s="9" t="inlineStr">
        <is>
          <t>M05, M03, P10</t>
        </is>
      </c>
      <c r="Q1208" s="9" t="inlineStr"/>
      <c r="R1208" s="10" t="inlineStr"/>
      <c r="S1208" s="9" t="n"/>
    </row>
    <row r="1209">
      <c r="A1209" t="inlineStr">
        <is>
          <t>US-D-148</t>
        </is>
      </c>
      <c r="B1209" t="n">
        <v>1121</v>
      </c>
      <c r="C1209" t="inlineStr">
        <is>
          <t>Story</t>
        </is>
      </c>
      <c r="D1209" s="5" t="inlineStr">
        <is>
          <t xml:space="preserve">        Finance pays claims through payroll or direct payout</t>
        </is>
      </c>
      <c r="E1209" t="inlineStr">
        <is>
          <t>Expenses, advances and travel</t>
        </is>
      </c>
      <c r="F1209" t="inlineStr">
        <is>
          <t>Payment and accounting</t>
        </is>
      </c>
      <c r="G1209" t="inlineStr">
        <is>
          <t>New</t>
        </is>
      </c>
      <c r="I1209">
        <f>IF(H1209&lt;&gt;"",H1209,G1209)</f>
        <v/>
      </c>
      <c r="J1209" t="inlineStr">
        <is>
          <t>Wave 5 · Expenses</t>
        </is>
      </c>
      <c r="K1209" t="n">
        <v>3</v>
      </c>
      <c r="L1209" t="n">
        <v>1</v>
      </c>
      <c r="M1209" s="5" t="inlineStr">
        <is>
          <t>As a finance user, I want approved claims paid in the next payroll or by direct payout so that urgent claims are paid fast.</t>
        </is>
      </c>
      <c r="N1209" s="5" t="inlineStr">
        <is>
          <t>• Given the company default, when a claim is approved before the payroll cut-off, then it is paid in the next payroll (M05 Q2).
• Given an urgent or high amount, when finance chooses direct payout, then a bank file / payout entry is created (M05 Q2).
• Given a claim approved but not yet paid, when the employee views it, then it shows 'Approved — payment in October payroll' (YX-EXP-07).</t>
        </is>
      </c>
      <c r="O1209" s="5" t="inlineStr">
        <is>
          <t>YX-EXP-07</t>
        </is>
      </c>
      <c r="P1209" t="inlineStr">
        <is>
          <t>M05, M03, P10</t>
        </is>
      </c>
      <c r="Q1209" t="inlineStr">
        <is>
          <t>US-D-142</t>
        </is>
      </c>
      <c r="R1209" s="5" t="inlineStr"/>
    </row>
    <row r="1210">
      <c r="A1210" t="inlineStr">
        <is>
          <t>US-D-149</t>
        </is>
      </c>
      <c r="B1210" t="n">
        <v>1122</v>
      </c>
      <c r="C1210" t="inlineStr">
        <is>
          <t>Story</t>
        </is>
      </c>
      <c r="D1210" s="5" t="inlineStr">
        <is>
          <t xml:space="preserve">        Claim payment status follows payroll events</t>
        </is>
      </c>
      <c r="E1210" t="inlineStr">
        <is>
          <t>Expenses, advances and travel</t>
        </is>
      </c>
      <c r="F1210" t="inlineStr">
        <is>
          <t>Payment and accounting</t>
        </is>
      </c>
      <c r="G1210" t="inlineStr">
        <is>
          <t>New</t>
        </is>
      </c>
      <c r="I1210">
        <f>IF(H1210&lt;&gt;"",H1210,G1210)</f>
        <v/>
      </c>
      <c r="J1210" t="inlineStr">
        <is>
          <t>Wave 5 · Expenses</t>
        </is>
      </c>
      <c r="K1210" t="n">
        <v>3</v>
      </c>
      <c r="L1210" t="n">
        <v>1</v>
      </c>
      <c r="M1210" s="5" t="inlineStr">
        <is>
          <t>As an employee, I want my claim marked paid only when the money is really paid so that the status is true.</t>
        </is>
      </c>
      <c r="N1210" s="5" t="inlineStr">
        <is>
          <t>• Given `payroll.run.paid`, when it arrives, then payroll-routed claims are marked paid and `expense.claim.paid` is emitted (YX-EXP-13, YX-EXP-07).
• Given `payroll.run.voided`, when it arrives, then those claims return to approved-unpaid for the next run (YX-EXP-13).
• Given `payment.failed`, when it arrives, then the claim shows 'payment failed' and finance can re-route it (YX-EXP-13).
• Given the same event twice, when processed, then nothing changes the second time (YX-EXP-13).</t>
        </is>
      </c>
      <c r="O1210" s="5" t="inlineStr">
        <is>
          <t>YX-EXP-13, YX-EXP-07</t>
        </is>
      </c>
      <c r="P1210" t="inlineStr">
        <is>
          <t>M05, M03, P10</t>
        </is>
      </c>
      <c r="Q1210" t="inlineStr">
        <is>
          <t>US-D-148</t>
        </is>
      </c>
      <c r="R1210" s="5" t="inlineStr"/>
    </row>
    <row r="1211">
      <c r="A1211" t="inlineStr">
        <is>
          <t>US-D-150</t>
        </is>
      </c>
      <c r="B1211" t="n">
        <v>1123</v>
      </c>
      <c r="C1211" t="inlineStr">
        <is>
          <t>Story</t>
        </is>
      </c>
      <c r="D1211" s="5" t="inlineStr">
        <is>
          <t xml:space="preserve">        Paid claims are locked and corrected with an adjustment line</t>
        </is>
      </c>
      <c r="E1211" t="inlineStr">
        <is>
          <t>Expenses, advances and travel</t>
        </is>
      </c>
      <c r="F1211" t="inlineStr">
        <is>
          <t>Payment and accounting</t>
        </is>
      </c>
      <c r="G1211" t="inlineStr">
        <is>
          <t>New</t>
        </is>
      </c>
      <c r="I1211">
        <f>IF(H1211&lt;&gt;"",H1211,G1211)</f>
        <v/>
      </c>
      <c r="J1211" t="inlineStr">
        <is>
          <t>Wave 5 · Expenses</t>
        </is>
      </c>
      <c r="K1211" t="n">
        <v>2</v>
      </c>
      <c r="L1211" t="n">
        <v>1</v>
      </c>
      <c r="M1211" s="5" t="inlineStr">
        <is>
          <t>As a finance user, I want paid claims locked so that the trail stays clean.</t>
        </is>
      </c>
      <c r="N1211" s="5" t="inlineStr">
        <is>
          <t>• Given a paid claim, when anyone tries to edit a line, then it is refused (YX-EXP-12).
• Given a correction, when finance adds it, then it is a new adjustment line, positive or recovery (YX-EXP-12).
• Given foreign-currency lines on a paid claim, when rates change later, then the used rates never change (YX-EXP-14).</t>
        </is>
      </c>
      <c r="O1211" s="5" t="inlineStr">
        <is>
          <t>YX-EXP-12</t>
        </is>
      </c>
      <c r="P1211" t="inlineStr">
        <is>
          <t>M05, M03, P10</t>
        </is>
      </c>
      <c r="Q1211" t="inlineStr">
        <is>
          <t>US-D-149</t>
        </is>
      </c>
      <c r="R1211" s="5" t="inlineStr"/>
    </row>
    <row r="1212">
      <c r="A1212" t="inlineStr">
        <is>
          <t>US-D-151</t>
        </is>
      </c>
      <c r="B1212" t="n">
        <v>1124</v>
      </c>
      <c r="C1212" t="inlineStr">
        <is>
          <t>Story</t>
        </is>
      </c>
      <c r="D1212" s="5" t="inlineStr">
        <is>
          <t xml:space="preserve">        Taxable reimbursements flow to payroll tax</t>
        </is>
      </c>
      <c r="E1212" t="inlineStr">
        <is>
          <t>Expenses, advances and travel</t>
        </is>
      </c>
      <c r="F1212" t="inlineStr">
        <is>
          <t>Payment and accounting</t>
        </is>
      </c>
      <c r="G1212" t="inlineStr">
        <is>
          <t>New</t>
        </is>
      </c>
      <c r="I1212">
        <f>IF(H1212&lt;&gt;"",H1212,G1212)</f>
        <v/>
      </c>
      <c r="J1212" t="inlineStr">
        <is>
          <t>Wave 5 · Expenses</t>
        </is>
      </c>
      <c r="K1212" t="n">
        <v>2</v>
      </c>
      <c r="L1212" t="n">
        <v>1</v>
      </c>
      <c r="M1212" s="5" t="inlineStr">
        <is>
          <t>As a payroll admin, I want taxable expense categories sent to M03 so that TDS is right.</t>
        </is>
      </c>
      <c r="N1212" s="5" t="inlineStr">
        <is>
          <t>• Given a taxable category per P07 and company settings, when a claim is paid, then the amount flows to M03 as taxable reimbursement (YX-EXP-10).
• Given an exempt category, when paid, then TDS is not affected (YX-EXP-10).
• Given the employee's tax workspace, when opened, then taxable reimbursements are listed (YX-EXP-10).</t>
        </is>
      </c>
      <c r="O1212" s="5" t="inlineStr">
        <is>
          <t>YX-EXP-10</t>
        </is>
      </c>
      <c r="P1212" t="inlineStr">
        <is>
          <t>M05, M03</t>
        </is>
      </c>
      <c r="Q1212" t="inlineStr">
        <is>
          <t>US-D-149</t>
        </is>
      </c>
      <c r="R1212" s="5" t="inlineStr"/>
    </row>
    <row r="1213">
      <c r="A1213" t="inlineStr">
        <is>
          <t>US-D-152</t>
        </is>
      </c>
      <c r="B1213" t="n">
        <v>1125</v>
      </c>
      <c r="C1213" t="inlineStr">
        <is>
          <t>Story</t>
        </is>
      </c>
      <c r="D1213" s="5" t="inlineStr">
        <is>
          <t xml:space="preserve">        Finance exports expense journals to accounting</t>
        </is>
      </c>
      <c r="E1213" t="inlineStr">
        <is>
          <t>Expenses, advances and travel</t>
        </is>
      </c>
      <c r="F1213" t="inlineStr">
        <is>
          <t>Payment and accounting</t>
        </is>
      </c>
      <c r="G1213" t="inlineStr">
        <is>
          <t>New</t>
        </is>
      </c>
      <c r="I1213">
        <f>IF(H1213&lt;&gt;"",H1213,G1213)</f>
        <v/>
      </c>
      <c r="J1213" t="inlineStr">
        <is>
          <t>Wave 5 · Expenses</t>
        </is>
      </c>
      <c r="K1213" t="n">
        <v>3</v>
      </c>
      <c r="L1213" t="n">
        <v>1</v>
      </c>
      <c r="M1213" s="5" t="inlineStr">
        <is>
          <t>As a finance user, I want approved claims posted to Tally or Zoho with heads, GST and cost centres so that the books are right.</t>
        </is>
      </c>
      <c r="N1213" s="5" t="inlineStr">
        <is>
          <t>• Given approved claims, when the journal is exported, then lines carry expense head, GST input when captured, cost centre and employee payable (YX-EXP-11).
• Given the export, when run, then Tally, Zoho Books, CSV or the Accounting API is used (YX-EXP-11).
• Given a claim with no cost centre chosen, when posted, then it uses the employee's assignment cost centre (M05, P01 Q8).</t>
        </is>
      </c>
      <c r="O1213" s="5" t="inlineStr">
        <is>
          <t>YX-EXP-11</t>
        </is>
      </c>
      <c r="P1213" t="inlineStr">
        <is>
          <t>M05, P10</t>
        </is>
      </c>
      <c r="Q1213" t="inlineStr">
        <is>
          <t>US-D-142</t>
        </is>
      </c>
      <c r="R1213" s="5" t="inlineStr"/>
    </row>
    <row r="1214">
      <c r="A1214" s="9" t="inlineStr">
        <is>
          <t>FT-D-033</t>
        </is>
      </c>
      <c r="B1214" s="9" t="n">
        <v>1127</v>
      </c>
      <c r="C1214" s="9" t="inlineStr">
        <is>
          <t>Feature</t>
        </is>
      </c>
      <c r="D1214" s="10" t="inlineStr">
        <is>
          <t xml:space="preserve">    Foreign currency and field mileage</t>
        </is>
      </c>
      <c r="E1214" s="9" t="inlineStr">
        <is>
          <t>Expenses, advances and travel</t>
        </is>
      </c>
      <c r="F1214" s="9" t="inlineStr">
        <is>
          <t>Foreign currency and field mileage</t>
        </is>
      </c>
      <c r="G1214" s="9" t="inlineStr">
        <is>
          <t>New</t>
        </is>
      </c>
      <c r="H1214" s="9" t="n"/>
      <c r="I1214" s="9">
        <f>IF(H1214&lt;&gt;"",H1214,G1214)</f>
        <v/>
      </c>
      <c r="J1214" s="9" t="inlineStr">
        <is>
          <t>Wave 5 · Expenses</t>
        </is>
      </c>
      <c r="K1214" s="9" t="n"/>
      <c r="L1214" s="9" t="n"/>
      <c r="M1214" s="10" t="inlineStr"/>
      <c r="N1214" s="10" t="inlineStr"/>
      <c r="O1214" s="10" t="inlineStr"/>
      <c r="P1214" s="9" t="inlineStr">
        <is>
          <t>M05, M02</t>
        </is>
      </c>
      <c r="Q1214" s="9" t="inlineStr"/>
      <c r="R1214" s="10" t="inlineStr"/>
      <c r="S1214" s="9" t="n"/>
    </row>
    <row r="1215">
      <c r="A1215" t="inlineStr">
        <is>
          <t>US-D-153</t>
        </is>
      </c>
      <c r="B1215" t="n">
        <v>1128</v>
      </c>
      <c r="C1215" t="inlineStr">
        <is>
          <t>Story</t>
        </is>
      </c>
      <c r="D1215" s="5" t="inlineStr">
        <is>
          <t xml:space="preserve">        Employee claims a foreign-currency bill</t>
        </is>
      </c>
      <c r="E1215" t="inlineStr">
        <is>
          <t>Expenses, advances and travel</t>
        </is>
      </c>
      <c r="F1215" t="inlineStr">
        <is>
          <t>Foreign currency and field mileage</t>
        </is>
      </c>
      <c r="G1215" t="inlineStr">
        <is>
          <t>New</t>
        </is>
      </c>
      <c r="I1215">
        <f>IF(H1215&lt;&gt;"",H1215,G1215)</f>
        <v/>
      </c>
      <c r="J1215" t="inlineStr">
        <is>
          <t>Wave 5 · Expenses</t>
        </is>
      </c>
      <c r="K1215" t="n">
        <v>5</v>
      </c>
      <c r="L1215" t="n">
        <v>2</v>
      </c>
      <c r="M1215" s="5" t="inlineStr">
        <is>
          <t>As an employee travelling abroad, I want to claim a bill in its own currency and be paid in rupees so that I don't convert it myself.</t>
        </is>
      </c>
      <c r="N1215" s="5" t="inlineStr">
        <is>
          <t>• Given an AED 1,200 bill on 12 Nov, when added, then it converts at the company FX source (starter: RBI reference rate for 12 Nov) and the line shows rate, source and date (YX-EXP-14).
• Given the employee enters her forex-card rate with the statement, when it differs by more than 3 %, then the approver sees a variance flag (YX-EXP-14).
• Given policy limits, when checked, then country per-diem rows use their own currency and others use the pay currency (YX-EXP-14).
• Given the approver, when they open the line, then both amounts show (YX-EXP-14).</t>
        </is>
      </c>
      <c r="O1215" s="5" t="inlineStr">
        <is>
          <t>YX-EXP-14</t>
        </is>
      </c>
      <c r="P1215" t="inlineStr">
        <is>
          <t>M05, M02</t>
        </is>
      </c>
      <c r="Q1215" t="inlineStr">
        <is>
          <t>US-D-137</t>
        </is>
      </c>
      <c r="R1215" s="5" t="inlineStr"/>
    </row>
    <row r="1216">
      <c r="A1216" t="inlineStr">
        <is>
          <t>US-D-154</t>
        </is>
      </c>
      <c r="B1216" t="n">
        <v>1129</v>
      </c>
      <c r="C1216" t="inlineStr">
        <is>
          <t>Story</t>
        </is>
      </c>
      <c r="D1216" s="5" t="inlineStr">
        <is>
          <t xml:space="preserve">        Forex advance is settled in its own currency</t>
        </is>
      </c>
      <c r="E1216" t="inlineStr">
        <is>
          <t>Expenses, advances and travel</t>
        </is>
      </c>
      <c r="F1216" t="inlineStr">
        <is>
          <t>Foreign currency and field mileage</t>
        </is>
      </c>
      <c r="G1216" t="inlineStr">
        <is>
          <t>New</t>
        </is>
      </c>
      <c r="I1216">
        <f>IF(H1216&lt;&gt;"",H1216,G1216)</f>
        <v/>
      </c>
      <c r="J1216" t="inlineStr">
        <is>
          <t>Wave 5 · Expenses</t>
        </is>
      </c>
      <c r="K1216" t="n">
        <v>3</v>
      </c>
      <c r="L1216" t="n">
        <v>2</v>
      </c>
      <c r="M1216" s="5" t="inlineStr">
        <is>
          <t>As a finance user, I want a forex advance settled in its own currency with a clear exchange difference so that the books are right.</t>
        </is>
      </c>
      <c r="N1216" s="5" t="inlineStr">
        <is>
          <t>• Given a USD 500 advance and USD 420 spent, when settled, then USD 80 is to be returned (YX-EXP-15).
• Given the return on 30 Nov, when recorded, then the INR value uses the 30 Nov rate and the exchange difference is its own line (YX-EXP-15).
• Given the journal, when exported, then the exchange difference posts to the company's exchange-difference account (YX-EXP-15).</t>
        </is>
      </c>
      <c r="O1216" s="5" t="inlineStr">
        <is>
          <t>YX-EXP-15</t>
        </is>
      </c>
      <c r="P1216" t="inlineStr">
        <is>
          <t>M05, M02</t>
        </is>
      </c>
      <c r="Q1216" t="inlineStr">
        <is>
          <t>US-D-153, US-D-146</t>
        </is>
      </c>
      <c r="R1216" s="5" t="inlineStr"/>
    </row>
    <row r="1217">
      <c r="A1217" t="inlineStr">
        <is>
          <t>US-D-155</t>
        </is>
      </c>
      <c r="B1217" t="n">
        <v>1130</v>
      </c>
      <c r="C1217" t="inlineStr">
        <is>
          <t>Story</t>
        </is>
      </c>
      <c r="D1217" s="5" t="inlineStr">
        <is>
          <t xml:space="preserve">        Field-force distance arrives as a draft mileage line</t>
        </is>
      </c>
      <c r="E1217" t="inlineStr">
        <is>
          <t>Expenses, advances and travel</t>
        </is>
      </c>
      <c r="F1217" t="inlineStr">
        <is>
          <t>Foreign currency and field mileage</t>
        </is>
      </c>
      <c r="G1217" t="inlineStr">
        <is>
          <t>New</t>
        </is>
      </c>
      <c r="I1217">
        <f>IF(H1217&lt;&gt;"",H1217,G1217)</f>
        <v/>
      </c>
      <c r="J1217" t="inlineStr">
        <is>
          <t>Wave 5 · Expenses</t>
        </is>
      </c>
      <c r="K1217" t="n">
        <v>3</v>
      </c>
      <c r="L1217" t="n">
        <v>2</v>
      </c>
      <c r="M1217" s="5" t="inlineStr">
        <is>
          <t>As a field employee, I want my day's tracked distance turned into a draft mileage line so that I claim it with one tap.</t>
        </is>
      </c>
      <c r="N1217" s="5" t="inlineStr">
        <is>
          <t>• Given a 42 km duty day from M02, when the day ends, then one draft mileage line is created for that day (YX-EXP-16).
• Given the draft, when the employee has not confirmed it, then it is not submitted (YX-EXP-16).
• Given the employee edits the distance, when the approver opens it, then the system distance is shown beside it (YX-EXP-16).
• Given the confirmed line, when processed, then ordinary mileage rates, limits and approvals apply (YX-EXP-16, YX-EXP-03).</t>
        </is>
      </c>
      <c r="O1217" s="5" t="inlineStr">
        <is>
          <t>YX-EXP-16</t>
        </is>
      </c>
      <c r="P1217" t="inlineStr">
        <is>
          <t>M05, M02</t>
        </is>
      </c>
      <c r="Q1217" t="inlineStr">
        <is>
          <t>US-D-135</t>
        </is>
      </c>
      <c r="R1217" s="5" t="inlineStr"/>
    </row>
    <row r="1218">
      <c r="A1218" s="9" t="inlineStr">
        <is>
          <t>FT-D-034</t>
        </is>
      </c>
      <c r="B1218" s="9" t="n">
        <v>1470</v>
      </c>
      <c r="C1218" s="9" t="inlineStr">
        <is>
          <t>Feature</t>
        </is>
      </c>
      <c r="D1218" s="10" t="inlineStr">
        <is>
          <t xml:space="preserve">    Corporate cards</t>
        </is>
      </c>
      <c r="E1218" s="9" t="inlineStr">
        <is>
          <t>Expenses, advances and travel</t>
        </is>
      </c>
      <c r="F1218" s="9" t="inlineStr">
        <is>
          <t>Corporate cards</t>
        </is>
      </c>
      <c r="G1218" s="9" t="inlineStr">
        <is>
          <t>New</t>
        </is>
      </c>
      <c r="H1218" s="9" t="n"/>
      <c r="I1218" s="9">
        <f>IF(H1218&lt;&gt;"",H1218,G1218)</f>
        <v/>
      </c>
      <c r="J1218" s="9" t="inlineStr">
        <is>
          <t>Wave 6 · Expenses</t>
        </is>
      </c>
      <c r="K1218" s="9" t="n"/>
      <c r="L1218" s="9" t="n"/>
      <c r="M1218" s="10" t="inlineStr"/>
      <c r="N1218" s="10" t="inlineStr"/>
      <c r="O1218" s="10" t="inlineStr"/>
      <c r="P1218" s="9" t="inlineStr">
        <is>
          <t>M05</t>
        </is>
      </c>
      <c r="Q1218" s="9" t="inlineStr"/>
      <c r="R1218" s="10" t="inlineStr"/>
      <c r="S1218" s="9" t="n"/>
    </row>
    <row r="1219">
      <c r="A1219" t="inlineStr">
        <is>
          <t>US-D-156</t>
        </is>
      </c>
      <c r="B1219" t="n">
        <v>1471</v>
      </c>
      <c r="C1219" t="inlineStr">
        <is>
          <t>Story</t>
        </is>
      </c>
      <c r="D1219" s="5" t="inlineStr">
        <is>
          <t xml:space="preserve">        Finance imports corporate card statements and matches them</t>
        </is>
      </c>
      <c r="E1219" t="inlineStr">
        <is>
          <t>Expenses, advances and travel</t>
        </is>
      </c>
      <c r="F1219" t="inlineStr">
        <is>
          <t>Corporate cards</t>
        </is>
      </c>
      <c r="G1219" t="inlineStr">
        <is>
          <t>New</t>
        </is>
      </c>
      <c r="I1219">
        <f>IF(H1219&lt;&gt;"",H1219,G1219)</f>
        <v/>
      </c>
      <c r="J1219" t="inlineStr">
        <is>
          <t>Wave 6 · Expenses</t>
        </is>
      </c>
      <c r="K1219" t="n">
        <v>5</v>
      </c>
      <c r="L1219" t="n">
        <v>3</v>
      </c>
      <c r="M1219" s="5" t="inlineStr">
        <is>
          <t>As a finance user, I want card statements matched to receipts so that personal spend is recovered.</t>
        </is>
      </c>
      <c r="N1219" s="5" t="inlineStr">
        <is>
          <t>• Given a card statement CSV / bank format, when imported, then lines are auto-matched to receipts by amount, date and merchant (M05 Q8).
• Given an unmatched line, when the employee is asked, then they explain it or mark it personal (M05 Q8).
• Given personal spend, when confirmed, then it is recovered by the advance recovery route (M05 Q8, YX-EXP-09).</t>
        </is>
      </c>
      <c r="O1219" s="5" t="inlineStr">
        <is>
          <t>YX-EXP-09</t>
        </is>
      </c>
      <c r="P1219" t="inlineStr">
        <is>
          <t>M05</t>
        </is>
      </c>
      <c r="Q1219" t="inlineStr">
        <is>
          <t>US-D-149</t>
        </is>
      </c>
      <c r="R1219" s="5" t="inlineStr"/>
    </row>
    <row r="1220">
      <c r="A1220" s="7" t="inlineStr">
        <is>
          <t>EP-D-07</t>
        </is>
      </c>
      <c r="B1220" s="7" t="n">
        <v>1140</v>
      </c>
      <c r="C1220" s="7" t="inlineStr">
        <is>
          <t>Epic</t>
        </is>
      </c>
      <c r="D1220" s="8" t="inlineStr">
        <is>
          <t>Performance, skills and career growth</t>
        </is>
      </c>
      <c r="E1220" s="7" t="inlineStr">
        <is>
          <t>Performance, skills and career growth</t>
        </is>
      </c>
      <c r="F1220" s="7" t="inlineStr"/>
      <c r="G1220" s="7" t="inlineStr">
        <is>
          <t>New</t>
        </is>
      </c>
      <c r="H1220" s="7" t="n"/>
      <c r="I1220" s="7">
        <f>IF(H1220&lt;&gt;"",H1220,G1220)</f>
        <v/>
      </c>
      <c r="J1220" s="7" t="inlineStr">
        <is>
          <t>Wave 5 · Performance</t>
        </is>
      </c>
      <c r="K1220" s="7" t="n"/>
      <c r="L1220" s="7" t="n"/>
      <c r="M1220" s="8" t="inlineStr"/>
      <c r="N1220" s="8" t="inlineStr"/>
      <c r="O1220" s="8" t="inlineStr"/>
      <c r="P1220" s="7" t="inlineStr">
        <is>
          <t>M06</t>
        </is>
      </c>
      <c r="Q1220" s="7" t="inlineStr"/>
      <c r="R1220" s="8" t="inlineStr"/>
      <c r="S1220" s="7" t="n"/>
    </row>
    <row r="1221">
      <c r="A1221" s="9" t="inlineStr">
        <is>
          <t>FT-D-035</t>
        </is>
      </c>
      <c r="B1221" s="9" t="n">
        <v>1140</v>
      </c>
      <c r="C1221" s="9" t="inlineStr">
        <is>
          <t>Feature</t>
        </is>
      </c>
      <c r="D1221" s="10" t="inlineStr">
        <is>
          <t xml:space="preserve">    Skills library and competencies</t>
        </is>
      </c>
      <c r="E1221" s="9" t="inlineStr">
        <is>
          <t>Performance, skills and career growth</t>
        </is>
      </c>
      <c r="F1221" s="9" t="inlineStr">
        <is>
          <t>Skills library and competencies</t>
        </is>
      </c>
      <c r="G1221" s="9" t="inlineStr">
        <is>
          <t>New</t>
        </is>
      </c>
      <c r="H1221" s="9" t="n"/>
      <c r="I1221" s="9">
        <f>IF(H1221&lt;&gt;"",H1221,G1221)</f>
        <v/>
      </c>
      <c r="J1221" s="9" t="inlineStr">
        <is>
          <t>Wave 5 · Performance</t>
        </is>
      </c>
      <c r="K1221" s="9" t="n"/>
      <c r="L1221" s="9" t="n"/>
      <c r="M1221" s="10" t="inlineStr"/>
      <c r="N1221" s="10" t="inlineStr"/>
      <c r="O1221" s="10" t="inlineStr"/>
      <c r="P1221" s="9" t="inlineStr">
        <is>
          <t>M06</t>
        </is>
      </c>
      <c r="Q1221" s="9" t="inlineStr"/>
      <c r="R1221" s="10" t="inlineStr"/>
      <c r="S1221" s="9" t="n"/>
    </row>
    <row r="1222">
      <c r="A1222" t="inlineStr">
        <is>
          <t>US-D-157</t>
        </is>
      </c>
      <c r="B1222" t="n">
        <v>1141</v>
      </c>
      <c r="C1222" t="inlineStr">
        <is>
          <t>Story</t>
        </is>
      </c>
      <c r="D1222" s="5" t="inlineStr">
        <is>
          <t xml:space="preserve">        HR sets up one company skills library</t>
        </is>
      </c>
      <c r="E1222" t="inlineStr">
        <is>
          <t>Performance, skills and career growth</t>
        </is>
      </c>
      <c r="F1222" t="inlineStr">
        <is>
          <t>Skills library and competencies</t>
        </is>
      </c>
      <c r="G1222" t="inlineStr">
        <is>
          <t>New</t>
        </is>
      </c>
      <c r="I1222">
        <f>IF(H1222&lt;&gt;"",H1222,G1222)</f>
        <v/>
      </c>
      <c r="J1222" t="inlineStr">
        <is>
          <t>Wave 5 · Performance</t>
        </is>
      </c>
      <c r="K1222" t="n">
        <v>5</v>
      </c>
      <c r="L1222" t="n">
        <v>1</v>
      </c>
      <c r="M1222" s="5" t="inlineStr">
        <is>
          <t>As an HR admin, I want one skills library from a starter taxonomy plus our own skills so that competencies, question tags and scorecards all use the same skills.</t>
        </is>
      </c>
      <c r="N1222" s="5" t="inlineStr">
        <is>
          <t>• Given a new company, when the library opens, then the YukthiX starter taxonomy (domain → skill → sub-skill with levels) is labelled as a starter (YX-PERF-20).
• Given competencies, T01 question tags and M10 scorecard skills, when they use a skill, then they reference the same library row (YX-PERF-20).
• Given a skill in use, when HR tries to delete it, then it is refused; it can only be retired or merged, and every view follows (YX-PERF-20).</t>
        </is>
      </c>
      <c r="O1222" s="5" t="inlineStr">
        <is>
          <t>YX-PERF-20</t>
        </is>
      </c>
      <c r="P1222" t="inlineStr">
        <is>
          <t>M06</t>
        </is>
      </c>
      <c r="Q1222" t="inlineStr"/>
      <c r="R1222" s="5" t="inlineStr"/>
    </row>
    <row r="1223">
      <c r="A1223" t="inlineStr">
        <is>
          <t>US-D-158</t>
        </is>
      </c>
      <c r="B1223" t="n">
        <v>1142</v>
      </c>
      <c r="C1223" t="inlineStr">
        <is>
          <t>Story</t>
        </is>
      </c>
      <c r="D1223" s="5" t="inlineStr">
        <is>
          <t xml:space="preserve">        Employee confirms AI-suggested skills</t>
        </is>
      </c>
      <c r="E1223" t="inlineStr">
        <is>
          <t>Performance, skills and career growth</t>
        </is>
      </c>
      <c r="F1223" t="inlineStr">
        <is>
          <t>Skills library and competencies</t>
        </is>
      </c>
      <c r="G1223" t="inlineStr">
        <is>
          <t>New</t>
        </is>
      </c>
      <c r="I1223">
        <f>IF(H1223&lt;&gt;"",H1223,G1223)</f>
        <v/>
      </c>
      <c r="J1223" t="inlineStr">
        <is>
          <t>Wave 5 · Performance</t>
        </is>
      </c>
      <c r="K1223" t="n">
        <v>3</v>
      </c>
      <c r="L1223" t="n">
        <v>2</v>
      </c>
      <c r="M1223" s="5" t="inlineStr">
        <is>
          <t>As an employee, I want AI to suggest skills from my tests, courses and projects and let me confirm them so that my skill profile stays true.</t>
        </is>
      </c>
      <c r="N1223" s="5" t="inlineStr">
        <is>
          <t>• Given an AI suggestion of 'SQL' from a test result, when created, then it stays pending until the employee or manager confirms it (YX-PERF-20).
• Given a rejected suggestion, when the same evidence is seen again, then it is not re-offered (YX-PERF-20).
• Given confirmed skills, when shown, then each shows its source (self, manager, test, course, project, AI-confirmed) (YX-PERF-20).
• Given paths, IDPs, pools or recommendations, when they use skills, then pending ones are ignored (YX-PERF-20).</t>
        </is>
      </c>
      <c r="O1223" s="5" t="inlineStr">
        <is>
          <t>YX-PERF-20</t>
        </is>
      </c>
      <c r="P1223" t="inlineStr">
        <is>
          <t>M06</t>
        </is>
      </c>
      <c r="Q1223" t="inlineStr">
        <is>
          <t>US-D-157</t>
        </is>
      </c>
      <c r="R1223" s="5" t="inlineStr"/>
    </row>
    <row r="1224">
      <c r="A1224" t="inlineStr">
        <is>
          <t>US-D-159</t>
        </is>
      </c>
      <c r="B1224" t="n">
        <v>1143</v>
      </c>
      <c r="C1224" t="inlineStr">
        <is>
          <t>Story</t>
        </is>
      </c>
      <c r="D1224" s="5" t="inlineStr">
        <is>
          <t xml:space="preserve">        HR maps competencies and levels to designations</t>
        </is>
      </c>
      <c r="E1224" t="inlineStr">
        <is>
          <t>Performance, skills and career growth</t>
        </is>
      </c>
      <c r="F1224" t="inlineStr">
        <is>
          <t>Skills library and competencies</t>
        </is>
      </c>
      <c r="G1224" t="inlineStr">
        <is>
          <t>New</t>
        </is>
      </c>
      <c r="I1224">
        <f>IF(H1224&lt;&gt;"",H1224,G1224)</f>
        <v/>
      </c>
      <c r="J1224" t="inlineStr">
        <is>
          <t>Wave 5 · Performance</t>
        </is>
      </c>
      <c r="K1224" t="n">
        <v>3</v>
      </c>
      <c r="L1224" t="n">
        <v>1</v>
      </c>
      <c r="M1224" s="5" t="inlineStr">
        <is>
          <t>As an HR admin, I want competencies with levels mapped to designations so that reviews and gaps use them.</t>
        </is>
      </c>
      <c r="N1224" s="5" t="inlineStr">
        <is>
          <t>• Given the shipped library (core, functional, leadership), when HR adds custom competencies, then they map to the skills library (M06 Q8, YX-PERF-20).
• Given a designation, when HR maps required levels, then they are saved for review templates and career paths (M06 Q8).
• Given a gap in a review, when found, then `perf.skill_gap.found` is emitted to M07 training needs (M06 Q8).</t>
        </is>
      </c>
      <c r="O1224" s="5" t="inlineStr">
        <is>
          <t>YX-PERF-20</t>
        </is>
      </c>
      <c r="P1224" t="inlineStr">
        <is>
          <t>M06</t>
        </is>
      </c>
      <c r="Q1224" t="inlineStr">
        <is>
          <t>US-D-157</t>
        </is>
      </c>
      <c r="R1224" s="5" t="inlineStr"/>
    </row>
    <row r="1225">
      <c r="A1225" s="9" t="inlineStr">
        <is>
          <t>FT-D-036</t>
        </is>
      </c>
      <c r="B1225" s="9" t="n">
        <v>1145</v>
      </c>
      <c r="C1225" s="9" t="inlineStr">
        <is>
          <t>Feature</t>
        </is>
      </c>
      <c r="D1225" s="10" t="inlineStr">
        <is>
          <t xml:space="preserve">    Goals, check-ins and feedback</t>
        </is>
      </c>
      <c r="E1225" s="9" t="inlineStr">
        <is>
          <t>Performance, skills and career growth</t>
        </is>
      </c>
      <c r="F1225" s="9" t="inlineStr">
        <is>
          <t>Goals, check-ins and feedback</t>
        </is>
      </c>
      <c r="G1225" s="9" t="inlineStr">
        <is>
          <t>New</t>
        </is>
      </c>
      <c r="H1225" s="9" t="n"/>
      <c r="I1225" s="9">
        <f>IF(H1225&lt;&gt;"",H1225,G1225)</f>
        <v/>
      </c>
      <c r="J1225" s="9" t="inlineStr">
        <is>
          <t>Wave 5 · Performance</t>
        </is>
      </c>
      <c r="K1225" s="9" t="n"/>
      <c r="L1225" s="9" t="n"/>
      <c r="M1225" s="10" t="inlineStr"/>
      <c r="N1225" s="10" t="inlineStr"/>
      <c r="O1225" s="10" t="inlineStr"/>
      <c r="P1225" s="9" t="inlineStr">
        <is>
          <t>M06</t>
        </is>
      </c>
      <c r="Q1225" s="9" t="inlineStr"/>
      <c r="R1225" s="10" t="inlineStr"/>
      <c r="S1225" s="9" t="n"/>
    </row>
    <row r="1226">
      <c r="A1226" t="inlineStr">
        <is>
          <t>US-D-160</t>
        </is>
      </c>
      <c r="B1226" t="n">
        <v>1146</v>
      </c>
      <c r="C1226" t="inlineStr">
        <is>
          <t>Story</t>
        </is>
      </c>
      <c r="D1226" s="5" t="inlineStr">
        <is>
          <t xml:space="preserve">        Employee sets goals that align to team goals</t>
        </is>
      </c>
      <c r="E1226" t="inlineStr">
        <is>
          <t>Performance, skills and career growth</t>
        </is>
      </c>
      <c r="F1226" t="inlineStr">
        <is>
          <t>Goals, check-ins and feedback</t>
        </is>
      </c>
      <c r="G1226" t="inlineStr">
        <is>
          <t>New</t>
        </is>
      </c>
      <c r="I1226">
        <f>IF(H1226&lt;&gt;"",H1226,G1226)</f>
        <v/>
      </c>
      <c r="J1226" t="inlineStr">
        <is>
          <t>Wave 5 · Performance</t>
        </is>
      </c>
      <c r="K1226" t="n">
        <v>5</v>
      </c>
      <c r="L1226" t="n">
        <v>1</v>
      </c>
      <c r="M1226" s="5" t="inlineStr">
        <is>
          <t>As an employee, I want to set OKRs or KPIs and align them to my manager's or company goals so that my work connects to the plan.</t>
        </is>
      </c>
      <c r="N1226" s="5" t="inlineStr">
        <is>
          <t>• Given an OKR with key results, when progress is updated, then goal progress is calculated from key results and can't be typed (YX-PERF-01).
• Given a parent goal owned by anyone, when Arjun aligns 'close 3 accounts' under Priya's team objective, then it is saved (YX-PERF-01).
• Given a goal with children, when children progress, then the parent shows their weighted progress (YX-PERF-01).
• Given goals for a period, when submitted, then the manager approves them (M06 §6).</t>
        </is>
      </c>
      <c r="O1226" s="5" t="inlineStr">
        <is>
          <t>YX-PERF-01</t>
        </is>
      </c>
      <c r="P1226" t="inlineStr">
        <is>
          <t>M06</t>
        </is>
      </c>
      <c r="Q1226" t="inlineStr"/>
      <c r="R1226" s="5" t="inlineStr"/>
    </row>
    <row r="1227">
      <c r="A1227" t="inlineStr">
        <is>
          <t>US-D-161</t>
        </is>
      </c>
      <c r="B1227" t="n">
        <v>1147</v>
      </c>
      <c r="C1227" t="inlineStr">
        <is>
          <t>Story</t>
        </is>
      </c>
      <c r="D1227" s="5" t="inlineStr">
        <is>
          <t xml:space="preserve">        Manager and employee hold 1-on-1s and goal check-ins</t>
        </is>
      </c>
      <c r="E1227" t="inlineStr">
        <is>
          <t>Performance, skills and career growth</t>
        </is>
      </c>
      <c r="F1227" t="inlineStr">
        <is>
          <t>Goals, check-ins and feedback</t>
        </is>
      </c>
      <c r="G1227" t="inlineStr">
        <is>
          <t>New</t>
        </is>
      </c>
      <c r="I1227">
        <f>IF(H1227&lt;&gt;"",H1227,G1227)</f>
        <v/>
      </c>
      <c r="J1227" t="inlineStr">
        <is>
          <t>Wave 5 · Performance</t>
        </is>
      </c>
      <c r="K1227" t="n">
        <v>3</v>
      </c>
      <c r="L1227" t="n">
        <v>1</v>
      </c>
      <c r="M1227" s="5" t="inlineStr">
        <is>
          <t>As a manager, I want 1-on-1s with a shared agenda, shared and private notes and action items so that we track progress together.</t>
        </is>
      </c>
      <c r="N1227" s="5" t="inlineStr">
        <is>
          <t>• Given a 1-on-1, when created, then it has a shared agenda, shared notes, private notes per author and action items that can link to goals (M06 §3).
• Given a private note, when the other person opens the 1-on-1, then they can't see it (M06 §3).
• Given a goal check-in from mobile, when submitted, then the key-result actual updates progress (YX-PERF-01).</t>
        </is>
      </c>
      <c r="O1227" s="5" t="inlineStr">
        <is>
          <t>YX-PERF-01</t>
        </is>
      </c>
      <c r="P1227" t="inlineStr">
        <is>
          <t>M06</t>
        </is>
      </c>
      <c r="Q1227" t="inlineStr">
        <is>
          <t>US-D-160</t>
        </is>
      </c>
      <c r="R1227" s="5" t="inlineStr"/>
    </row>
    <row r="1228">
      <c r="A1228" t="inlineStr">
        <is>
          <t>US-D-162</t>
        </is>
      </c>
      <c r="B1228" t="n">
        <v>1148</v>
      </c>
      <c r="C1228" t="inlineStr">
        <is>
          <t>Story</t>
        </is>
      </c>
      <c r="D1228" s="5" t="inlineStr">
        <is>
          <t xml:space="preserve">        Employee gives quick feedback to a colleague</t>
        </is>
      </c>
      <c r="E1228" t="inlineStr">
        <is>
          <t>Performance, skills and career growth</t>
        </is>
      </c>
      <c r="F1228" t="inlineStr">
        <is>
          <t>Goals, check-ins and feedback</t>
        </is>
      </c>
      <c r="G1228" t="inlineStr">
        <is>
          <t>New</t>
        </is>
      </c>
      <c r="I1228">
        <f>IF(H1228&lt;&gt;"",H1228,G1228)</f>
        <v/>
      </c>
      <c r="J1228" t="inlineStr">
        <is>
          <t>Wave 5 · Performance</t>
        </is>
      </c>
      <c r="K1228" t="n">
        <v>2</v>
      </c>
      <c r="L1228" t="n">
        <v>2</v>
      </c>
      <c r="M1228" s="5" t="inlineStr">
        <is>
          <t>As an employee, I want to give quick praise or suggestions any time from my phone so that feedback is not just yearly.</t>
        </is>
      </c>
      <c r="N1228" s="5" t="inlineStr">
        <is>
          <t>• Given any colleague, when quick feedback is sent outside a review, then it follows its visibility setting (YX-PERF-04).
• Given a review is open, when someone not nominated tries to give 360° feedback on it, then it is refused (YX-PERF-04).
• Given mobile, when the employee taps quick feedback, then it works in a few taps (M06 §7, YX-MOB-01).</t>
        </is>
      </c>
      <c r="O1228" s="5" t="inlineStr">
        <is>
          <t>YX-PERF-04</t>
        </is>
      </c>
      <c r="P1228" t="inlineStr">
        <is>
          <t>M06</t>
        </is>
      </c>
      <c r="Q1228" t="inlineStr">
        <is>
          <t>US-D-160</t>
        </is>
      </c>
      <c r="R1228" s="5" t="inlineStr"/>
    </row>
    <row r="1229">
      <c r="A1229" s="9" t="inlineStr">
        <is>
          <t>FT-D-037</t>
        </is>
      </c>
      <c r="B1229" s="9" t="n">
        <v>1150</v>
      </c>
      <c r="C1229" s="9" t="inlineStr">
        <is>
          <t>Feature</t>
        </is>
      </c>
      <c r="D1229" s="10" t="inlineStr">
        <is>
          <t xml:space="preserve">    Review cycles</t>
        </is>
      </c>
      <c r="E1229" s="9" t="inlineStr">
        <is>
          <t>Performance, skills and career growth</t>
        </is>
      </c>
      <c r="F1229" s="9" t="inlineStr">
        <is>
          <t>Review cycles</t>
        </is>
      </c>
      <c r="G1229" s="9" t="inlineStr">
        <is>
          <t>New</t>
        </is>
      </c>
      <c r="H1229" s="9" t="n"/>
      <c r="I1229" s="9">
        <f>IF(H1229&lt;&gt;"",H1229,G1229)</f>
        <v/>
      </c>
      <c r="J1229" s="9" t="inlineStr">
        <is>
          <t>Wave 5 · Performance</t>
        </is>
      </c>
      <c r="K1229" s="9" t="n"/>
      <c r="L1229" s="9" t="n"/>
      <c r="M1229" s="10" t="inlineStr"/>
      <c r="N1229" s="10" t="inlineStr"/>
      <c r="O1229" s="10" t="inlineStr"/>
      <c r="P1229" s="9" t="inlineStr">
        <is>
          <t>M06</t>
        </is>
      </c>
      <c r="Q1229" s="9" t="inlineStr"/>
      <c r="R1229" s="10" t="inlineStr"/>
      <c r="S1229" s="9" t="n"/>
    </row>
    <row r="1230">
      <c r="A1230" t="inlineStr">
        <is>
          <t>US-D-163</t>
        </is>
      </c>
      <c r="B1230" t="n">
        <v>1151</v>
      </c>
      <c r="C1230" t="inlineStr">
        <is>
          <t>Story</t>
        </is>
      </c>
      <c r="D1230" s="5" t="inlineStr">
        <is>
          <t xml:space="preserve">        HR builds a review template with weighted sections</t>
        </is>
      </c>
      <c r="E1230" t="inlineStr">
        <is>
          <t>Performance, skills and career growth</t>
        </is>
      </c>
      <c r="F1230" t="inlineStr">
        <is>
          <t>Review cycles</t>
        </is>
      </c>
      <c r="G1230" t="inlineStr">
        <is>
          <t>New</t>
        </is>
      </c>
      <c r="I1230">
        <f>IF(H1230&lt;&gt;"",H1230,G1230)</f>
        <v/>
      </c>
      <c r="J1230" t="inlineStr">
        <is>
          <t>Wave 5 · Performance</t>
        </is>
      </c>
      <c r="K1230" t="n">
        <v>3</v>
      </c>
      <c r="L1230" t="n">
        <v>1</v>
      </c>
      <c r="M1230" s="5" t="inlineStr">
        <is>
          <t>As an HR admin, I want review templates with weighted sections and a score formula checked on save so that reviews never break mid-cycle.</t>
        </is>
      </c>
      <c r="N1230" s="5" t="inlineStr">
        <is>
          <t>• Given sections for goals, competencies, values, questions and overall rating, when HR sets weights, then they are saved (M06 §3).
• Given an invalid final-score formula, when the template is saved, then it is rejected and existing reviews are unaffected (M06 §9).
• Given a rating scale (default 1–5 with labels), when the cycle uses it, then the final score maps to a band label (YX-PERF-07).
• Given shipped templates (annual, half-yearly, probation, OKR quarterly), when a company starts, then they are available (M06 §8).</t>
        </is>
      </c>
      <c r="O1230" s="5" t="inlineStr">
        <is>
          <t>YX-PERF-07</t>
        </is>
      </c>
      <c r="P1230" t="inlineStr">
        <is>
          <t>M06</t>
        </is>
      </c>
      <c r="Q1230" t="inlineStr">
        <is>
          <t>US-D-159</t>
        </is>
      </c>
      <c r="R1230" s="5" t="inlineStr"/>
    </row>
    <row r="1231">
      <c r="A1231" t="inlineStr">
        <is>
          <t>US-D-164</t>
        </is>
      </c>
      <c r="B1231" t="n">
        <v>1152</v>
      </c>
      <c r="C1231" t="inlineStr">
        <is>
          <t>Story</t>
        </is>
      </c>
      <c r="D1231" s="5" t="inlineStr">
        <is>
          <t xml:space="preserve">        HR launches a cycle with eligibility and proration</t>
        </is>
      </c>
      <c r="E1231" t="inlineStr">
        <is>
          <t>Performance, skills and career growth</t>
        </is>
      </c>
      <c r="F1231" t="inlineStr">
        <is>
          <t>Review cycles</t>
        </is>
      </c>
      <c r="G1231" t="inlineStr">
        <is>
          <t>New</t>
        </is>
      </c>
      <c r="I1231">
        <f>IF(H1231&lt;&gt;"",H1231,G1231)</f>
        <v/>
      </c>
      <c r="J1231" t="inlineStr">
        <is>
          <t>Wave 5 · Performance</t>
        </is>
      </c>
      <c r="K1231" t="n">
        <v>5</v>
      </c>
      <c r="L1231" t="n">
        <v>1</v>
      </c>
      <c r="M1231" s="5" t="inlineStr">
        <is>
          <t>As an HR admin, I want each employee's eligibility decided by our rules when a cycle starts so that joiners, leavers and people on leave are treated fairly.</t>
        </is>
      </c>
      <c r="N1231" s="5" t="inlineStr">
        <is>
          <t>• Given an Apr–Mar cycle with a 3-month cut-off, when launched, then a February joiner is excluded (or gets a probation review) (YX-PERF-21).
• Given a July joiner, when increments are computed, then they are prorated 9/12 (YX-PERF-21).
• Given 6 months' maternity leave, when the cycle runs, then the rating is protected and the increment is not prorated down (YX-PERF-21).
• Given an override, when HR changes eligibility, then a reason is required and audited; cycles of different types may overlap (YX-PERF-21, M06 §3).</t>
        </is>
      </c>
      <c r="O1231" s="5" t="inlineStr">
        <is>
          <t>YX-PERF-21</t>
        </is>
      </c>
      <c r="P1231" t="inlineStr">
        <is>
          <t>M06</t>
        </is>
      </c>
      <c r="Q1231" t="inlineStr">
        <is>
          <t>US-D-163</t>
        </is>
      </c>
      <c r="R1231" s="5" t="inlineStr"/>
    </row>
    <row r="1232">
      <c r="A1232" t="inlineStr">
        <is>
          <t>US-D-165</t>
        </is>
      </c>
      <c r="B1232" t="n">
        <v>1153</v>
      </c>
      <c r="C1232" t="inlineStr">
        <is>
          <t>Story</t>
        </is>
      </c>
      <c r="D1232" s="5" t="inlineStr">
        <is>
          <t xml:space="preserve">        Employee always sees the current stage and next step</t>
        </is>
      </c>
      <c r="E1232" t="inlineStr">
        <is>
          <t>Performance, skills and career growth</t>
        </is>
      </c>
      <c r="F1232" t="inlineStr">
        <is>
          <t>Review cycles</t>
        </is>
      </c>
      <c r="G1232" t="inlineStr">
        <is>
          <t>New</t>
        </is>
      </c>
      <c r="I1232">
        <f>IF(H1232&lt;&gt;"",H1232,G1232)</f>
        <v/>
      </c>
      <c r="J1232" t="inlineStr">
        <is>
          <t>Wave 5 · Performance</t>
        </is>
      </c>
      <c r="K1232" t="n">
        <v>3</v>
      </c>
      <c r="L1232" t="n">
        <v>1</v>
      </c>
      <c r="M1232" s="5" t="inlineStr">
        <is>
          <t>As an employee, I want to see where my review is and what comes next so that I am never left guessing.</t>
        </is>
      </c>
      <c r="N1232" s="5" t="inlineStr">
        <is>
          <t>• Given configured stages (default self → 360° → manager → skip-level → calibration → release → acknowledgement), when the cycle runs, then each stage has an owner and a deadline (YX-PERF-06).
• Given a deadline nears, when reminders run, then P03 reminds and escalates (YX-PERF-06).
• Given the review workspace, when the employee opens it, then the current stage and next step are shown (YX-PERF-06).</t>
        </is>
      </c>
      <c r="O1232" s="5" t="inlineStr">
        <is>
          <t>YX-PERF-06</t>
        </is>
      </c>
      <c r="P1232" t="inlineStr">
        <is>
          <t>M06</t>
        </is>
      </c>
      <c r="Q1232" t="inlineStr">
        <is>
          <t>US-D-164</t>
        </is>
      </c>
      <c r="R1232" s="5" t="inlineStr"/>
    </row>
    <row r="1233">
      <c r="A1233" t="inlineStr">
        <is>
          <t>US-D-166</t>
        </is>
      </c>
      <c r="B1233" t="n">
        <v>1154</v>
      </c>
      <c r="C1233" t="inlineStr">
        <is>
          <t>Story</t>
        </is>
      </c>
      <c r="D1233" s="5" t="inlineStr">
        <is>
          <t xml:space="preserve">        Manager completes a review that counts only completed sections</t>
        </is>
      </c>
      <c r="E1233" t="inlineStr">
        <is>
          <t>Performance, skills and career growth</t>
        </is>
      </c>
      <c r="F1233" t="inlineStr">
        <is>
          <t>Review cycles</t>
        </is>
      </c>
      <c r="G1233" t="inlineStr">
        <is>
          <t>New</t>
        </is>
      </c>
      <c r="I1233">
        <f>IF(H1233&lt;&gt;"",H1233,G1233)</f>
        <v/>
      </c>
      <c r="J1233" t="inlineStr">
        <is>
          <t>Wave 5 · Performance</t>
        </is>
      </c>
      <c r="K1233" t="n">
        <v>5</v>
      </c>
      <c r="L1233" t="n">
        <v>1</v>
      </c>
      <c r="M1233" s="5" t="inlineStr">
        <is>
          <t>As a manager, I want scores to use only completed sections so that a half-done review never shows a wrong number.</t>
        </is>
      </c>
      <c r="N1233" s="5" t="inlineStr">
        <is>
          <t>• Given only a self review is done, when the score shows, then it says 'Manager review pending', not 0.4/5 (YX-PERF-02).
• Given a section without goals, when scored, then it is excluded with a warning (YX-PERF-02).
• Given peer feedback, when shown, then it is labelled advisory and not averaged into the manager rating unless the template says so (YX-PERF-03).
• Given the final score, when shown, then its band label is shown with it (YX-PERF-07).</t>
        </is>
      </c>
      <c r="O1233" s="5" t="inlineStr">
        <is>
          <t>YX-PERF-02, YX-PERF-03, YX-PERF-07</t>
        </is>
      </c>
      <c r="P1233" t="inlineStr">
        <is>
          <t>M06</t>
        </is>
      </c>
      <c r="Q1233" t="inlineStr">
        <is>
          <t>US-D-165</t>
        </is>
      </c>
      <c r="R1233" s="5" t="inlineStr"/>
    </row>
    <row r="1234">
      <c r="A1234" t="inlineStr">
        <is>
          <t>US-D-167</t>
        </is>
      </c>
      <c r="B1234" t="n">
        <v>1155</v>
      </c>
      <c r="C1234" t="inlineStr">
        <is>
          <t>Story</t>
        </is>
      </c>
      <c r="D1234" s="5" t="inlineStr">
        <is>
          <t xml:space="preserve">        Employee nominates 360° reviewers and feedback stays anonymous</t>
        </is>
      </c>
      <c r="E1234" t="inlineStr">
        <is>
          <t>Performance, skills and career growth</t>
        </is>
      </c>
      <c r="F1234" t="inlineStr">
        <is>
          <t>Review cycles</t>
        </is>
      </c>
      <c r="G1234" t="inlineStr">
        <is>
          <t>New</t>
        </is>
      </c>
      <c r="I1234">
        <f>IF(H1234&lt;&gt;"",H1234,G1234)</f>
        <v/>
      </c>
      <c r="J1234" t="inlineStr">
        <is>
          <t>Wave 5 · Performance</t>
        </is>
      </c>
      <c r="K1234" t="n">
        <v>5</v>
      </c>
      <c r="L1234" t="n">
        <v>1</v>
      </c>
      <c r="M1234" s="5" t="inlineStr">
        <is>
          <t>As an employee, I want to nominate reviewers that my manager approves, and peers to stay anonymous, so that feedback is honest.</t>
        </is>
      </c>
      <c r="N1234" s="5" t="inlineStr">
        <is>
          <t>• Given min / max counts, when the employee nominates and the manager approves, then only approved reviewers can give feedback (YX-PERF-04).
• Given peers are anonymous, when fewer than 3 responses exist in a group, then they are merged into 'others' or held back (YX-PERF-05).
• Given anonymous reviewers, when HR views the review, then their identities are not shown in the UI (M06 Q4).
• Given manager feedback, when shown, then it is named (M06 Q4).</t>
        </is>
      </c>
      <c r="O1234" s="5" t="inlineStr">
        <is>
          <t>YX-PERF-04, YX-PERF-05</t>
        </is>
      </c>
      <c r="P1234" t="inlineStr">
        <is>
          <t>M06</t>
        </is>
      </c>
      <c r="Q1234" t="inlineStr">
        <is>
          <t>US-D-165</t>
        </is>
      </c>
      <c r="R1234" s="5" t="inlineStr"/>
    </row>
    <row r="1235">
      <c r="A1235" t="inlineStr">
        <is>
          <t>US-D-168</t>
        </is>
      </c>
      <c r="B1235" t="n">
        <v>1156</v>
      </c>
      <c r="C1235" t="inlineStr">
        <is>
          <t>Story</t>
        </is>
      </c>
      <c r="D1235" s="5" t="inlineStr">
        <is>
          <t xml:space="preserve">        HR runs a calibration session with reasons</t>
        </is>
      </c>
      <c r="E1235" t="inlineStr">
        <is>
          <t>Performance, skills and career growth</t>
        </is>
      </c>
      <c r="F1235" t="inlineStr">
        <is>
          <t>Review cycles</t>
        </is>
      </c>
      <c r="G1235" t="inlineStr">
        <is>
          <t>New</t>
        </is>
      </c>
      <c r="I1235">
        <f>IF(H1235&lt;&gt;"",H1235,G1235)</f>
        <v/>
      </c>
      <c r="J1235" t="inlineStr">
        <is>
          <t>Wave 5 · Performance</t>
        </is>
      </c>
      <c r="K1235" t="n">
        <v>5</v>
      </c>
      <c r="L1235" t="n">
        <v>1</v>
      </c>
      <c r="M1235" s="5" t="inlineStr">
        <is>
          <t>As an HR admin, I want a calibration board with the distribution against a guide so that ratings are fair across teams.</t>
        </is>
      </c>
      <c r="N1235" s="5" t="inlineStr">
        <is>
          <t>• Given a group, when the session opens, then manager ratings and a distribution chart against the guide (no forced curve) show (M06 Q5).
• Given a rating moved from 4 to 3, when saved, then before, after, reason and who are recorded (YX-PERF-08).
• Given calibration changes, when the employee views their review, then they see only the released final rating (YX-PERF-08).</t>
        </is>
      </c>
      <c r="O1235" s="5" t="inlineStr">
        <is>
          <t>YX-PERF-08</t>
        </is>
      </c>
      <c r="P1235" t="inlineStr">
        <is>
          <t>M06</t>
        </is>
      </c>
      <c r="Q1235" t="inlineStr">
        <is>
          <t>US-D-166</t>
        </is>
      </c>
      <c r="R1235" s="5" t="inlineStr"/>
    </row>
    <row r="1236">
      <c r="A1236" t="inlineStr">
        <is>
          <t>US-D-169</t>
        </is>
      </c>
      <c r="B1236" t="n">
        <v>1157</v>
      </c>
      <c r="C1236" t="inlineStr">
        <is>
          <t>Story</t>
        </is>
      </c>
      <c r="D1236" s="5" t="inlineStr">
        <is>
          <t xml:space="preserve">        HR releases ratings and employees acknowledge</t>
        </is>
      </c>
      <c r="E1236" t="inlineStr">
        <is>
          <t>Performance, skills and career growth</t>
        </is>
      </c>
      <c r="F1236" t="inlineStr">
        <is>
          <t>Review cycles</t>
        </is>
      </c>
      <c r="G1236" t="inlineStr">
        <is>
          <t>New</t>
        </is>
      </c>
      <c r="I1236">
        <f>IF(H1236&lt;&gt;"",H1236,G1236)</f>
        <v/>
      </c>
      <c r="J1236" t="inlineStr">
        <is>
          <t>Wave 5 · Performance</t>
        </is>
      </c>
      <c r="K1236" t="n">
        <v>3</v>
      </c>
      <c r="L1236" t="n">
        <v>1</v>
      </c>
      <c r="M1236" s="5" t="inlineStr">
        <is>
          <t>As an HR admin, I want ratings released only at the release step so that employees see final results together.</t>
        </is>
      </c>
      <c r="N1236" s="5" t="inlineStr">
        <is>
          <t>• Given the release step, when HR releases, then employees see their rating for the first time (YX-PERF-09).
• Given the employee acknowledges, when they add a comment or disagreement flag, then the rating does not change and the flag routes to HR (M06 Q2).
• Given a released review, when HR reopens it, then a reason is required and audited (YX-PERF-09).</t>
        </is>
      </c>
      <c r="O1236" s="5" t="inlineStr">
        <is>
          <t>YX-PERF-09</t>
        </is>
      </c>
      <c r="P1236" t="inlineStr">
        <is>
          <t>M06</t>
        </is>
      </c>
      <c r="Q1236" t="inlineStr">
        <is>
          <t>US-D-168</t>
        </is>
      </c>
      <c r="R1236" s="5" t="inlineStr"/>
    </row>
    <row r="1237">
      <c r="A1237" t="inlineStr">
        <is>
          <t>US-D-170</t>
        </is>
      </c>
      <c r="B1237" t="n">
        <v>1158</v>
      </c>
      <c r="C1237" t="inlineStr">
        <is>
          <t>Story</t>
        </is>
      </c>
      <c r="D1237" s="5" t="inlineStr">
        <is>
          <t xml:space="preserve">        HR clicks cycle funnel counts to see names</t>
        </is>
      </c>
      <c r="E1237" t="inlineStr">
        <is>
          <t>Performance, skills and career growth</t>
        </is>
      </c>
      <c r="F1237" t="inlineStr">
        <is>
          <t>Review cycles</t>
        </is>
      </c>
      <c r="G1237" t="inlineStr">
        <is>
          <t>New</t>
        </is>
      </c>
      <c r="I1237">
        <f>IF(H1237&lt;&gt;"",H1237,G1237)</f>
        <v/>
      </c>
      <c r="J1237" t="inlineStr">
        <is>
          <t>Wave 5 · Performance</t>
        </is>
      </c>
      <c r="K1237" t="n">
        <v>2</v>
      </c>
      <c r="L1237" t="n">
        <v>2</v>
      </c>
      <c r="M1237" s="5" t="inlineStr">
        <is>
          <t>As an HR admin, I want each funnel count to open the list of people so that I can chase them.</t>
        </is>
      </c>
      <c r="N1237" s="5" t="inlineStr">
        <is>
          <t>• Given the cycle dashboard, when HR clicks 'manager review pending: 42', then the 42 names open (YX-PERF-12).
• Given rating analytics, when shown, then P09 small-group suppression applies (M06 'already decided').
• Given the list, when exported, then it keeps the same filter (YX-PERF-12).</t>
        </is>
      </c>
      <c r="O1237" s="5" t="inlineStr">
        <is>
          <t>YX-PERF-12</t>
        </is>
      </c>
      <c r="P1237" t="inlineStr">
        <is>
          <t>M06</t>
        </is>
      </c>
      <c r="Q1237" t="inlineStr">
        <is>
          <t>US-D-165</t>
        </is>
      </c>
      <c r="R1237" s="5" t="inlineStr"/>
    </row>
    <row r="1238">
      <c r="A1238" t="inlineStr">
        <is>
          <t>US-D-171</t>
        </is>
      </c>
      <c r="B1238" t="n">
        <v>1159</v>
      </c>
      <c r="C1238" t="inlineStr">
        <is>
          <t>Story</t>
        </is>
      </c>
      <c r="D1238" s="5" t="inlineStr">
        <is>
          <t xml:space="preserve">        In-flight reviews move to the new manager on a manager change</t>
        </is>
      </c>
      <c r="E1238" t="inlineStr">
        <is>
          <t>Performance, skills and career growth</t>
        </is>
      </c>
      <c r="F1238" t="inlineStr">
        <is>
          <t>Review cycles</t>
        </is>
      </c>
      <c r="G1238" t="inlineStr">
        <is>
          <t>New</t>
        </is>
      </c>
      <c r="I1238">
        <f>IF(H1238&lt;&gt;"",H1238,G1238)</f>
        <v/>
      </c>
      <c r="J1238" t="inlineStr">
        <is>
          <t>Wave 5 · Performance</t>
        </is>
      </c>
      <c r="K1238" t="n">
        <v>5</v>
      </c>
      <c r="L1238" t="n">
        <v>1</v>
      </c>
      <c r="M1238" s="5" t="inlineStr">
        <is>
          <t>As a new manager, I want my new reports' pending reviews, PIPs and 1-on-1s handed to me with a list so that nothing is lost.</t>
        </is>
      </c>
      <c r="N1238" s="5" t="inlineStr">
        <is>
          <t>• Given Ravi's manager leaves while his manager review is pending, when the change is effective, then the stage moves to the new manager (YX-PERF-13).
• Given the move, when the new manager opens Ravi's current cycle, then they can read his self review and 360° feedback (YX-PERF-13).
• Given private 1-on-1 notes, when the move happens, then they stay with their author; shared notes and open actions move (YX-PERF-13).
• Given each transfer, when it happens, then it is logged and shown on a hand-over list to the new manager and HR (YX-PERF-13).</t>
        </is>
      </c>
      <c r="O1238" s="5" t="inlineStr">
        <is>
          <t>YX-PERF-13</t>
        </is>
      </c>
      <c r="P1238" t="inlineStr">
        <is>
          <t>M06</t>
        </is>
      </c>
      <c r="Q1238" t="inlineStr">
        <is>
          <t>US-D-166, US-D-161</t>
        </is>
      </c>
      <c r="R1238" s="5" t="inlineStr"/>
    </row>
    <row r="1239">
      <c r="A1239" s="9" t="inlineStr">
        <is>
          <t>FT-D-038</t>
        </is>
      </c>
      <c r="B1239" s="9" t="n">
        <v>1162</v>
      </c>
      <c r="C1239" s="9" t="inlineStr">
        <is>
          <t>Feature</t>
        </is>
      </c>
      <c r="D1239" s="10" t="inlineStr">
        <is>
          <t xml:space="preserve">    Compensation review and pay transparency</t>
        </is>
      </c>
      <c r="E1239" s="9" t="inlineStr">
        <is>
          <t>Performance, skills and career growth</t>
        </is>
      </c>
      <c r="F1239" s="9" t="inlineStr">
        <is>
          <t>Compensation review and pay transparency</t>
        </is>
      </c>
      <c r="G1239" s="9" t="inlineStr">
        <is>
          <t>New</t>
        </is>
      </c>
      <c r="H1239" s="9" t="n"/>
      <c r="I1239" s="9">
        <f>IF(H1239&lt;&gt;"",H1239,G1239)</f>
        <v/>
      </c>
      <c r="J1239" s="9" t="inlineStr">
        <is>
          <t>Wave 5 · Performance</t>
        </is>
      </c>
      <c r="K1239" s="9" t="n"/>
      <c r="L1239" s="9" t="n"/>
      <c r="M1239" s="10" t="inlineStr"/>
      <c r="N1239" s="10" t="inlineStr"/>
      <c r="O1239" s="10" t="inlineStr"/>
      <c r="P1239" s="9" t="inlineStr">
        <is>
          <t>M06, M03, P06</t>
        </is>
      </c>
      <c r="Q1239" s="9" t="inlineStr"/>
      <c r="R1239" s="10" t="inlineStr"/>
      <c r="S1239" s="9" t="n"/>
    </row>
    <row r="1240">
      <c r="A1240" t="inlineStr">
        <is>
          <t>US-D-172</t>
        </is>
      </c>
      <c r="B1240" t="n">
        <v>1163</v>
      </c>
      <c r="C1240" t="inlineStr">
        <is>
          <t>Story</t>
        </is>
      </c>
      <c r="D1240" s="5" t="inlineStr">
        <is>
          <t xml:space="preserve">        HR opens a comp review with a matrix and budgets</t>
        </is>
      </c>
      <c r="E1240" t="inlineStr">
        <is>
          <t>Performance, skills and career growth</t>
        </is>
      </c>
      <c r="F1240" t="inlineStr">
        <is>
          <t>Compensation review and pay transparency</t>
        </is>
      </c>
      <c r="G1240" t="inlineStr">
        <is>
          <t>New</t>
        </is>
      </c>
      <c r="I1240">
        <f>IF(H1240&lt;&gt;"",H1240,G1240)</f>
        <v/>
      </c>
      <c r="J1240" t="inlineStr">
        <is>
          <t>Wave 5 · Performance</t>
        </is>
      </c>
      <c r="K1240" t="n">
        <v>5</v>
      </c>
      <c r="L1240" t="n">
        <v>1</v>
      </c>
      <c r="M1240" s="5" t="inlineStr">
        <is>
          <t>As an HR admin, I want a comp review that suggests increments from rating and compa-ratio with department budgets so that pay decisions are consistent.</t>
        </is>
      </c>
      <c r="N1240" s="5" t="inlineStr">
        <is>
          <t>• Given a matrix of rating band × compa-ratio, when a row shows 'Exceeds' at 0.85, then 10–14 % is suggested (YX-PERF-10).
• Given department budgets, when proposals are entered, then used and remaining budget update (M06 §4).
• Given a manager owns the comp review, when they open it, then they see team pay only inside it, scoped and audited (M06 Q6).</t>
        </is>
      </c>
      <c r="O1240" s="5" t="inlineStr">
        <is>
          <t>YX-PERF-10</t>
        </is>
      </c>
      <c r="P1240" t="inlineStr">
        <is>
          <t>M06, M03, P06</t>
        </is>
      </c>
      <c r="Q1240" t="inlineStr">
        <is>
          <t>US-D-169</t>
        </is>
      </c>
      <c r="R1240" s="5" t="inlineStr"/>
    </row>
    <row r="1241">
      <c r="A1241" t="inlineStr">
        <is>
          <t>US-D-173</t>
        </is>
      </c>
      <c r="B1241" t="n">
        <v>1164</v>
      </c>
      <c r="C1241" t="inlineStr">
        <is>
          <t>Story</t>
        </is>
      </c>
      <c r="D1241" s="5" t="inlineStr">
        <is>
          <t xml:space="preserve">        Approved proposals become dated pay changes and letters</t>
        </is>
      </c>
      <c r="E1241" t="inlineStr">
        <is>
          <t>Performance, skills and career growth</t>
        </is>
      </c>
      <c r="F1241" t="inlineStr">
        <is>
          <t>Compensation review and pay transparency</t>
        </is>
      </c>
      <c r="G1241" t="inlineStr">
        <is>
          <t>New</t>
        </is>
      </c>
      <c r="I1241">
        <f>IF(H1241&lt;&gt;"",H1241,G1241)</f>
        <v/>
      </c>
      <c r="J1241" t="inlineStr">
        <is>
          <t>Wave 5 · Performance</t>
        </is>
      </c>
      <c r="K1241" t="n">
        <v>3</v>
      </c>
      <c r="L1241" t="n">
        <v>1</v>
      </c>
      <c r="M1241" s="5" t="inlineStr">
        <is>
          <t>As a finance approver, I want out-of-range proposals justified and approved ones turned into pay changes so that the trail is clear.</t>
        </is>
      </c>
      <c r="N1241" s="5" t="inlineStr">
        <is>
          <t>• Given a 20 % proposal above the range, when entered, then a justification and an extra approval are required (YX-PERF-10).
• Given approval, when done, then a dated compensation or promotion change (P06) and a letter (P05) are created (YX-PERF-10).
• Given increments, when computed, then eligibility proration applies (YX-PERF-21).</t>
        </is>
      </c>
      <c r="O1241" s="5" t="inlineStr">
        <is>
          <t>YX-PERF-10, YX-PERF-21</t>
        </is>
      </c>
      <c r="P1241" t="inlineStr">
        <is>
          <t>M06, M03, P06</t>
        </is>
      </c>
      <c r="Q1241" t="inlineStr">
        <is>
          <t>US-D-172</t>
        </is>
      </c>
      <c r="R1241" s="5" t="inlineStr"/>
    </row>
    <row r="1242">
      <c r="A1242" t="inlineStr">
        <is>
          <t>US-D-174</t>
        </is>
      </c>
      <c r="B1242" t="n">
        <v>1165</v>
      </c>
      <c r="C1242" t="inlineStr">
        <is>
          <t>Story</t>
        </is>
      </c>
      <c r="D1242" s="5" t="inlineStr">
        <is>
          <t xml:space="preserve">        HR sees the pay-equity panel in the comp review</t>
        </is>
      </c>
      <c r="E1242" t="inlineStr">
        <is>
          <t>Performance, skills and career growth</t>
        </is>
      </c>
      <c r="F1242" t="inlineStr">
        <is>
          <t>Compensation review and pay transparency</t>
        </is>
      </c>
      <c r="G1242" t="inlineStr">
        <is>
          <t>New</t>
        </is>
      </c>
      <c r="I1242">
        <f>IF(H1242&lt;&gt;"",H1242,G1242)</f>
        <v/>
      </c>
      <c r="J1242" t="inlineStr">
        <is>
          <t>Wave 5 · Performance</t>
        </is>
      </c>
      <c r="K1242" t="n">
        <v>5</v>
      </c>
      <c r="L1242" t="n">
        <v>2</v>
      </c>
      <c r="M1242" s="5" t="inlineStr">
        <is>
          <t>As an HR admin, I want pay gaps by gender, grade, role and location before and after proposals so that we fix unfair pay.</t>
        </is>
      </c>
      <c r="N1242" s="5" t="inlineStr">
        <is>
          <t>• Given the comp sheet, when the panel opens, then mean and median, raw and adjusted gaps show before and after proposals (YX-PERF-18).
• Given a location with 3 women, when shown or exported, then the group shows 'suppressed' (YX-PERF-18).
• Given an employee more than 10 % below the grade-and-role median, when listed, then an advisory flag shows and nothing is adjusted automatically (YX-PERF-18).
• Given a manager in their own comp review, when they view the panel, then they see only the 'after' gap for their team, with suppression (YX-PERF-18).</t>
        </is>
      </c>
      <c r="O1242" s="5" t="inlineStr">
        <is>
          <t>YX-PERF-18</t>
        </is>
      </c>
      <c r="P1242" t="inlineStr">
        <is>
          <t>M06, M03, P06</t>
        </is>
      </c>
      <c r="Q1242" t="inlineStr">
        <is>
          <t>US-D-172</t>
        </is>
      </c>
      <c r="R1242" s="5" t="inlineStr"/>
    </row>
    <row r="1243">
      <c r="A1243" t="inlineStr">
        <is>
          <t>US-D-175</t>
        </is>
      </c>
      <c r="B1243" t="n">
        <v>1166</v>
      </c>
      <c r="C1243" t="inlineStr">
        <is>
          <t>Story</t>
        </is>
      </c>
      <c r="D1243" s="5" t="inlineStr">
        <is>
          <t xml:space="preserve">        Employee sees their own pay band</t>
        </is>
      </c>
      <c r="E1243" t="inlineStr">
        <is>
          <t>Performance, skills and career growth</t>
        </is>
      </c>
      <c r="F1243" t="inlineStr">
        <is>
          <t>Compensation review and pay transparency</t>
        </is>
      </c>
      <c r="G1243" t="inlineStr">
        <is>
          <t>New</t>
        </is>
      </c>
      <c r="I1243">
        <f>IF(H1243&lt;&gt;"",H1243,G1243)</f>
        <v/>
      </c>
      <c r="J1243" t="inlineStr">
        <is>
          <t>Wave 5 · Performance</t>
        </is>
      </c>
      <c r="K1243" t="n">
        <v>3</v>
      </c>
      <c r="L1243" t="n">
        <v>2</v>
      </c>
      <c r="M1243" s="5" t="inlineStr">
        <is>
          <t>As an employee, I want to see my grade's pay range and where I sit in it so that I understand my pay.</t>
        </is>
      </c>
      <c r="N1243" s="5" t="inlineStr">
        <is>
          <t>• Given the setting on (starter ON), when a G5 employee opens it, then she sees ₹12–18 L and 'within, 2nd quartile' (YX-PERF-22).
• Given any colleague's pay, when the employee looks, then it is never shown (YX-PERF-22).
• Given a grade with no range, when opened, then 'no range set' shows (YX-PERF-22).
• Given the pay-gap engine, when legal reports run, then gender pay-gap figures come from P09 metrics with suppression (YX-PERF-22).</t>
        </is>
      </c>
      <c r="O1243" s="5" t="inlineStr">
        <is>
          <t>YX-PERF-22</t>
        </is>
      </c>
      <c r="P1243" t="inlineStr">
        <is>
          <t>M06, M03, P06</t>
        </is>
      </c>
      <c r="Q1243" t="inlineStr">
        <is>
          <t>US-D-174</t>
        </is>
      </c>
      <c r="R1243" s="5" t="inlineStr"/>
    </row>
    <row r="1244">
      <c r="A1244" s="9" t="inlineStr">
        <is>
          <t>FT-D-039</t>
        </is>
      </c>
      <c r="B1244" s="9" t="n">
        <v>1168</v>
      </c>
      <c r="C1244" s="9" t="inlineStr">
        <is>
          <t>Feature</t>
        </is>
      </c>
      <c r="D1244" s="10" t="inlineStr">
        <is>
          <t xml:space="preserve">    Performance improvement plans</t>
        </is>
      </c>
      <c r="E1244" s="9" t="inlineStr">
        <is>
          <t>Performance, skills and career growth</t>
        </is>
      </c>
      <c r="F1244" s="9" t="inlineStr">
        <is>
          <t>Performance improvement plans</t>
        </is>
      </c>
      <c r="G1244" s="9" t="inlineStr">
        <is>
          <t>New</t>
        </is>
      </c>
      <c r="H1244" s="9" t="n"/>
      <c r="I1244" s="9">
        <f>IF(H1244&lt;&gt;"",H1244,G1244)</f>
        <v/>
      </c>
      <c r="J1244" s="9" t="inlineStr">
        <is>
          <t>Wave 5 · Performance</t>
        </is>
      </c>
      <c r="K1244" s="9" t="n"/>
      <c r="L1244" s="9" t="n"/>
      <c r="M1244" s="10" t="inlineStr"/>
      <c r="N1244" s="10" t="inlineStr"/>
      <c r="O1244" s="10" t="inlineStr"/>
      <c r="P1244" s="9" t="inlineStr">
        <is>
          <t>M06</t>
        </is>
      </c>
      <c r="Q1244" s="9" t="inlineStr"/>
      <c r="R1244" s="10" t="inlineStr"/>
      <c r="S1244" s="9" t="n"/>
    </row>
    <row r="1245">
      <c r="A1245" t="inlineStr">
        <is>
          <t>US-D-176</t>
        </is>
      </c>
      <c r="B1245" t="n">
        <v>1169</v>
      </c>
      <c r="C1245" t="inlineStr">
        <is>
          <t>Story</t>
        </is>
      </c>
      <c r="D1245" s="5" t="inlineStr">
        <is>
          <t xml:space="preserve">        Manager proposes a PIP that HR approves</t>
        </is>
      </c>
      <c r="E1245" t="inlineStr">
        <is>
          <t>Performance, skills and career growth</t>
        </is>
      </c>
      <c r="F1245" t="inlineStr">
        <is>
          <t>Performance improvement plans</t>
        </is>
      </c>
      <c r="G1245" t="inlineStr">
        <is>
          <t>New</t>
        </is>
      </c>
      <c r="I1245">
        <f>IF(H1245&lt;&gt;"",H1245,G1245)</f>
        <v/>
      </c>
      <c r="J1245" t="inlineStr">
        <is>
          <t>Wave 5 · Performance</t>
        </is>
      </c>
      <c r="K1245" t="n">
        <v>3</v>
      </c>
      <c r="L1245" t="n">
        <v>1</v>
      </c>
      <c r="M1245" s="5" t="inlineStr">
        <is>
          <t>As a manager, I want to propose a PIP with goals and support that HR approves so that the process is fair.</t>
        </is>
      </c>
      <c r="N1245" s="5" t="inlineStr">
        <is>
          <t>• Given a manager proposes a PIP (30 / 60 / 90 days) with goals and support, when submitted, then it needs HR approval to start (YX-PERF-11).
• Given approval, when the plan starts, then fixed check-ins are scheduled with reminders and the employee acknowledges the plan (YX-PERF-11).
• Given the PIP, when anyone else looks, then only the employee, manager chain and HR can see it (M06 Q7).</t>
        </is>
      </c>
      <c r="O1245" s="5" t="inlineStr">
        <is>
          <t>YX-PERF-11</t>
        </is>
      </c>
      <c r="P1245" t="inlineStr">
        <is>
          <t>M06</t>
        </is>
      </c>
      <c r="Q1245" t="inlineStr">
        <is>
          <t>US-D-160</t>
        </is>
      </c>
      <c r="R1245" s="5" t="inlineStr"/>
    </row>
    <row r="1246">
      <c r="A1246" t="inlineStr">
        <is>
          <t>US-D-177</t>
        </is>
      </c>
      <c r="B1246" t="n">
        <v>1170</v>
      </c>
      <c r="C1246" t="inlineStr">
        <is>
          <t>Story</t>
        </is>
      </c>
      <c r="D1246" s="5" t="inlineStr">
        <is>
          <t xml:space="preserve">        PIP ends with a recorded outcome</t>
        </is>
      </c>
      <c r="E1246" t="inlineStr">
        <is>
          <t>Performance, skills and career growth</t>
        </is>
      </c>
      <c r="F1246" t="inlineStr">
        <is>
          <t>Performance improvement plans</t>
        </is>
      </c>
      <c r="G1246" t="inlineStr">
        <is>
          <t>New</t>
        </is>
      </c>
      <c r="I1246">
        <f>IF(H1246&lt;&gt;"",H1246,G1246)</f>
        <v/>
      </c>
      <c r="J1246" t="inlineStr">
        <is>
          <t>Wave 5 · Performance</t>
        </is>
      </c>
      <c r="K1246" t="n">
        <v>2</v>
      </c>
      <c r="L1246" t="n">
        <v>1</v>
      </c>
      <c r="M1246" s="5" t="inlineStr">
        <is>
          <t>As an HR admin, I want each PIP to end as met, extended or not met so that the next step is recorded.</t>
        </is>
      </c>
      <c r="N1246" s="5" t="inlineStr">
        <is>
          <t>• Given the end date, when the manager records the outcome, then it is met / extended / not met (YX-PERF-11).
• Given 'not met', when recorded, then HR decides the next step and may open an M01 exit case, never automatically (YX-PERF-11).
• Given an open PIP, when an exit case opens, then the exit pre-check flags it (YX-LC-23).</t>
        </is>
      </c>
      <c r="O1246" s="5" t="inlineStr">
        <is>
          <t>YX-PERF-11</t>
        </is>
      </c>
      <c r="P1246" t="inlineStr">
        <is>
          <t>M06</t>
        </is>
      </c>
      <c r="Q1246" t="inlineStr">
        <is>
          <t>US-D-176</t>
        </is>
      </c>
      <c r="R1246" s="5" t="inlineStr"/>
    </row>
    <row r="1247">
      <c r="A1247" s="9" t="inlineStr">
        <is>
          <t>FT-D-040</t>
        </is>
      </c>
      <c r="B1247" s="9" t="n">
        <v>1265</v>
      </c>
      <c r="C1247" s="9" t="inlineStr">
        <is>
          <t>Feature</t>
        </is>
      </c>
      <c r="D1247" s="10" t="inlineStr">
        <is>
          <t xml:space="preserve">    Career paths and development plans</t>
        </is>
      </c>
      <c r="E1247" s="9" t="inlineStr">
        <is>
          <t>Performance, skills and career growth</t>
        </is>
      </c>
      <c r="F1247" s="9" t="inlineStr">
        <is>
          <t>Career paths and development plans</t>
        </is>
      </c>
      <c r="G1247" s="9" t="inlineStr">
        <is>
          <t>New</t>
        </is>
      </c>
      <c r="H1247" s="9" t="n"/>
      <c r="I1247" s="9">
        <f>IF(H1247&lt;&gt;"",H1247,G1247)</f>
        <v/>
      </c>
      <c r="J1247" s="9" t="inlineStr">
        <is>
          <t>Wave 5 · Performance</t>
        </is>
      </c>
      <c r="K1247" s="9" t="n"/>
      <c r="L1247" s="9" t="n"/>
      <c r="M1247" s="10" t="inlineStr"/>
      <c r="N1247" s="10" t="inlineStr"/>
      <c r="O1247" s="10" t="inlineStr"/>
      <c r="P1247" s="9" t="inlineStr">
        <is>
          <t>M06, M07</t>
        </is>
      </c>
      <c r="Q1247" s="9" t="inlineStr"/>
      <c r="R1247" s="10" t="inlineStr"/>
      <c r="S1247" s="9" t="n"/>
    </row>
    <row r="1248">
      <c r="A1248" t="inlineStr">
        <is>
          <t>US-D-178</t>
        </is>
      </c>
      <c r="B1248" t="n">
        <v>1266</v>
      </c>
      <c r="C1248" t="inlineStr">
        <is>
          <t>Story</t>
        </is>
      </c>
      <c r="D1248" s="5" t="inlineStr">
        <is>
          <t xml:space="preserve">        Employee explores career paths and sees skill gaps</t>
        </is>
      </c>
      <c r="E1248" t="inlineStr">
        <is>
          <t>Performance, skills and career growth</t>
        </is>
      </c>
      <c r="F1248" t="inlineStr">
        <is>
          <t>Career paths and development plans</t>
        </is>
      </c>
      <c r="G1248" t="inlineStr">
        <is>
          <t>New</t>
        </is>
      </c>
      <c r="I1248">
        <f>IF(H1248&lt;&gt;"",H1248,G1248)</f>
        <v/>
      </c>
      <c r="J1248" t="inlineStr">
        <is>
          <t>Wave 5 · Performance</t>
        </is>
      </c>
      <c r="K1248" t="n">
        <v>5</v>
      </c>
      <c r="L1248" t="n">
        <v>2</v>
      </c>
      <c r="M1248" s="5" t="inlineStr">
        <is>
          <t>As an employee, I want to see the next roles on my career path and my gap for each so that I know what to learn.</t>
        </is>
      </c>
      <c r="N1248" s="5" t="inlineStr">
        <is>
          <t>• Given company paths (starter IC and manager tracks), when the employee opens My career on desk or mobile, then next roles show from their designation (YX-PERF-15).
• Given a next role, when shown, then the gap per competency = required − current level, and missing ratings show 'not assessed', never 0 (YX-PERF-15).
• Given a gap, when the employee taps 'add to IDP', then it is added in one click (YX-PERF-15).
• Given a path, when viewed, then it never promotes anyone; promotions come only from comp review / P06 (YX-PERF-15).</t>
        </is>
      </c>
      <c r="O1248" s="5" t="inlineStr">
        <is>
          <t>YX-PERF-15</t>
        </is>
      </c>
      <c r="P1248" t="inlineStr">
        <is>
          <t>M06, M07</t>
        </is>
      </c>
      <c r="Q1248" t="inlineStr">
        <is>
          <t>US-D-159</t>
        </is>
      </c>
      <c r="R1248" s="5" t="inlineStr"/>
    </row>
    <row r="1249">
      <c r="A1249" t="inlineStr">
        <is>
          <t>US-D-179</t>
        </is>
      </c>
      <c r="B1249" t="n">
        <v>1267</v>
      </c>
      <c r="C1249" t="inlineStr">
        <is>
          <t>Story</t>
        </is>
      </c>
      <c r="D1249" s="5" t="inlineStr">
        <is>
          <t xml:space="preserve">        Employee drafts an IDP and the manager approves it</t>
        </is>
      </c>
      <c r="E1249" t="inlineStr">
        <is>
          <t>Performance, skills and career growth</t>
        </is>
      </c>
      <c r="F1249" t="inlineStr">
        <is>
          <t>Career paths and development plans</t>
        </is>
      </c>
      <c r="G1249" t="inlineStr">
        <is>
          <t>New</t>
        </is>
      </c>
      <c r="I1249">
        <f>IF(H1249&lt;&gt;"",H1249,G1249)</f>
        <v/>
      </c>
      <c r="J1249" t="inlineStr">
        <is>
          <t>Wave 5 · Performance</t>
        </is>
      </c>
      <c r="K1249" t="n">
        <v>5</v>
      </c>
      <c r="L1249" t="n">
        <v>2</v>
      </c>
      <c r="M1249" s="5" t="inlineStr">
        <is>
          <t>As an employee, I want a development plan with goals, skills, courses and actions that my manager approves so that my growth is planned.</t>
        </is>
      </c>
      <c r="N1249" s="5" t="inlineStr">
        <is>
          <t>• Given a period, when the employee drafts an IDP, then at most one active IDP exists for that period (YX-PERF-14).
• Given manager approval (P03), when a course item exists, then an M07 enrolment request is created and follows M07 approval and budget rules (YX-PERF-14).
• Given the course is completed, when `learning.enrolment.completed` arrives, then the item turns done and the competency updates (YX-PERF-14).
• Given a competency item, when the rating reaches the target level, then it is done (YX-PERF-14).</t>
        </is>
      </c>
      <c r="O1249" s="5" t="inlineStr">
        <is>
          <t>YX-PERF-14</t>
        </is>
      </c>
      <c r="P1249" t="inlineStr">
        <is>
          <t>M06, M07</t>
        </is>
      </c>
      <c r="Q1249" t="inlineStr">
        <is>
          <t>US-D-178, US-D-188</t>
        </is>
      </c>
      <c r="R1249" s="5" t="inlineStr"/>
    </row>
    <row r="1250">
      <c r="A1250" t="inlineStr">
        <is>
          <t>US-D-180</t>
        </is>
      </c>
      <c r="B1250" t="n">
        <v>1268</v>
      </c>
      <c r="C1250" t="inlineStr">
        <is>
          <t>Story</t>
        </is>
      </c>
      <c r="D1250" s="5" t="inlineStr">
        <is>
          <t xml:space="preserve">        Mentor accepts and sees only their IDP items</t>
        </is>
      </c>
      <c r="E1250" t="inlineStr">
        <is>
          <t>Performance, skills and career growth</t>
        </is>
      </c>
      <c r="F1250" t="inlineStr">
        <is>
          <t>Career paths and development plans</t>
        </is>
      </c>
      <c r="G1250" t="inlineStr">
        <is>
          <t>New</t>
        </is>
      </c>
      <c r="I1250">
        <f>IF(H1250&lt;&gt;"",H1250,G1250)</f>
        <v/>
      </c>
      <c r="J1250" t="inlineStr">
        <is>
          <t>Wave 5 · Performance</t>
        </is>
      </c>
      <c r="K1250" t="n">
        <v>3</v>
      </c>
      <c r="L1250" t="n">
        <v>2</v>
      </c>
      <c r="M1250" s="5" t="inlineStr">
        <is>
          <t>As a mentor, I want to accept a mentoring request and see only my items so that the mentee's privacy is kept.</t>
        </is>
      </c>
      <c r="N1250" s="5" t="inlineStr">
        <is>
          <t>• Given a mentor item, when the mentor accepts, then it becomes active (YX-PERF-14).
• Given the mentor, when they open the IDP, then they see only the items naming them, never ratings (YX-PERF-14).
• Given IDP check-ins, when held, then they reuse 1-on-1s (YX-PERF-14).
• Given the employee's manager changes, when effective, then the IDP follows the hand-over rule (YX-PERF-13).</t>
        </is>
      </c>
      <c r="O1250" s="5" t="inlineStr">
        <is>
          <t>YX-PERF-14</t>
        </is>
      </c>
      <c r="P1250" t="inlineStr">
        <is>
          <t>M06, M07</t>
        </is>
      </c>
      <c r="Q1250" t="inlineStr">
        <is>
          <t>US-D-179</t>
        </is>
      </c>
      <c r="R1250" s="5" t="inlineStr"/>
    </row>
    <row r="1251">
      <c r="A1251" s="9" t="inlineStr">
        <is>
          <t>FT-D-041</t>
        </is>
      </c>
      <c r="B1251" s="9" t="n">
        <v>1450</v>
      </c>
      <c r="C1251" s="9" t="inlineStr">
        <is>
          <t>Feature</t>
        </is>
      </c>
      <c r="D1251" s="10" t="inlineStr">
        <is>
          <t xml:space="preserve">    Talent, risk and market data</t>
        </is>
      </c>
      <c r="E1251" s="9" t="inlineStr">
        <is>
          <t>Performance, skills and career growth</t>
        </is>
      </c>
      <c r="F1251" s="9" t="inlineStr">
        <is>
          <t>Talent, risk and market data</t>
        </is>
      </c>
      <c r="G1251" s="9" t="inlineStr">
        <is>
          <t>New</t>
        </is>
      </c>
      <c r="H1251" s="9" t="n"/>
      <c r="I1251" s="9">
        <f>IF(H1251&lt;&gt;"",H1251,G1251)</f>
        <v/>
      </c>
      <c r="J1251" s="9" t="inlineStr">
        <is>
          <t>Wave 6 · Performance</t>
        </is>
      </c>
      <c r="K1251" s="9" t="n"/>
      <c r="L1251" s="9" t="n"/>
      <c r="M1251" s="10" t="inlineStr"/>
      <c r="N1251" s="10" t="inlineStr"/>
      <c r="O1251" s="10" t="inlineStr"/>
      <c r="P1251" s="9" t="inlineStr">
        <is>
          <t>M06, M01, P10</t>
        </is>
      </c>
      <c r="Q1251" s="9" t="inlineStr"/>
      <c r="R1251" s="10" t="inlineStr"/>
      <c r="S1251" s="9" t="n"/>
    </row>
    <row r="1252">
      <c r="A1252" t="inlineStr">
        <is>
          <t>US-D-181</t>
        </is>
      </c>
      <c r="B1252" t="n">
        <v>1451</v>
      </c>
      <c r="C1252" t="inlineStr">
        <is>
          <t>Story</t>
        </is>
      </c>
      <c r="D1252" s="5" t="inlineStr">
        <is>
          <t xml:space="preserve">        HR uses the 9-box and optional enforced distribution</t>
        </is>
      </c>
      <c r="E1252" t="inlineStr">
        <is>
          <t>Performance, skills and career growth</t>
        </is>
      </c>
      <c r="F1252" t="inlineStr">
        <is>
          <t>Talent, risk and market data</t>
        </is>
      </c>
      <c r="G1252" t="inlineStr">
        <is>
          <t>New</t>
        </is>
      </c>
      <c r="I1252">
        <f>IF(H1252&lt;&gt;"",H1252,G1252)</f>
        <v/>
      </c>
      <c r="J1252" t="inlineStr">
        <is>
          <t>Wave 6 · Performance</t>
        </is>
      </c>
      <c r="K1252" t="n">
        <v>5</v>
      </c>
      <c r="L1252" t="n">
        <v>2</v>
      </c>
      <c r="M1252" s="5" t="inlineStr">
        <is>
          <t>As an HR admin, I want a 9-box of performance and potential and an optional enforced distribution so that talent reviews are structured.</t>
        </is>
      </c>
      <c r="N1252" s="5" t="inlineStr">
        <is>
          <t>• Given a potential rating added to the review, when calibration opens, then the 9-box view shows people by performance × potential (M06 Q5).
• Given the company turns on enforced distribution, when the group breaks it, then calibration shows the variance and each change still needs a reason (M06 Q5, YX-PERF-08).
• Given protected leave, when distribution is counted, then those people are not counted (YX-PERF-21).</t>
        </is>
      </c>
      <c r="O1252" s="5" t="inlineStr">
        <is>
          <t>YX-PERF-08</t>
        </is>
      </c>
      <c r="P1252" t="inlineStr">
        <is>
          <t>M06, M01, P10</t>
        </is>
      </c>
      <c r="Q1252" t="inlineStr">
        <is>
          <t>US-D-168</t>
        </is>
      </c>
      <c r="R1252" s="5" t="inlineStr"/>
    </row>
    <row r="1253">
      <c r="A1253" t="inlineStr">
        <is>
          <t>US-D-182</t>
        </is>
      </c>
      <c r="B1253" t="n">
        <v>1452</v>
      </c>
      <c r="C1253" t="inlineStr">
        <is>
          <t>Story</t>
        </is>
      </c>
      <c r="D1253" s="5" t="inlineStr">
        <is>
          <t xml:space="preserve">        HR adds people to talent pools and proposes successors</t>
        </is>
      </c>
      <c r="E1253" t="inlineStr">
        <is>
          <t>Performance, skills and career growth</t>
        </is>
      </c>
      <c r="F1253" t="inlineStr">
        <is>
          <t>Talent, risk and market data</t>
        </is>
      </c>
      <c r="G1253" t="inlineStr">
        <is>
          <t>New</t>
        </is>
      </c>
      <c r="I1253">
        <f>IF(H1253&lt;&gt;"",H1253,G1253)</f>
        <v/>
      </c>
      <c r="J1253" t="inlineStr">
        <is>
          <t>Wave 6 · Performance</t>
        </is>
      </c>
      <c r="K1253" t="n">
        <v>5</v>
      </c>
      <c r="L1253" t="n">
        <v>2</v>
      </c>
      <c r="M1253" s="5" t="inlineStr">
        <is>
          <t>As an HR admin, I want confidential talent pools and to propose members as successors so that we have leaders ready.</t>
        </is>
      </c>
      <c r="N1253" s="5" t="inlineStr">
        <is>
          <t>• Given a 9-box or calibration outcome or a nomination, when HR adds someone to a pool, then a reason is required and audited (YX-PERF-16).
• Given pool membership, when anyone other than HR or leadership looks, then it is hidden; the employee is told only if 'tell pool members' is on (YX-PERF-16).
• Given a pool member, when HR proposes them as successor, then readiness is kept in M01 `succession_candidates` and shown here read-only, with their IDP linked (YX-PERF-16).</t>
        </is>
      </c>
      <c r="O1253" s="5" t="inlineStr">
        <is>
          <t>YX-PERF-16</t>
        </is>
      </c>
      <c r="P1253" t="inlineStr">
        <is>
          <t>M06, M01, P10</t>
        </is>
      </c>
      <c r="Q1253" t="inlineStr">
        <is>
          <t>US-D-181</t>
        </is>
      </c>
      <c r="R1253" s="5" t="inlineStr"/>
    </row>
    <row r="1254">
      <c r="A1254" t="inlineStr">
        <is>
          <t>US-D-183</t>
        </is>
      </c>
      <c r="B1254" t="n">
        <v>1453</v>
      </c>
      <c r="C1254" t="inlineStr">
        <is>
          <t>Story</t>
        </is>
      </c>
      <c r="D1254" s="5" t="inlineStr">
        <is>
          <t xml:space="preserve">        HR sees an advisory attrition-risk band</t>
        </is>
      </c>
      <c r="E1254" t="inlineStr">
        <is>
          <t>Performance, skills and career growth</t>
        </is>
      </c>
      <c r="F1254" t="inlineStr">
        <is>
          <t>Talent, risk and market data</t>
        </is>
      </c>
      <c r="G1254" t="inlineStr">
        <is>
          <t>New</t>
        </is>
      </c>
      <c r="I1254">
        <f>IF(H1254&lt;&gt;"",H1254,G1254)</f>
        <v/>
      </c>
      <c r="J1254" t="inlineStr">
        <is>
          <t>Wave 6 · Performance</t>
        </is>
      </c>
      <c r="K1254" t="n">
        <v>8</v>
      </c>
      <c r="L1254" t="n">
        <v>3</v>
      </c>
      <c r="M1254" s="5" t="inlineStr">
        <is>
          <t>As an HR admin, I want an attrition-risk band with top factors, for HR only, so that I can act before good people leave.</t>
        </is>
      </c>
      <c r="N1254" s="5" t="inlineStr">
        <is>
          <t>• Given the company opted in, when monthly scoring runs, then it runs in-region from permitted inputs only (tenure, time since increment, compa-ratio, rating trend, manager changes, mobility, survey aggregates) (YX-PERF-17).
• Given Special data, protected attributes or individual survey answers, when scoring runs, then they are never used (YX-PERF-17).
• Given a manager opens Arun's profile, when they look, then no band shows; HR sees 'High — 26 months since last increment, compa-ratio 0.82', and every view is audited (YX-PERF-17).
• Given a high band, when it is set, then no workflow, notification, rating, pay or exit step is triggered; HR logs actions by hand (YX-PERF-17).</t>
        </is>
      </c>
      <c r="O1254" s="5" t="inlineStr">
        <is>
          <t>YX-PERF-17</t>
        </is>
      </c>
      <c r="P1254" t="inlineStr">
        <is>
          <t>M06, M01, P10</t>
        </is>
      </c>
      <c r="Q1254" t="inlineStr">
        <is>
          <t>US-D-169</t>
        </is>
      </c>
      <c r="R1254" s="5" t="inlineStr"/>
    </row>
    <row r="1255">
      <c r="A1255" t="inlineStr">
        <is>
          <t>US-D-184</t>
        </is>
      </c>
      <c r="B1255" t="n">
        <v>1454</v>
      </c>
      <c r="C1255" t="inlineStr">
        <is>
          <t>Story</t>
        </is>
      </c>
      <c r="D1255" s="5" t="inlineStr">
        <is>
          <t xml:space="preserve">        HR adds market pay benchmarks to the comp review</t>
        </is>
      </c>
      <c r="E1255" t="inlineStr">
        <is>
          <t>Performance, skills and career growth</t>
        </is>
      </c>
      <c r="F1255" t="inlineStr">
        <is>
          <t>Talent, risk and market data</t>
        </is>
      </c>
      <c r="G1255" t="inlineStr">
        <is>
          <t>New</t>
        </is>
      </c>
      <c r="I1255">
        <f>IF(H1255&lt;&gt;"",H1255,G1255)</f>
        <v/>
      </c>
      <c r="J1255" t="inlineStr">
        <is>
          <t>Wave 6 · Performance</t>
        </is>
      </c>
      <c r="K1255" t="n">
        <v>5</v>
      </c>
      <c r="L1255" t="n">
        <v>3</v>
      </c>
      <c r="M1255" s="5" t="inlineStr">
        <is>
          <t>As an HR admin, I want market P25–P75 ranges in the comp sheet from a partner feed or our own survey so that pay is competitive.</t>
        </is>
      </c>
      <c r="N1255" s="5" t="inlineStr">
        <is>
          <t>• Given no add-on, when HR uploads its own survey, then the comp sheet shows the market range and ratio with the upload date (YX-PERF-19).
• Given the partner feed add-on, when queried, then only job-code queries go out and no employee data is sent (YX-PERF-19).
• Given HR maps designation / grade / location to job codes, when the sheet loads, then market ratio = pay ÷ P50 shows beside compa-ratio (YX-PERF-19).
• Given data older than the company-set age, when shown, then it is marked stale (YX-PERF-19).</t>
        </is>
      </c>
      <c r="O1255" s="5" t="inlineStr">
        <is>
          <t>YX-PERF-19</t>
        </is>
      </c>
      <c r="P1255" t="inlineStr">
        <is>
          <t>M06, M01, P10</t>
        </is>
      </c>
      <c r="Q1255" t="inlineStr">
        <is>
          <t>US-D-172</t>
        </is>
      </c>
      <c r="R1255" s="5" t="inlineStr"/>
    </row>
    <row r="1256">
      <c r="A1256" s="7" t="inlineStr">
        <is>
          <t>EP-D-08</t>
        </is>
      </c>
      <c r="B1256" s="7" t="n">
        <v>1210</v>
      </c>
      <c r="C1256" s="7" t="inlineStr">
        <is>
          <t>Epic</t>
        </is>
      </c>
      <c r="D1256" s="8" t="inlineStr">
        <is>
          <t>Learning and development</t>
        </is>
      </c>
      <c r="E1256" s="7" t="inlineStr">
        <is>
          <t>Learning and development</t>
        </is>
      </c>
      <c r="F1256" s="7" t="inlineStr"/>
      <c r="G1256" s="7" t="inlineStr">
        <is>
          <t>New</t>
        </is>
      </c>
      <c r="H1256" s="7" t="n"/>
      <c r="I1256" s="7">
        <f>IF(H1256&lt;&gt;"",H1256,G1256)</f>
        <v/>
      </c>
      <c r="J1256" s="7" t="inlineStr">
        <is>
          <t>Wave 5 · Learning</t>
        </is>
      </c>
      <c r="K1256" s="7" t="n"/>
      <c r="L1256" s="7" t="n"/>
      <c r="M1256" s="8" t="inlineStr"/>
      <c r="N1256" s="8" t="inlineStr"/>
      <c r="O1256" s="8" t="inlineStr"/>
      <c r="P1256" s="7" t="inlineStr">
        <is>
          <t>M07</t>
        </is>
      </c>
      <c r="Q1256" s="7" t="inlineStr"/>
      <c r="R1256" s="8" t="inlineStr"/>
      <c r="S1256" s="7" t="n"/>
    </row>
    <row r="1257">
      <c r="A1257" s="9" t="inlineStr">
        <is>
          <t>FT-D-042</t>
        </is>
      </c>
      <c r="B1257" s="9" t="n">
        <v>1210</v>
      </c>
      <c r="C1257" s="9" t="inlineStr">
        <is>
          <t>Feature</t>
        </is>
      </c>
      <c r="D1257" s="10" t="inlineStr">
        <is>
          <t xml:space="preserve">    Courses and catalogue</t>
        </is>
      </c>
      <c r="E1257" s="9" t="inlineStr">
        <is>
          <t>Learning and development</t>
        </is>
      </c>
      <c r="F1257" s="9" t="inlineStr">
        <is>
          <t>Courses and catalogue</t>
        </is>
      </c>
      <c r="G1257" s="9" t="inlineStr">
        <is>
          <t>New</t>
        </is>
      </c>
      <c r="H1257" s="9" t="n"/>
      <c r="I1257" s="9">
        <f>IF(H1257&lt;&gt;"",H1257,G1257)</f>
        <v/>
      </c>
      <c r="J1257" s="9" t="inlineStr">
        <is>
          <t>Wave 5 · Learning</t>
        </is>
      </c>
      <c r="K1257" s="9" t="n"/>
      <c r="L1257" s="9" t="n"/>
      <c r="M1257" s="10" t="inlineStr"/>
      <c r="N1257" s="10" t="inlineStr"/>
      <c r="O1257" s="10" t="inlineStr"/>
      <c r="P1257" s="9" t="inlineStr">
        <is>
          <t>M07</t>
        </is>
      </c>
      <c r="Q1257" s="9" t="inlineStr"/>
      <c r="R1257" s="10" t="inlineStr"/>
      <c r="S1257" s="9" t="n"/>
    </row>
    <row r="1258">
      <c r="A1258" t="inlineStr">
        <is>
          <t>US-D-185</t>
        </is>
      </c>
      <c r="B1258" t="n">
        <v>1211</v>
      </c>
      <c r="C1258" t="inlineStr">
        <is>
          <t>Story</t>
        </is>
      </c>
      <c r="D1258" s="5" t="inlineStr">
        <is>
          <t xml:space="preserve">        L&amp;D builds a course with content, assessment and certificate</t>
        </is>
      </c>
      <c r="E1258" t="inlineStr">
        <is>
          <t>Learning and development</t>
        </is>
      </c>
      <c r="F1258" t="inlineStr">
        <is>
          <t>Courses and catalogue</t>
        </is>
      </c>
      <c r="G1258" t="inlineStr">
        <is>
          <t>New</t>
        </is>
      </c>
      <c r="I1258">
        <f>IF(H1258&lt;&gt;"",H1258,G1258)</f>
        <v/>
      </c>
      <c r="J1258" t="inlineStr">
        <is>
          <t>Wave 5 · Learning</t>
        </is>
      </c>
      <c r="K1258" t="n">
        <v>5</v>
      </c>
      <c r="L1258" t="n">
        <v>1</v>
      </c>
      <c r="M1258" s="5" t="inlineStr">
        <is>
          <t>As an L&amp;D admin, I want to build session, self-paced or assessment-only courses with competency mapping and a certificate so that training is reusable.</t>
        </is>
      </c>
      <c r="N1258" s="5" t="inlineStr">
        <is>
          <t>• Given the course builder, when L&amp;D adds items (video, PDF, link, SCORM, assessment from the question bank), then order and required flags are saved (M07 §3).
• Given a competency mapping with level gained, when saved, then completions will update the profile (YX-LRN-03).
• Given a certificate template and validity, when set, then completions issue certificates (YX-LRN-02).
• Given learning paths, when L&amp;D orders courses into a path, then completing the path can award a certificate (M07 §3).</t>
        </is>
      </c>
      <c r="O1258" s="5" t="inlineStr">
        <is>
          <t>YX-LRN-03, YX-LRN-02</t>
        </is>
      </c>
      <c r="P1258" t="inlineStr">
        <is>
          <t>M07</t>
        </is>
      </c>
      <c r="Q1258" t="inlineStr">
        <is>
          <t>US-D-159</t>
        </is>
      </c>
      <c r="R1258" s="5" t="inlineStr"/>
    </row>
    <row r="1259">
      <c r="A1259" t="inlineStr">
        <is>
          <t>US-D-186</t>
        </is>
      </c>
      <c r="B1259" t="n">
        <v>1212</v>
      </c>
      <c r="C1259" t="inlineStr">
        <is>
          <t>Story</t>
        </is>
      </c>
      <c r="D1259" s="5" t="inlineStr">
        <is>
          <t xml:space="preserve">        Employee plays a SCORM course</t>
        </is>
      </c>
      <c r="E1259" t="inlineStr">
        <is>
          <t>Learning and development</t>
        </is>
      </c>
      <c r="F1259" t="inlineStr">
        <is>
          <t>Courses and catalogue</t>
        </is>
      </c>
      <c r="G1259" t="inlineStr">
        <is>
          <t>New</t>
        </is>
      </c>
      <c r="I1259">
        <f>IF(H1259&lt;&gt;"",H1259,G1259)</f>
        <v/>
      </c>
      <c r="J1259" t="inlineStr">
        <is>
          <t>Wave 5 · Learning</t>
        </is>
      </c>
      <c r="K1259" t="n">
        <v>5</v>
      </c>
      <c r="L1259" t="n">
        <v>1</v>
      </c>
      <c r="M1259" s="5" t="inlineStr">
        <is>
          <t>As an employee, I want SCORM courses to play in the app and record my progress so that vendor content works.</t>
        </is>
      </c>
      <c r="N1259" s="5" t="inlineStr">
        <is>
          <t>• Given a SCORM 1.2 / 2004 package, when launched, then it runs in a sandboxed player (YX-LRN-09).
• Given the package reports completion and score, when it does, then the enrolment uses them (YX-LRN-09).
• Given the runtime state, when the employee leaves and returns, then they resume where they stopped (M07 §4).</t>
        </is>
      </c>
      <c r="O1259" s="5" t="inlineStr">
        <is>
          <t>YX-LRN-09</t>
        </is>
      </c>
      <c r="P1259" t="inlineStr">
        <is>
          <t>M07</t>
        </is>
      </c>
      <c r="Q1259" t="inlineStr">
        <is>
          <t>US-D-185</t>
        </is>
      </c>
      <c r="R1259" s="5" t="inlineStr"/>
    </row>
    <row r="1260">
      <c r="A1260" t="inlineStr">
        <is>
          <t>US-D-187</t>
        </is>
      </c>
      <c r="B1260" t="n">
        <v>1213</v>
      </c>
      <c r="C1260" t="inlineStr">
        <is>
          <t>Story</t>
        </is>
      </c>
      <c r="D1260" s="5" t="inlineStr">
        <is>
          <t xml:space="preserve">        Employee sees My learning on the phone</t>
        </is>
      </c>
      <c r="E1260" t="inlineStr">
        <is>
          <t>Learning and development</t>
        </is>
      </c>
      <c r="F1260" t="inlineStr">
        <is>
          <t>Courses and catalogue</t>
        </is>
      </c>
      <c r="G1260" t="inlineStr">
        <is>
          <t>New</t>
        </is>
      </c>
      <c r="I1260">
        <f>IF(H1260&lt;&gt;"",H1260,G1260)</f>
        <v/>
      </c>
      <c r="J1260" t="inlineStr">
        <is>
          <t>Wave 5 · Learning</t>
        </is>
      </c>
      <c r="K1260" t="n">
        <v>3</v>
      </c>
      <c r="L1260" t="n">
        <v>1</v>
      </c>
      <c r="M1260" s="5" t="inlineStr">
        <is>
          <t>As an employee, I want My learning to show assigned courses, a continue card and certificates so that I keep up on the phone.</t>
        </is>
      </c>
      <c r="N1260" s="5" t="inlineStr">
        <is>
          <t>• Given assigned courses, when My learning opens, then due dates and a continue-learning card show (M07 §7).
• Given the catalogue, when browsed, then the employee can self-enrol (M07 Q2).
• Given certificates, when listed, then each opens the P05 document (YX-LRN-02).
• Given mobile, when used, then every learning flow works there (YX-MOB-01).</t>
        </is>
      </c>
      <c r="O1260" s="5" t="inlineStr">
        <is>
          <t>YX-MOB-01</t>
        </is>
      </c>
      <c r="P1260" t="inlineStr">
        <is>
          <t>M07</t>
        </is>
      </c>
      <c r="Q1260" t="inlineStr">
        <is>
          <t>US-D-185</t>
        </is>
      </c>
      <c r="R1260" s="5" t="inlineStr"/>
    </row>
    <row r="1261">
      <c r="A1261" s="9" t="inlineStr">
        <is>
          <t>FT-D-043</t>
        </is>
      </c>
      <c r="B1261" s="9" t="n">
        <v>1215</v>
      </c>
      <c r="C1261" s="9" t="inlineStr">
        <is>
          <t>Feature</t>
        </is>
      </c>
      <c r="D1261" s="10" t="inlineStr">
        <is>
          <t xml:space="preserve">    Enrolment and sessions</t>
        </is>
      </c>
      <c r="E1261" s="9" t="inlineStr">
        <is>
          <t>Learning and development</t>
        </is>
      </c>
      <c r="F1261" s="9" t="inlineStr">
        <is>
          <t>Enrolment and sessions</t>
        </is>
      </c>
      <c r="G1261" s="9" t="inlineStr">
        <is>
          <t>New</t>
        </is>
      </c>
      <c r="H1261" s="9" t="n"/>
      <c r="I1261" s="9">
        <f>IF(H1261&lt;&gt;"",H1261,G1261)</f>
        <v/>
      </c>
      <c r="J1261" s="9" t="inlineStr">
        <is>
          <t>Wave 5 · Learning</t>
        </is>
      </c>
      <c r="K1261" s="9" t="n"/>
      <c r="L1261" s="9" t="n"/>
      <c r="M1261" s="10" t="inlineStr"/>
      <c r="N1261" s="10" t="inlineStr"/>
      <c r="O1261" s="10" t="inlineStr"/>
      <c r="P1261" s="9" t="inlineStr">
        <is>
          <t>M07</t>
        </is>
      </c>
      <c r="Q1261" s="9" t="inlineStr"/>
      <c r="R1261" s="10" t="inlineStr"/>
      <c r="S1261" s="9" t="n"/>
    </row>
    <row r="1262">
      <c r="A1262" t="inlineStr">
        <is>
          <t>US-D-188</t>
        </is>
      </c>
      <c r="B1262" t="n">
        <v>1216</v>
      </c>
      <c r="C1262" t="inlineStr">
        <is>
          <t>Story</t>
        </is>
      </c>
      <c r="D1262" s="5" t="inlineStr">
        <is>
          <t xml:space="preserve">        Employee enrols or is nominated with approval and a budget check</t>
        </is>
      </c>
      <c r="E1262" t="inlineStr">
        <is>
          <t>Learning and development</t>
        </is>
      </c>
      <c r="F1262" t="inlineStr">
        <is>
          <t>Enrolment and sessions</t>
        </is>
      </c>
      <c r="G1262" t="inlineStr">
        <is>
          <t>New</t>
        </is>
      </c>
      <c r="I1262">
        <f>IF(H1262&lt;&gt;"",H1262,G1262)</f>
        <v/>
      </c>
      <c r="J1262" t="inlineStr">
        <is>
          <t>Wave 5 · Learning</t>
        </is>
      </c>
      <c r="K1262" t="n">
        <v>3</v>
      </c>
      <c r="L1262" t="n">
        <v>1</v>
      </c>
      <c r="M1262" s="5" t="inlineStr">
        <is>
          <t>As a manager, I want to nominate my team or approve their self-enrolment with a budget check so that spend stays in budget.</t>
        </is>
      </c>
      <c r="N1262" s="5" t="inlineStr">
        <is>
          <t>• Given a course needing approval, when an employee self-enrols or is nominated, then it goes through P03 (YX-LRN-07).
• Given cost, when checked against the department FY budget, then it warns or blocks per company setting (YX-LRN-07).
• Given a nomination, when the employee declines with a reason, then the manager sees it; mandatory courses can't be declined (M07 Q2).
• Given a course with an assessment, when enrolled, then a T03 employee test invitation is created automatically and shows in Me › My tests (M07 §3).</t>
        </is>
      </c>
      <c r="O1262" s="5" t="inlineStr">
        <is>
          <t>YX-LRN-07</t>
        </is>
      </c>
      <c r="P1262" t="inlineStr">
        <is>
          <t>M07</t>
        </is>
      </c>
      <c r="Q1262" t="inlineStr">
        <is>
          <t>US-D-185</t>
        </is>
      </c>
      <c r="R1262" s="5" t="inlineStr"/>
    </row>
    <row r="1263">
      <c r="A1263" t="inlineStr">
        <is>
          <t>US-D-189</t>
        </is>
      </c>
      <c r="B1263" t="n">
        <v>1217</v>
      </c>
      <c r="C1263" t="inlineStr">
        <is>
          <t>Story</t>
        </is>
      </c>
      <c r="D1263" s="5" t="inlineStr">
        <is>
          <t xml:space="preserve">        L&amp;D schedules a session with seats and a waitlist</t>
        </is>
      </c>
      <c r="E1263" t="inlineStr">
        <is>
          <t>Learning and development</t>
        </is>
      </c>
      <c r="F1263" t="inlineStr">
        <is>
          <t>Enrolment and sessions</t>
        </is>
      </c>
      <c r="G1263" t="inlineStr">
        <is>
          <t>New</t>
        </is>
      </c>
      <c r="I1263">
        <f>IF(H1263&lt;&gt;"",H1263,G1263)</f>
        <v/>
      </c>
      <c r="J1263" t="inlineStr">
        <is>
          <t>Wave 5 · Learning</t>
        </is>
      </c>
      <c r="K1263" t="n">
        <v>3</v>
      </c>
      <c r="L1263" t="n">
        <v>1</v>
      </c>
      <c r="M1263" s="5" t="inlineStr">
        <is>
          <t>As an L&amp;D admin, I want sessions with seat limits and a waitlist so that classes don't overflow.</t>
        </is>
      </c>
      <c r="N1263" s="5" t="inlineStr">
        <is>
          <t>• Given 20 seats, when the 21st person enrols, then they go on the waitlist (YX-LRN-06).
• Given someone withdraws, when it happens, then the next waitlisted person is promoted and notified (YX-LRN-06).
• Given the session page, when opened, then attendees, attendance, results, feedback and cost are all on one record (YX-LRN-08).
• Given an employee exits, when their LWD comes, then their future seats are released (M01 §3.7).</t>
        </is>
      </c>
      <c r="O1263" s="5" t="inlineStr">
        <is>
          <t>YX-LRN-06, YX-LRN-08</t>
        </is>
      </c>
      <c r="P1263" t="inlineStr">
        <is>
          <t>M07</t>
        </is>
      </c>
      <c r="Q1263" t="inlineStr">
        <is>
          <t>US-D-188</t>
        </is>
      </c>
      <c r="R1263" s="5" t="inlineStr"/>
    </row>
    <row r="1264">
      <c r="A1264" t="inlineStr">
        <is>
          <t>US-D-190</t>
        </is>
      </c>
      <c r="B1264" t="n">
        <v>1218</v>
      </c>
      <c r="C1264" t="inlineStr">
        <is>
          <t>Story</t>
        </is>
      </c>
      <c r="D1264" s="5" t="inlineStr">
        <is>
          <t xml:space="preserve">        Trainer marks attendance by rotating QR</t>
        </is>
      </c>
      <c r="E1264" t="inlineStr">
        <is>
          <t>Learning and development</t>
        </is>
      </c>
      <c r="F1264" t="inlineStr">
        <is>
          <t>Enrolment and sessions</t>
        </is>
      </c>
      <c r="G1264" t="inlineStr">
        <is>
          <t>New</t>
        </is>
      </c>
      <c r="I1264">
        <f>IF(H1264&lt;&gt;"",H1264,G1264)</f>
        <v/>
      </c>
      <c r="J1264" t="inlineStr">
        <is>
          <t>Wave 5 · Learning</t>
        </is>
      </c>
      <c r="K1264" t="n">
        <v>3</v>
      </c>
      <c r="L1264" t="n">
        <v>1</v>
      </c>
      <c r="M1264" s="5" t="inlineStr">
        <is>
          <t>As a trainer, I want attendees to scan a rotating QR so that attendance is quick and honest.</t>
        </is>
      </c>
      <c r="N1264" s="5" t="inlineStr">
        <is>
          <t>• Given the trainer shows a rotating QR, when an employee scans it in the app, then the slot is marked present (M07 Q7).
• Given staff without phones, when they attend, then they mark attendance at the kiosk with code + PIN or the trainer marks them (M07 Q7).
• Given attendance below the threshold (default 75 %), when results are entered, then the person is not completed, and an absent attendee stays 'No-show' (YX-LRN-01).</t>
        </is>
      </c>
      <c r="O1264" s="5" t="inlineStr">
        <is>
          <t>YX-LRN-01</t>
        </is>
      </c>
      <c r="P1264" t="inlineStr">
        <is>
          <t>M07</t>
        </is>
      </c>
      <c r="Q1264" t="inlineStr">
        <is>
          <t>US-D-189</t>
        </is>
      </c>
      <c r="R1264" s="5" t="inlineStr"/>
    </row>
    <row r="1265">
      <c r="A1265" t="inlineStr">
        <is>
          <t>US-D-191</t>
        </is>
      </c>
      <c r="B1265" t="n">
        <v>1219</v>
      </c>
      <c r="C1265" t="inlineStr">
        <is>
          <t>Story</t>
        </is>
      </c>
      <c r="D1265" s="5" t="inlineStr">
        <is>
          <t xml:space="preserve">        External trainer uses a limited login</t>
        </is>
      </c>
      <c r="E1265" t="inlineStr">
        <is>
          <t>Learning and development</t>
        </is>
      </c>
      <c r="F1265" t="inlineStr">
        <is>
          <t>Enrolment and sessions</t>
        </is>
      </c>
      <c r="G1265" t="inlineStr">
        <is>
          <t>New</t>
        </is>
      </c>
      <c r="I1265">
        <f>IF(H1265&lt;&gt;"",H1265,G1265)</f>
        <v/>
      </c>
      <c r="J1265" t="inlineStr">
        <is>
          <t>Wave 5 · Learning</t>
        </is>
      </c>
      <c r="K1265" t="n">
        <v>2</v>
      </c>
      <c r="L1265" t="n">
        <v>2</v>
      </c>
      <c r="M1265" s="5" t="inlineStr">
        <is>
          <t>As an external trainer, I want a simple login to my sessions so that I can mark attendance and results.</t>
        </is>
      </c>
      <c r="N1265" s="5" t="inlineStr">
        <is>
          <t>• Given an external trainer, when they sign in by email OTP, then they see only their sessions: attendee names, attendance, results and feedback summary (M07 Q6).
• Given the trainer, when billing runs, then they are not a billed seat (M07 Q6).
• Given N days after the session's last date, when they try to sign in, then access has ended (M07 Q6).</t>
        </is>
      </c>
      <c r="O1265" s="5" t="inlineStr"/>
      <c r="P1265" t="inlineStr">
        <is>
          <t>M07</t>
        </is>
      </c>
      <c r="Q1265" t="inlineStr">
        <is>
          <t>US-D-189</t>
        </is>
      </c>
      <c r="R1265" s="5" t="inlineStr"/>
    </row>
    <row r="1266">
      <c r="A1266" t="inlineStr">
        <is>
          <t>US-D-192</t>
        </is>
      </c>
      <c r="B1266" t="n">
        <v>1220</v>
      </c>
      <c r="C1266" t="inlineStr">
        <is>
          <t>Story</t>
        </is>
      </c>
      <c r="D1266" s="5" t="inlineStr">
        <is>
          <t xml:space="preserve">        Virtual session creates the Zoom, Teams or Meet meeting automatically</t>
        </is>
      </c>
      <c r="E1266" t="inlineStr">
        <is>
          <t>Learning and development</t>
        </is>
      </c>
      <c r="F1266" t="inlineStr">
        <is>
          <t>Enrolment and sessions</t>
        </is>
      </c>
      <c r="G1266" t="inlineStr">
        <is>
          <t>New</t>
        </is>
      </c>
      <c r="I1266">
        <f>IF(H1266&lt;&gt;"",H1266,G1266)</f>
        <v/>
      </c>
      <c r="J1266" t="inlineStr">
        <is>
          <t>Wave 5 · Learning</t>
        </is>
      </c>
      <c r="K1266" t="n">
        <v>5</v>
      </c>
      <c r="L1266" t="n">
        <v>2</v>
      </c>
      <c r="M1266" s="5" t="inlineStr">
        <is>
          <t>As an L&amp;D admin, I want the meeting created and kept in sync when I schedule a virtual class so that I don't manage links by hand.</t>
        </is>
      </c>
      <c r="N1266" s="5" t="inlineStr">
        <is>
          <t>• Given a virtual session (starter on), when scheduled, then the meeting is created on the organiser's connected account and invites go to attendees (YX-LRN-11).
• Given a reschedule from 3 pm to 4 pm, when saved, then the same meeting and every invite update (YX-LRN-11).
• Given the participant report, when imported, then an attendee who joined 10 of 60 minutes is absent for that slot, and the trainer confirms before completion (YX-LRN-11).
• Given a connector without reports, when the class ends, then the join-link log is used (YX-LRN-11).</t>
        </is>
      </c>
      <c r="O1266" s="5" t="inlineStr">
        <is>
          <t>YX-LRN-11</t>
        </is>
      </c>
      <c r="P1266" t="inlineStr">
        <is>
          <t>M07, P10</t>
        </is>
      </c>
      <c r="Q1266" t="inlineStr">
        <is>
          <t>US-D-189</t>
        </is>
      </c>
      <c r="R1266" s="5" t="inlineStr"/>
    </row>
    <row r="1267">
      <c r="A1267" s="9" t="inlineStr">
        <is>
          <t>FT-D-044</t>
        </is>
      </c>
      <c r="B1267" s="9" t="n">
        <v>1222</v>
      </c>
      <c r="C1267" s="9" t="inlineStr">
        <is>
          <t>Feature</t>
        </is>
      </c>
      <c r="D1267" s="10" t="inlineStr">
        <is>
          <t xml:space="preserve">    Completion and certification</t>
        </is>
      </c>
      <c r="E1267" s="9" t="inlineStr">
        <is>
          <t>Learning and development</t>
        </is>
      </c>
      <c r="F1267" s="9" t="inlineStr">
        <is>
          <t>Completion and certification</t>
        </is>
      </c>
      <c r="G1267" s="9" t="inlineStr">
        <is>
          <t>New</t>
        </is>
      </c>
      <c r="H1267" s="9" t="n"/>
      <c r="I1267" s="9">
        <f>IF(H1267&lt;&gt;"",H1267,G1267)</f>
        <v/>
      </c>
      <c r="J1267" s="9" t="inlineStr">
        <is>
          <t>Wave 5 · Learning</t>
        </is>
      </c>
      <c r="K1267" s="9" t="n"/>
      <c r="L1267" s="9" t="n"/>
      <c r="M1267" s="10" t="inlineStr"/>
      <c r="N1267" s="10" t="inlineStr"/>
      <c r="O1267" s="10" t="inlineStr"/>
      <c r="P1267" s="9" t="inlineStr">
        <is>
          <t>M07, P05</t>
        </is>
      </c>
      <c r="Q1267" s="9" t="inlineStr"/>
      <c r="R1267" s="10" t="inlineStr"/>
      <c r="S1267" s="9" t="n"/>
    </row>
    <row r="1268">
      <c r="A1268" t="inlineStr">
        <is>
          <t>US-D-193</t>
        </is>
      </c>
      <c r="B1268" t="n">
        <v>1223</v>
      </c>
      <c r="C1268" t="inlineStr">
        <is>
          <t>Story</t>
        </is>
      </c>
      <c r="D1268" s="5" t="inlineStr">
        <is>
          <t xml:space="preserve">        Completion follows the course criteria</t>
        </is>
      </c>
      <c r="E1268" t="inlineStr">
        <is>
          <t>Learning and development</t>
        </is>
      </c>
      <c r="F1268" t="inlineStr">
        <is>
          <t>Completion and certification</t>
        </is>
      </c>
      <c r="G1268" t="inlineStr">
        <is>
          <t>New</t>
        </is>
      </c>
      <c r="I1268">
        <f>IF(H1268&lt;&gt;"",H1268,G1268)</f>
        <v/>
      </c>
      <c r="J1268" t="inlineStr">
        <is>
          <t>Wave 5 · Learning</t>
        </is>
      </c>
      <c r="K1268" t="n">
        <v>3</v>
      </c>
      <c r="L1268" t="n">
        <v>1</v>
      </c>
      <c r="M1268" s="5" t="inlineStr">
        <is>
          <t>As an L&amp;D admin, I want completion only when the criteria are met so that records are true.</t>
        </is>
      </c>
      <c r="N1268" s="5" t="inlineStr">
        <is>
          <t>• Given a session course, when attendance is at or above the threshold, then it can complete (YX-LRN-01).
• Given a self-paced course, when all required items are done, then it completes (YX-LRN-01).
• Given an attached assessment, when the T03 result is below the pass score, then it is not completed (YX-LRN-01).
• Given completion, when recorded, then `learning.enrolment.completed` is emitted (M07 §6).</t>
        </is>
      </c>
      <c r="O1268" s="5" t="inlineStr">
        <is>
          <t>YX-LRN-01</t>
        </is>
      </c>
      <c r="P1268" t="inlineStr">
        <is>
          <t>M07, P05</t>
        </is>
      </c>
      <c r="Q1268" t="inlineStr">
        <is>
          <t>US-D-190, US-D-186</t>
        </is>
      </c>
      <c r="R1268" s="5" t="inlineStr"/>
    </row>
    <row r="1269">
      <c r="A1269" t="inlineStr">
        <is>
          <t>US-D-194</t>
        </is>
      </c>
      <c r="B1269" t="n">
        <v>1224</v>
      </c>
      <c r="C1269" t="inlineStr">
        <is>
          <t>Story</t>
        </is>
      </c>
      <c r="D1269" s="5" t="inlineStr">
        <is>
          <t xml:space="preserve">        Completion issues a certificate and updates skills</t>
        </is>
      </c>
      <c r="E1269" t="inlineStr">
        <is>
          <t>Learning and development</t>
        </is>
      </c>
      <c r="F1269" t="inlineStr">
        <is>
          <t>Completion and certification</t>
        </is>
      </c>
      <c r="G1269" t="inlineStr">
        <is>
          <t>New</t>
        </is>
      </c>
      <c r="I1269">
        <f>IF(H1269&lt;&gt;"",H1269,G1269)</f>
        <v/>
      </c>
      <c r="J1269" t="inlineStr">
        <is>
          <t>Wave 5 · Learning</t>
        </is>
      </c>
      <c r="K1269" t="n">
        <v>3</v>
      </c>
      <c r="L1269" t="n">
        <v>1</v>
      </c>
      <c r="M1269" s="5" t="inlineStr">
        <is>
          <t>As an employee, I want a certificate and my skill level updated when I complete a course so that I have proof.</t>
        </is>
      </c>
      <c r="N1269" s="5" t="inlineStr">
        <is>
          <t>• Given a course with a certificate template, when completed, then a P05 certificate with a QR code is issued and verifies on the public page (YX-LRN-02).
• Given 'Advanced Excel' mapped to level 3, when completed, then Excel rises from 2 to 3 on the skills profile with evidence linked (YX-LRN-03).
• Given the certificate's validity, when issued, then its expiry date is stored (M07 §4).</t>
        </is>
      </c>
      <c r="O1269" s="5" t="inlineStr">
        <is>
          <t>YX-LRN-02, YX-LRN-03</t>
        </is>
      </c>
      <c r="P1269" t="inlineStr">
        <is>
          <t>M07, P05</t>
        </is>
      </c>
      <c r="Q1269" t="inlineStr">
        <is>
          <t>US-D-193</t>
        </is>
      </c>
      <c r="R1269" s="5" t="inlineStr"/>
    </row>
    <row r="1270">
      <c r="A1270" t="inlineStr">
        <is>
          <t>US-D-195</t>
        </is>
      </c>
      <c r="B1270" t="n">
        <v>1225</v>
      </c>
      <c r="C1270" t="inlineStr">
        <is>
          <t>Story</t>
        </is>
      </c>
      <c r="D1270" s="5" t="inlineStr">
        <is>
          <t xml:space="preserve">        Expiring certifications auto-renew</t>
        </is>
      </c>
      <c r="E1270" t="inlineStr">
        <is>
          <t>Learning and development</t>
        </is>
      </c>
      <c r="F1270" t="inlineStr">
        <is>
          <t>Completion and certification</t>
        </is>
      </c>
      <c r="G1270" t="inlineStr">
        <is>
          <t>New</t>
        </is>
      </c>
      <c r="I1270">
        <f>IF(H1270&lt;&gt;"",H1270,G1270)</f>
        <v/>
      </c>
      <c r="J1270" t="inlineStr">
        <is>
          <t>Wave 5 · Learning</t>
        </is>
      </c>
      <c r="K1270" t="n">
        <v>2</v>
      </c>
      <c r="L1270" t="n">
        <v>1</v>
      </c>
      <c r="M1270" s="5" t="inlineStr">
        <is>
          <t>As a compliance owner, I want renewal enrolments created before expiry and expired ones shown as non-compliant so that nobody works uncertified.</t>
        </is>
      </c>
      <c r="N1270" s="5" t="inlineStr">
        <is>
          <t>• Given a fire-safety certificate expiring 1 Nov, when 30 days before comes, then a renewal enrolment is created on 2 Oct (YX-LRN-05).
• Given a mandatory certification expires, when the dashboard loads, then the person shows non-compliant (YX-LRN-05).
• Given past records imported with expiry dates, when go-live happens, then renewals work from day one (M07 §8).</t>
        </is>
      </c>
      <c r="O1270" s="5" t="inlineStr">
        <is>
          <t>YX-LRN-05</t>
        </is>
      </c>
      <c r="P1270" t="inlineStr">
        <is>
          <t>M07, P05</t>
        </is>
      </c>
      <c r="Q1270" t="inlineStr">
        <is>
          <t>US-D-194</t>
        </is>
      </c>
      <c r="R1270" s="5" t="inlineStr"/>
    </row>
    <row r="1271">
      <c r="A1271" t="inlineStr">
        <is>
          <t>US-D-196</t>
        </is>
      </c>
      <c r="B1271" t="n">
        <v>1226</v>
      </c>
      <c r="C1271" t="inlineStr">
        <is>
          <t>Story</t>
        </is>
      </c>
      <c r="D1271" s="5" t="inlineStr">
        <is>
          <t xml:space="preserve">        Certificate is also issued as an Open Badge</t>
        </is>
      </c>
      <c r="E1271" t="inlineStr">
        <is>
          <t>Learning and development</t>
        </is>
      </c>
      <c r="F1271" t="inlineStr">
        <is>
          <t>Completion and certification</t>
        </is>
      </c>
      <c r="G1271" t="inlineStr">
        <is>
          <t>New</t>
        </is>
      </c>
      <c r="I1271">
        <f>IF(H1271&lt;&gt;"",H1271,G1271)</f>
        <v/>
      </c>
      <c r="J1271" t="inlineStr">
        <is>
          <t>Wave 5 · Learning</t>
        </is>
      </c>
      <c r="K1271" t="n">
        <v>5</v>
      </c>
      <c r="L1271" t="n">
        <v>2</v>
      </c>
      <c r="M1271" s="5" t="inlineStr">
        <is>
          <t>As an employee, I want my certificate as a signed Open Badge that I can share and keep after I leave so that others can trust it.</t>
        </is>
      </c>
      <c r="N1271" s="5" t="inlineStr">
        <is>
          <t>• Given a template with 'also issue as Open Badge', when a certification is issued, then a signed Open Badges 3.0 credential is created with the tenant's issuer key (YX-LRN-13).
• Given the badge, when verified, then the public verify page confirms it (YX-LRN-13).
• Given the certification expires or is revoked, when it happens, then the badge shows expired / revoked; renewal issues a new badge (YX-LRN-13).
• Given the employee exits, when they look later, then they still keep the badge (YX-LRN-13).</t>
        </is>
      </c>
      <c r="O1271" s="5" t="inlineStr">
        <is>
          <t>YX-LRN-13</t>
        </is>
      </c>
      <c r="P1271" t="inlineStr">
        <is>
          <t>M07, P05</t>
        </is>
      </c>
      <c r="Q1271" t="inlineStr">
        <is>
          <t>US-D-194</t>
        </is>
      </c>
      <c r="R1271" s="5" t="inlineStr"/>
    </row>
    <row r="1272">
      <c r="A1272" s="9" t="inlineStr">
        <is>
          <t>FT-D-045</t>
        </is>
      </c>
      <c r="B1272" s="9" t="n">
        <v>1228</v>
      </c>
      <c r="C1272" s="9" t="inlineStr">
        <is>
          <t>Feature</t>
        </is>
      </c>
      <c r="D1272" s="10" t="inlineStr">
        <is>
          <t xml:space="preserve">    Compliance training</t>
        </is>
      </c>
      <c r="E1272" s="9" t="inlineStr">
        <is>
          <t>Learning and development</t>
        </is>
      </c>
      <c r="F1272" s="9" t="inlineStr">
        <is>
          <t>Compliance training</t>
        </is>
      </c>
      <c r="G1272" s="9" t="inlineStr">
        <is>
          <t>New</t>
        </is>
      </c>
      <c r="H1272" s="9" t="n"/>
      <c r="I1272" s="9">
        <f>IF(H1272&lt;&gt;"",H1272,G1272)</f>
        <v/>
      </c>
      <c r="J1272" s="9" t="inlineStr">
        <is>
          <t>Wave 5 · Learning</t>
        </is>
      </c>
      <c r="K1272" s="9" t="n"/>
      <c r="L1272" s="9" t="n"/>
      <c r="M1272" s="10" t="inlineStr"/>
      <c r="N1272" s="10" t="inlineStr"/>
      <c r="O1272" s="10" t="inlineStr"/>
      <c r="P1272" s="9" t="inlineStr">
        <is>
          <t>M07, M08</t>
        </is>
      </c>
      <c r="Q1272" s="9" t="inlineStr"/>
      <c r="R1272" s="10" t="inlineStr"/>
      <c r="S1272" s="9" t="n"/>
    </row>
    <row r="1273">
      <c r="A1273" t="inlineStr">
        <is>
          <t>US-D-197</t>
        </is>
      </c>
      <c r="B1273" t="n">
        <v>1229</v>
      </c>
      <c r="C1273" t="inlineStr">
        <is>
          <t>Story</t>
        </is>
      </c>
      <c r="D1273" s="5" t="inlineStr">
        <is>
          <t xml:space="preserve">        HR sets assignment rules for mandatory training</t>
        </is>
      </c>
      <c r="E1273" t="inlineStr">
        <is>
          <t>Learning and development</t>
        </is>
      </c>
      <c r="F1273" t="inlineStr">
        <is>
          <t>Compliance training</t>
        </is>
      </c>
      <c r="G1273" t="inlineStr">
        <is>
          <t>New</t>
        </is>
      </c>
      <c r="I1273">
        <f>IF(H1273&lt;&gt;"",H1273,G1273)</f>
        <v/>
      </c>
      <c r="J1273" t="inlineStr">
        <is>
          <t>Wave 5 · Learning</t>
        </is>
      </c>
      <c r="K1273" t="n">
        <v>3</v>
      </c>
      <c r="L1273" t="n">
        <v>1</v>
      </c>
      <c r="M1273" s="5" t="inlineStr">
        <is>
          <t>As an HR admin, I want rules like 'all joiners do POSH awareness in 30 days' so that mandatory training is never missed.</t>
        </is>
      </c>
      <c r="N1273" s="5" t="inlineStr">
        <is>
          <t>• Given a rule by entity, location, department, designation, joiner or role change, when evaluated daily and on join / transfer / role change, then enrolments are created with due dates (YX-LRN-04).
• Given a recurrence (e.g. yearly), when the period ends, then a new enrolment is created (YX-LRN-04).
• Given a new joiner due in 30 days, when day 31 comes, then the manager gets an escalation, then HR (YX-LRN-04).
• Given shipped templates (POSH awareness, fire safety, code of conduct, information security), when a company starts, then they are available (M07 §8).</t>
        </is>
      </c>
      <c r="O1273" s="5" t="inlineStr">
        <is>
          <t>YX-LRN-04</t>
        </is>
      </c>
      <c r="P1273" t="inlineStr">
        <is>
          <t>M07, M08</t>
        </is>
      </c>
      <c r="Q1273" t="inlineStr">
        <is>
          <t>US-D-188</t>
        </is>
      </c>
      <c r="R1273" s="5" t="inlineStr"/>
    </row>
    <row r="1274">
      <c r="A1274" t="inlineStr">
        <is>
          <t>US-D-198</t>
        </is>
      </c>
      <c r="B1274" t="n">
        <v>1230</v>
      </c>
      <c r="C1274" t="inlineStr">
        <is>
          <t>Story</t>
        </is>
      </c>
      <c r="D1274" s="5" t="inlineStr">
        <is>
          <t xml:space="preserve">        HR sees the compliance training dashboard</t>
        </is>
      </c>
      <c r="E1274" t="inlineStr">
        <is>
          <t>Learning and development</t>
        </is>
      </c>
      <c r="F1274" t="inlineStr">
        <is>
          <t>Compliance training</t>
        </is>
      </c>
      <c r="G1274" t="inlineStr">
        <is>
          <t>New</t>
        </is>
      </c>
      <c r="I1274">
        <f>IF(H1274&lt;&gt;"",H1274,G1274)</f>
        <v/>
      </c>
      <c r="J1274" t="inlineStr">
        <is>
          <t>Wave 5 · Learning</t>
        </is>
      </c>
      <c r="K1274" t="n">
        <v>3</v>
      </c>
      <c r="L1274" t="n">
        <v>1</v>
      </c>
      <c r="M1274" s="5" t="inlineStr">
        <is>
          <t>As an HR admin, I want a heatmap of department × mandatory course so that I see who is overdue.</t>
        </is>
      </c>
      <c r="N1274" s="5" t="inlineStr">
        <is>
          <t>• Given mandatory courses, when the dashboard opens, then completion % by entity, location and department shows as a heatmap (M07 §7).
• Given overdue people, when HR clicks a cell, then the list opens and can be exported for audits (M07 Q3).
• Given expired certifications, when counted, then they show as non-compliant (YX-LRN-05).
• Given POSH awareness courses from wave 5, when counted, then they feed the POSH annual report (YX-POSH-06).</t>
        </is>
      </c>
      <c r="O1274" s="5" t="inlineStr">
        <is>
          <t>YX-LRN-05, YX-POSH-06</t>
        </is>
      </c>
      <c r="P1274" t="inlineStr">
        <is>
          <t>M07, M08</t>
        </is>
      </c>
      <c r="Q1274" t="inlineStr">
        <is>
          <t>US-D-197, US-D-195</t>
        </is>
      </c>
      <c r="R1274" s="5" t="inlineStr"/>
    </row>
    <row r="1275">
      <c r="A1275" s="9" t="inlineStr">
        <is>
          <t>FT-D-046</t>
        </is>
      </c>
      <c r="B1275" s="9" t="n">
        <v>1232</v>
      </c>
      <c r="C1275" s="9" t="inlineStr">
        <is>
          <t>Feature</t>
        </is>
      </c>
      <c r="D1275" s="10" t="inlineStr">
        <is>
          <t xml:space="preserve">    Training needs, budget, bonds and effectiveness</t>
        </is>
      </c>
      <c r="E1275" s="9" t="inlineStr">
        <is>
          <t>Learning and development</t>
        </is>
      </c>
      <c r="F1275" s="9" t="inlineStr">
        <is>
          <t>Training needs, budget, bonds and effectiveness</t>
        </is>
      </c>
      <c r="G1275" s="9" t="inlineStr">
        <is>
          <t>New</t>
        </is>
      </c>
      <c r="H1275" s="9" t="n"/>
      <c r="I1275" s="9">
        <f>IF(H1275&lt;&gt;"",H1275,G1275)</f>
        <v/>
      </c>
      <c r="J1275" s="9" t="inlineStr">
        <is>
          <t>Wave 5 · Learning</t>
        </is>
      </c>
      <c r="K1275" s="9" t="n"/>
      <c r="L1275" s="9" t="n"/>
      <c r="M1275" s="10" t="inlineStr"/>
      <c r="N1275" s="10" t="inlineStr"/>
      <c r="O1275" s="10" t="inlineStr"/>
      <c r="P1275" s="9" t="inlineStr">
        <is>
          <t>M07, M06, M01</t>
        </is>
      </c>
      <c r="Q1275" s="9" t="inlineStr"/>
      <c r="R1275" s="10" t="inlineStr"/>
      <c r="S1275" s="9" t="n"/>
    </row>
    <row r="1276">
      <c r="A1276" t="inlineStr">
        <is>
          <t>US-D-199</t>
        </is>
      </c>
      <c r="B1276" t="n">
        <v>1233</v>
      </c>
      <c r="C1276" t="inlineStr">
        <is>
          <t>Story</t>
        </is>
      </c>
      <c r="D1276" s="5" t="inlineStr">
        <is>
          <t xml:space="preserve">        L&amp;D plans training needs into courses</t>
        </is>
      </c>
      <c r="E1276" t="inlineStr">
        <is>
          <t>Learning and development</t>
        </is>
      </c>
      <c r="F1276" t="inlineStr">
        <is>
          <t>Training needs, budget, bonds and effectiveness</t>
        </is>
      </c>
      <c r="G1276" t="inlineStr">
        <is>
          <t>New</t>
        </is>
      </c>
      <c r="I1276">
        <f>IF(H1276&lt;&gt;"",H1276,G1276)</f>
        <v/>
      </c>
      <c r="J1276" t="inlineStr">
        <is>
          <t>Wave 5 · Learning</t>
        </is>
      </c>
      <c r="K1276" t="n">
        <v>3</v>
      </c>
      <c r="L1276" t="n">
        <v>2</v>
      </c>
      <c r="M1276" s="5" t="inlineStr">
        <is>
          <t>As an L&amp;D admin, I want needs from reviews, skill gaps, managers and rules collected so that I can plan training.</t>
        </is>
      </c>
      <c r="N1276" s="5" t="inlineStr">
        <is>
          <t>• Given `perf.skill_gap.found` or a review recommendation, when it arrives, then a training need is created (M07 Q4).
• Given managers and employees, when they request training, then a need is created (M07 Q4).
• Given needs, when L&amp;D groups them into a plan with courses, sessions and budget, then enrolments are created and the need is tracked to closure (M07 Q4).</t>
        </is>
      </c>
      <c r="O1276" s="5" t="inlineStr"/>
      <c r="P1276" t="inlineStr">
        <is>
          <t>M07, M06, M01</t>
        </is>
      </c>
      <c r="Q1276" t="inlineStr">
        <is>
          <t>US-D-188, US-D-159</t>
        </is>
      </c>
      <c r="R1276" s="5" t="inlineStr"/>
    </row>
    <row r="1277">
      <c r="A1277" t="inlineStr">
        <is>
          <t>US-D-200</t>
        </is>
      </c>
      <c r="B1277" t="n">
        <v>1234</v>
      </c>
      <c r="C1277" t="inlineStr">
        <is>
          <t>Story</t>
        </is>
      </c>
      <c r="D1277" s="5" t="inlineStr">
        <is>
          <t xml:space="preserve">        Finance tracks department training budgets</t>
        </is>
      </c>
      <c r="E1277" t="inlineStr">
        <is>
          <t>Learning and development</t>
        </is>
      </c>
      <c r="F1277" t="inlineStr">
        <is>
          <t>Training needs, budget, bonds and effectiveness</t>
        </is>
      </c>
      <c r="G1277" t="inlineStr">
        <is>
          <t>New</t>
        </is>
      </c>
      <c r="I1277">
        <f>IF(H1277&lt;&gt;"",H1277,G1277)</f>
        <v/>
      </c>
      <c r="J1277" t="inlineStr">
        <is>
          <t>Wave 5 · Learning</t>
        </is>
      </c>
      <c r="K1277" t="n">
        <v>2</v>
      </c>
      <c r="L1277" t="n">
        <v>2</v>
      </c>
      <c r="M1277" s="5" t="inlineStr">
        <is>
          <t>As a finance user, I want a training budget per department per FY with planned vs spent so that we don't overspend.</t>
        </is>
      </c>
      <c r="N1277" s="5" t="inlineStr">
        <is>
          <t>• Given a department budget, when enrolments with cost are approved, then spent updates (YX-LRN-07).
• Given spend above budget, when a new enrolment is requested, then it warns (default) or blocks per setting (YX-LRN-07).
• Given trainer and course scores, when reports run, then they show in P09 (M07 Q8).</t>
        </is>
      </c>
      <c r="O1277" s="5" t="inlineStr">
        <is>
          <t>YX-LRN-07</t>
        </is>
      </c>
      <c r="P1277" t="inlineStr">
        <is>
          <t>M07, M06, M01</t>
        </is>
      </c>
      <c r="Q1277" t="inlineStr">
        <is>
          <t>US-D-188</t>
        </is>
      </c>
      <c r="R1277" s="5" t="inlineStr"/>
    </row>
    <row r="1278">
      <c r="A1278" t="inlineStr">
        <is>
          <t>US-D-201</t>
        </is>
      </c>
      <c r="B1278" t="n">
        <v>1235</v>
      </c>
      <c r="C1278" t="inlineStr">
        <is>
          <t>Story</t>
        </is>
      </c>
      <c r="D1278" s="5" t="inlineStr">
        <is>
          <t xml:space="preserve">        Employee requests external training with an optional bond</t>
        </is>
      </c>
      <c r="E1278" t="inlineStr">
        <is>
          <t>Learning and development</t>
        </is>
      </c>
      <c r="F1278" t="inlineStr">
        <is>
          <t>Training needs, budget, bonds and effectiveness</t>
        </is>
      </c>
      <c r="G1278" t="inlineStr">
        <is>
          <t>New</t>
        </is>
      </c>
      <c r="I1278">
        <f>IF(H1278&lt;&gt;"",H1278,G1278)</f>
        <v/>
      </c>
      <c r="J1278" t="inlineStr">
        <is>
          <t>Wave 5 · Learning</t>
        </is>
      </c>
      <c r="K1278" t="n">
        <v>3</v>
      </c>
      <c r="L1278" t="n">
        <v>2</v>
      </c>
      <c r="M1278" s="5" t="inlineStr">
        <is>
          <t>As an employee, I want to request a paid external course so that the company can approve and pay for it.</t>
        </is>
      </c>
      <c r="N1278" s="5" t="inlineStr">
        <is>
          <t>• Given an external course or certification, when the employee requests it, then it is approved with its cost through P03 (YX-LRN-07).
• Given a course above the bond threshold, when enrolling, then the employee accepts the bond terms by click-to-accept first (M07 Q5).
• Given the employee leaves within the bond period, when HR confirms (or waives with a reason), then pro-rata recovery is added to F&amp;F (M07 Q5, YX-LC-07).
• Given completion proof uploaded, when approved, then reimbursement goes via M05 or direct company payment (M07 §6).</t>
        </is>
      </c>
      <c r="O1278" s="5" t="inlineStr">
        <is>
          <t>YX-LRN-07, YX-LC-07</t>
        </is>
      </c>
      <c r="P1278" t="inlineStr">
        <is>
          <t>M07, M06, M01</t>
        </is>
      </c>
      <c r="Q1278" t="inlineStr">
        <is>
          <t>US-D-200</t>
        </is>
      </c>
      <c r="R1278" s="5" t="inlineStr"/>
    </row>
    <row r="1279">
      <c r="A1279" t="inlineStr">
        <is>
          <t>US-D-202</t>
        </is>
      </c>
      <c r="B1279" t="n">
        <v>1236</v>
      </c>
      <c r="C1279" t="inlineStr">
        <is>
          <t>Story</t>
        </is>
      </c>
      <c r="D1279" s="5" t="inlineStr">
        <is>
          <t xml:space="preserve">        Learners and managers rate training effectiveness</t>
        </is>
      </c>
      <c r="E1279" t="inlineStr">
        <is>
          <t>Learning and development</t>
        </is>
      </c>
      <c r="F1279" t="inlineStr">
        <is>
          <t>Training needs, budget, bonds and effectiveness</t>
        </is>
      </c>
      <c r="G1279" t="inlineStr">
        <is>
          <t>New</t>
        </is>
      </c>
      <c r="I1279">
        <f>IF(H1279&lt;&gt;"",H1279,G1279)</f>
        <v/>
      </c>
      <c r="J1279" t="inlineStr">
        <is>
          <t>Wave 5 · Learning</t>
        </is>
      </c>
      <c r="K1279" t="n">
        <v>2</v>
      </c>
      <c r="L1279" t="n">
        <v>2</v>
      </c>
      <c r="M1279" s="5" t="inlineStr">
        <is>
          <t>As an L&amp;D admin, I want a reaction survey after training and a manager check after 60 days so that we know training works.</t>
        </is>
      </c>
      <c r="N1279" s="5" t="inlineStr">
        <is>
          <t>• Given a session ends, when feedback is sent, then attendees rate it, comment and score the trainer on the same session record (M07 Q8, YX-LRN-08).
• Given 60 days after (configurable), when the manager check is due, then the manager is asked 'applying the skill?' (M07 Q8).
• Given pre / post tests, when both exist, then their comparison is shown (M07 Q8).</t>
        </is>
      </c>
      <c r="O1279" s="5" t="inlineStr">
        <is>
          <t>YX-LRN-08</t>
        </is>
      </c>
      <c r="P1279" t="inlineStr">
        <is>
          <t>M07, M06, M01</t>
        </is>
      </c>
      <c r="Q1279" t="inlineStr">
        <is>
          <t>US-D-189</t>
        </is>
      </c>
      <c r="R1279" s="5" t="inlineStr"/>
    </row>
    <row r="1280">
      <c r="A1280" s="9" t="inlineStr">
        <is>
          <t>FT-D-047</t>
        </is>
      </c>
      <c r="B1280" s="9" t="n">
        <v>1238</v>
      </c>
      <c r="C1280" s="9" t="inlineStr">
        <is>
          <t>Feature</t>
        </is>
      </c>
      <c r="D1280" s="10" t="inlineStr">
        <is>
          <t xml:space="preserve">    AI course authoring and recommendations</t>
        </is>
      </c>
      <c r="E1280" s="9" t="inlineStr">
        <is>
          <t>Learning and development</t>
        </is>
      </c>
      <c r="F1280" s="9" t="inlineStr">
        <is>
          <t>AI course authoring and recommendations</t>
        </is>
      </c>
      <c r="G1280" s="9" t="inlineStr">
        <is>
          <t>New</t>
        </is>
      </c>
      <c r="H1280" s="9" t="n"/>
      <c r="I1280" s="9">
        <f>IF(H1280&lt;&gt;"",H1280,G1280)</f>
        <v/>
      </c>
      <c r="J1280" s="9" t="inlineStr">
        <is>
          <t>Wave 5 · Learning</t>
        </is>
      </c>
      <c r="K1280" s="9" t="n"/>
      <c r="L1280" s="9" t="n"/>
      <c r="M1280" s="10" t="inlineStr"/>
      <c r="N1280" s="10" t="inlineStr"/>
      <c r="O1280" s="10" t="inlineStr"/>
      <c r="P1280" s="9" t="inlineStr">
        <is>
          <t>M07, P10</t>
        </is>
      </c>
      <c r="Q1280" s="9" t="inlineStr"/>
      <c r="R1280" s="10" t="inlineStr"/>
      <c r="S1280" s="9" t="n"/>
    </row>
    <row r="1281">
      <c r="A1281" t="inlineStr">
        <is>
          <t>US-D-203</t>
        </is>
      </c>
      <c r="B1281" t="n">
        <v>1239</v>
      </c>
      <c r="C1281" t="inlineStr">
        <is>
          <t>Story</t>
        </is>
      </c>
      <c r="D1281" s="5" t="inlineStr">
        <is>
          <t xml:space="preserve">        L&amp;D drafts a course and quiz from a policy with AI</t>
        </is>
      </c>
      <c r="E1281" t="inlineStr">
        <is>
          <t>Learning and development</t>
        </is>
      </c>
      <c r="F1281" t="inlineStr">
        <is>
          <t>AI course authoring and recommendations</t>
        </is>
      </c>
      <c r="G1281" t="inlineStr">
        <is>
          <t>New</t>
        </is>
      </c>
      <c r="I1281">
        <f>IF(H1281&lt;&gt;"",H1281,G1281)</f>
        <v/>
      </c>
      <c r="J1281" t="inlineStr">
        <is>
          <t>Wave 5 · Learning</t>
        </is>
      </c>
      <c r="K1281" t="n">
        <v>5</v>
      </c>
      <c r="L1281" t="n">
        <v>2</v>
      </c>
      <c r="M1281" s="5" t="inlineStr">
        <is>
          <t>As an L&amp;D admin, I want AI to draft a course and quiz from our policy PDF so that I build training faster.</t>
        </is>
      </c>
      <c r="N1281" s="5" t="inlineStr">
        <is>
          <t>• Given selected company documents, when AI drafts, then lessons and questions are labelled 'AI-generated' and cite their source (YX-LRN-15).
• Given a draft, when L&amp;D tries to publish without a named reviewer, then it is refused (YX-LRN-15).
• Given a new version of the source policy, when published, then the course is flagged for review (YX-LRN-15).
• Given AI runs, when used, then AI credits are metered and the documents are treated as untrusted input (YX-LRN-15).</t>
        </is>
      </c>
      <c r="O1281" s="5" t="inlineStr">
        <is>
          <t>YX-LRN-15</t>
        </is>
      </c>
      <c r="P1281" t="inlineStr">
        <is>
          <t>M07, P10</t>
        </is>
      </c>
      <c r="Q1281" t="inlineStr">
        <is>
          <t>US-D-185</t>
        </is>
      </c>
      <c r="R1281" s="5" t="inlineStr"/>
    </row>
    <row r="1282">
      <c r="A1282" t="inlineStr">
        <is>
          <t>US-D-204</t>
        </is>
      </c>
      <c r="B1282" t="n">
        <v>1240</v>
      </c>
      <c r="C1282" t="inlineStr">
        <is>
          <t>Story</t>
        </is>
      </c>
      <c r="D1282" s="5" t="inlineStr">
        <is>
          <t xml:space="preserve">        Employee gets course recommendations with reasons</t>
        </is>
      </c>
      <c r="E1282" t="inlineStr">
        <is>
          <t>Learning and development</t>
        </is>
      </c>
      <c r="F1282" t="inlineStr">
        <is>
          <t>AI course authoring and recommendations</t>
        </is>
      </c>
      <c r="G1282" t="inlineStr">
        <is>
          <t>New</t>
        </is>
      </c>
      <c r="I1282">
        <f>IF(H1282&lt;&gt;"",H1282,G1282)</f>
        <v/>
      </c>
      <c r="J1282" t="inlineStr">
        <is>
          <t>Wave 5 · Learning</t>
        </is>
      </c>
      <c r="K1282" t="n">
        <v>3</v>
      </c>
      <c r="L1282" t="n">
        <v>2</v>
      </c>
      <c r="M1282" s="5" t="inlineStr">
        <is>
          <t>As an employee, I want course suggestions that explain why so that I pick the right ones.</t>
        </is>
      </c>
      <c r="N1282" s="5" t="inlineStr">
        <is>
          <t>• Given a confirmed gap in Excel, when recommendations show, then the course is listed with the reason (e.g. 'gap in Excel for your next role') (YX-LRN-15).
• Given a recommendation, when shown, then the employee is never enrolled automatically (YX-LRN-15).
• Given recommendations, when computed, then only confirmed skills are used, never Special data or ratings (YX-LRN-15, YX-PERF-20).</t>
        </is>
      </c>
      <c r="O1282" s="5" t="inlineStr">
        <is>
          <t>YX-LRN-15</t>
        </is>
      </c>
      <c r="P1282" t="inlineStr">
        <is>
          <t>M07, P10</t>
        </is>
      </c>
      <c r="Q1282" t="inlineStr">
        <is>
          <t>US-D-203, US-D-158</t>
        </is>
      </c>
      <c r="R1282" s="5" t="inlineStr"/>
    </row>
    <row r="1283">
      <c r="A1283" s="9" t="inlineStr">
        <is>
          <t>FT-D-048</t>
        </is>
      </c>
      <c r="B1283" s="9" t="n">
        <v>1455</v>
      </c>
      <c r="C1283" s="9" t="inlineStr">
        <is>
          <t>Feature</t>
        </is>
      </c>
      <c r="D1283" s="10" t="inlineStr">
        <is>
          <t xml:space="preserve">    Content providers, gamification and LTI</t>
        </is>
      </c>
      <c r="E1283" s="9" t="inlineStr">
        <is>
          <t>Learning and development</t>
        </is>
      </c>
      <c r="F1283" s="9" t="inlineStr">
        <is>
          <t>Content providers, gamification and LTI</t>
        </is>
      </c>
      <c r="G1283" s="9" t="inlineStr">
        <is>
          <t>New</t>
        </is>
      </c>
      <c r="H1283" s="9" t="n"/>
      <c r="I1283" s="9">
        <f>IF(H1283&lt;&gt;"",H1283,G1283)</f>
        <v/>
      </c>
      <c r="J1283" s="9" t="inlineStr">
        <is>
          <t>Wave 6 · Learning</t>
        </is>
      </c>
      <c r="K1283" s="9" t="n"/>
      <c r="L1283" s="9" t="n"/>
      <c r="M1283" s="10" t="inlineStr"/>
      <c r="N1283" s="10" t="inlineStr"/>
      <c r="O1283" s="10" t="inlineStr"/>
      <c r="P1283" s="9" t="inlineStr">
        <is>
          <t>M07, P10</t>
        </is>
      </c>
      <c r="Q1283" s="9" t="inlineStr"/>
      <c r="R1283" s="10" t="inlineStr"/>
      <c r="S1283" s="9" t="n"/>
    </row>
    <row r="1284">
      <c r="A1284" t="inlineStr">
        <is>
          <t>US-D-205</t>
        </is>
      </c>
      <c r="B1284" t="n">
        <v>1456</v>
      </c>
      <c r="C1284" t="inlineStr">
        <is>
          <t>Story</t>
        </is>
      </c>
      <c r="D1284" s="5" t="inlineStr">
        <is>
          <t xml:space="preserve">        L&amp;D connects LinkedIn Learning, Coursera or Udemy Business</t>
        </is>
      </c>
      <c r="E1284" t="inlineStr">
        <is>
          <t>Learning and development</t>
        </is>
      </c>
      <c r="F1284" t="inlineStr">
        <is>
          <t>Content providers, gamification and LTI</t>
        </is>
      </c>
      <c r="G1284" t="inlineStr">
        <is>
          <t>New</t>
        </is>
      </c>
      <c r="I1284">
        <f>IF(H1284&lt;&gt;"",H1284,G1284)</f>
        <v/>
      </c>
      <c r="J1284" t="inlineStr">
        <is>
          <t>Wave 6 · Learning</t>
        </is>
      </c>
      <c r="K1284" t="n">
        <v>8</v>
      </c>
      <c r="L1284" t="n">
        <v>3</v>
      </c>
      <c r="M1284" s="5" t="inlineStr">
        <is>
          <t>As an L&amp;D admin, I want our provider catalogue in YukthiX with our own licence so that external courses behave like ours.</t>
        </is>
      </c>
      <c r="N1284" s="5" t="inlineStr">
        <is>
          <t>• Given the company's own licence and credentials, when L&amp;D connects a provider, then its catalogue syncs as external courses usable in rules, paths and IDPs (YX-LRN-10).
• Given an enrolment, when pushed, then only name, work email and course ids are sent (YX-LRN-10).
• Given the provider reports completion for neha@acme.com, when synced, then her enrolment completes and the certificate and competency update (YX-LRN-10).
• Given a provider learner with a personal email, when unmatched, then it goes to the exceptions queue and no employee is created (YX-LRN-10).</t>
        </is>
      </c>
      <c r="O1284" s="5" t="inlineStr">
        <is>
          <t>YX-LRN-10</t>
        </is>
      </c>
      <c r="P1284" t="inlineStr">
        <is>
          <t>M07, P10</t>
        </is>
      </c>
      <c r="Q1284" t="inlineStr">
        <is>
          <t>US-D-193</t>
        </is>
      </c>
      <c r="R1284" s="5" t="inlineStr"/>
    </row>
    <row r="1285">
      <c r="A1285" t="inlineStr">
        <is>
          <t>US-D-206</t>
        </is>
      </c>
      <c r="B1285" t="n">
        <v>1457</v>
      </c>
      <c r="C1285" t="inlineStr">
        <is>
          <t>Story</t>
        </is>
      </c>
      <c r="D1285" s="5" t="inlineStr">
        <is>
          <t xml:space="preserve">        Employee browses one marketplace of all courses</t>
        </is>
      </c>
      <c r="E1285" t="inlineStr">
        <is>
          <t>Learning and development</t>
        </is>
      </c>
      <c r="F1285" t="inlineStr">
        <is>
          <t>Content providers, gamification and LTI</t>
        </is>
      </c>
      <c r="G1285" t="inlineStr">
        <is>
          <t>New</t>
        </is>
      </c>
      <c r="I1285">
        <f>IF(H1285&lt;&gt;"",H1285,G1285)</f>
        <v/>
      </c>
      <c r="J1285" t="inlineStr">
        <is>
          <t>Wave 6 · Learning</t>
        </is>
      </c>
      <c r="K1285" t="n">
        <v>3</v>
      </c>
      <c r="L1285" t="n">
        <v>3</v>
      </c>
      <c r="M1285" s="5" t="inlineStr">
        <is>
          <t>As an employee, I want one catalogue of own, provider and partner courses so that I find training in one place.</t>
        </is>
      </c>
      <c r="N1285" s="5" t="inlineStr">
        <is>
          <t>• Given the marketplace, when browsed, then filters by source, skill and duration work, and provider courses show the provider's name (M07 §7).
• Given a partner content pack, when offered, then it is marked as an add-on (YX-LRN-10).
• Given a sync failure, when it happens, then `learning.provider.sync_failed` alerts the L&amp;D admin (M07 §6).</t>
        </is>
      </c>
      <c r="O1285" s="5" t="inlineStr">
        <is>
          <t>YX-LRN-10</t>
        </is>
      </c>
      <c r="P1285" t="inlineStr">
        <is>
          <t>M07, P10</t>
        </is>
      </c>
      <c r="Q1285" t="inlineStr">
        <is>
          <t>US-D-205</t>
        </is>
      </c>
      <c r="R1285" s="5" t="inlineStr"/>
    </row>
    <row r="1286">
      <c r="A1286" t="inlineStr">
        <is>
          <t>US-D-207</t>
        </is>
      </c>
      <c r="B1286" t="n">
        <v>1458</v>
      </c>
      <c r="C1286" t="inlineStr">
        <is>
          <t>Story</t>
        </is>
      </c>
      <c r="D1286" s="5" t="inlineStr">
        <is>
          <t xml:space="preserve">        Company turns on learning points and leaderboards</t>
        </is>
      </c>
      <c r="E1286" t="inlineStr">
        <is>
          <t>Learning and development</t>
        </is>
      </c>
      <c r="F1286" t="inlineStr">
        <is>
          <t>Content providers, gamification and LTI</t>
        </is>
      </c>
      <c r="G1286" t="inlineStr">
        <is>
          <t>New</t>
        </is>
      </c>
      <c r="I1286">
        <f>IF(H1286&lt;&gt;"",H1286,G1286)</f>
        <v/>
      </c>
      <c r="J1286" t="inlineStr">
        <is>
          <t>Wave 6 · Learning</t>
        </is>
      </c>
      <c r="K1286" t="n">
        <v>5</v>
      </c>
      <c r="L1286" t="n">
        <v>3</v>
      </c>
      <c r="M1286" s="5" t="inlineStr">
        <is>
          <t>As an HR admin, I want points, badges and leaderboards that employees can opt out of so that learning is fun but fair.</t>
        </is>
      </c>
      <c r="N1286" s="5" t="inlineStr">
        <is>
          <t>• Given the company switch is off, when employees open learning, then no gamification shows (YX-LRN-12).
• Given the switch is on, when activities happen, then points are added to an append-only ledger (reversals as negative entries) from the starter rules (YX-LRN-12).
• Given Ravi opts out, when the department board shows, then he is not on it but still sees his 120 points and badges (YX-LRN-12).
• Given points and badges, when ratings, pay or M06 decisions run, then they are never used; leaderboards show points only (YX-LRN-12).</t>
        </is>
      </c>
      <c r="O1286" s="5" t="inlineStr">
        <is>
          <t>YX-LRN-12</t>
        </is>
      </c>
      <c r="P1286" t="inlineStr">
        <is>
          <t>M07, P10</t>
        </is>
      </c>
      <c r="Q1286" t="inlineStr">
        <is>
          <t>US-D-193</t>
        </is>
      </c>
      <c r="R1286" s="5" t="inlineStr"/>
    </row>
    <row r="1287">
      <c r="A1287" t="inlineStr">
        <is>
          <t>US-D-208</t>
        </is>
      </c>
      <c r="B1287" t="n">
        <v>1459</v>
      </c>
      <c r="C1287" t="inlineStr">
        <is>
          <t>Story</t>
        </is>
      </c>
      <c r="D1287" s="5" t="inlineStr">
        <is>
          <t xml:space="preserve">        Certification is pushed to the company's Credly account</t>
        </is>
      </c>
      <c r="E1287" t="inlineStr">
        <is>
          <t>Learning and development</t>
        </is>
      </c>
      <c r="F1287" t="inlineStr">
        <is>
          <t>Content providers, gamification and LTI</t>
        </is>
      </c>
      <c r="G1287" t="inlineStr">
        <is>
          <t>New</t>
        </is>
      </c>
      <c r="I1287">
        <f>IF(H1287&lt;&gt;"",H1287,G1287)</f>
        <v/>
      </c>
      <c r="J1287" t="inlineStr">
        <is>
          <t>Wave 6 · Learning</t>
        </is>
      </c>
      <c r="K1287" t="n">
        <v>3</v>
      </c>
      <c r="L1287" t="n">
        <v>3</v>
      </c>
      <c r="M1287" s="5" t="inlineStr">
        <is>
          <t>As an L&amp;D admin, I want badges pushed to Credly so that employees can share them where they already are.</t>
        </is>
      </c>
      <c r="N1287" s="5" t="inlineStr">
        <is>
          <t>• Given a template with Credly on, when a certification is issued, then the badge is pushed to the company's Credly organisation (YX-LRN-13).
• Given expiry or revocation, when it happens, then the Credly badge is updated (YX-LRN-13).
• Given Credly fees, when used, then they are the customer's own contract (M07 §8).</t>
        </is>
      </c>
      <c r="O1287" s="5" t="inlineStr">
        <is>
          <t>YX-LRN-13</t>
        </is>
      </c>
      <c r="P1287" t="inlineStr">
        <is>
          <t>M07, P10</t>
        </is>
      </c>
      <c r="Q1287" t="inlineStr">
        <is>
          <t>US-D-196</t>
        </is>
      </c>
      <c r="R1287" s="5" t="inlineStr"/>
    </row>
    <row r="1288">
      <c r="A1288" t="inlineStr">
        <is>
          <t>US-D-209</t>
        </is>
      </c>
      <c r="B1288" t="n">
        <v>1460</v>
      </c>
      <c r="C1288" t="inlineStr">
        <is>
          <t>Story</t>
        </is>
      </c>
      <c r="D1288" s="5" t="inlineStr">
        <is>
          <t xml:space="preserve">        Admin registers an external LMS for LTI 1.3</t>
        </is>
      </c>
      <c r="E1288" t="inlineStr">
        <is>
          <t>Learning and development</t>
        </is>
      </c>
      <c r="F1288" t="inlineStr">
        <is>
          <t>Content providers, gamification and LTI</t>
        </is>
      </c>
      <c r="G1288" t="inlineStr">
        <is>
          <t>New</t>
        </is>
      </c>
      <c r="I1288">
        <f>IF(H1288&lt;&gt;"",H1288,G1288)</f>
        <v/>
      </c>
      <c r="J1288" t="inlineStr">
        <is>
          <t>Wave 6 · Learning</t>
        </is>
      </c>
      <c r="K1288" t="n">
        <v>5</v>
      </c>
      <c r="L1288" t="n">
        <v>3</v>
      </c>
      <c r="M1288" s="5" t="inlineStr">
        <is>
          <t>As a system admin, I want to register Moodle or Canvas as an LTI platform so that they can launch our courses and tests.</t>
        </is>
      </c>
      <c r="N1288" s="5" t="inlineStr">
        <is>
          <t>• Given an external LMS, when the admin registers issuer, client id, JWKS URL and deployment ids, then it is saved (YX-LRN-14).
• Given Deep Linking, when an LMS course designer picks a YukthiX course or assessment, then a resource link is created (YX-LRN-14).
• Given the launch log, when the admin opens Integrations, then each launch shows (M07 §7).</t>
        </is>
      </c>
      <c r="O1288" s="5" t="inlineStr">
        <is>
          <t>YX-LRN-14</t>
        </is>
      </c>
      <c r="P1288" t="inlineStr">
        <is>
          <t>M07, P10</t>
        </is>
      </c>
      <c r="Q1288" t="inlineStr">
        <is>
          <t>US-D-193</t>
        </is>
      </c>
      <c r="R1288" s="5" t="inlineStr"/>
    </row>
    <row r="1289">
      <c r="A1289" t="inlineStr">
        <is>
          <t>US-D-210</t>
        </is>
      </c>
      <c r="B1289" t="n">
        <v>1461</v>
      </c>
      <c r="C1289" t="inlineStr">
        <is>
          <t>Story</t>
        </is>
      </c>
      <c r="D1289" s="5" t="inlineStr">
        <is>
          <t xml:space="preserve">        Learner launches from an external LMS and the grade goes back</t>
        </is>
      </c>
      <c r="E1289" t="inlineStr">
        <is>
          <t>Learning and development</t>
        </is>
      </c>
      <c r="F1289" t="inlineStr">
        <is>
          <t>Content providers, gamification and LTI</t>
        </is>
      </c>
      <c r="G1289" t="inlineStr">
        <is>
          <t>New</t>
        </is>
      </c>
      <c r="I1289">
        <f>IF(H1289&lt;&gt;"",H1289,G1289)</f>
        <v/>
      </c>
      <c r="J1289" t="inlineStr">
        <is>
          <t>Wave 6 · Learning</t>
        </is>
      </c>
      <c r="K1289" t="n">
        <v>5</v>
      </c>
      <c r="L1289" t="n">
        <v>3</v>
      </c>
      <c r="M1289" s="5" t="inlineStr">
        <is>
          <t>As a learner in Moodle, I want to open a YukthiX assessment and have my score sent back so that I don't log in twice.</t>
        </is>
      </c>
      <c r="N1289" s="5" t="inlineStr">
        <is>
          <t>• Given a launch with verified claims, when the email matches an employee, then they are signed in as that employee (YX-LRN-14).
• Given no match, when launched, then a guest learner is created, limited to the launched item (YX-LRN-14).
• Given the attempt is scored, when done, then the grade is passed back to the LMS gradebook (YX-LRN-14).
• Given a proctored assessment, when launched, then proctoring stays on, and a non-employee attempt is metered as a Proctoring attempt (YX-LRN-14).</t>
        </is>
      </c>
      <c r="O1289" s="5" t="inlineStr">
        <is>
          <t>YX-LRN-14</t>
        </is>
      </c>
      <c r="P1289" t="inlineStr">
        <is>
          <t>M07, P10</t>
        </is>
      </c>
      <c r="Q1289" t="inlineStr">
        <is>
          <t>US-D-209</t>
        </is>
      </c>
      <c r="R1289" s="5" t="inlineStr"/>
    </row>
    <row r="1290">
      <c r="A1290" t="inlineStr">
        <is>
          <t>US-D-211</t>
        </is>
      </c>
      <c r="B1290" t="n">
        <v>1462</v>
      </c>
      <c r="C1290" t="inlineStr">
        <is>
          <t>Story</t>
        </is>
      </c>
      <c r="D1290" s="5" t="inlineStr">
        <is>
          <t xml:space="preserve">        Courses report progress through xAPI</t>
        </is>
      </c>
      <c r="E1290" t="inlineStr">
        <is>
          <t>Learning and development</t>
        </is>
      </c>
      <c r="F1290" t="inlineStr">
        <is>
          <t>Content providers, gamification and LTI</t>
        </is>
      </c>
      <c r="G1290" t="inlineStr">
        <is>
          <t>New</t>
        </is>
      </c>
      <c r="I1290">
        <f>IF(H1290&lt;&gt;"",H1290,G1290)</f>
        <v/>
      </c>
      <c r="J1290" t="inlineStr">
        <is>
          <t>Wave 6 · Learning</t>
        </is>
      </c>
      <c r="K1290" t="n">
        <v>5</v>
      </c>
      <c r="L1290" t="n">
        <v>3</v>
      </c>
      <c r="M1290" s="5" t="inlineStr">
        <is>
          <t>As an L&amp;D admin, I want xAPI content to report progress so that modern packages work too.</t>
        </is>
      </c>
      <c r="N1290" s="5" t="inlineStr">
        <is>
          <t>• Given an xAPI package, when the learner uses it, then statements are recorded against the enrolment (M07 Q1).
• Given a completed statement, when received, then completion criteria are checked as for SCORM (YX-LRN-09, YX-LRN-01).
• Given the player, when it runs, then it is sandboxed like SCORM (YX-LRN-09).</t>
        </is>
      </c>
      <c r="O1290" s="5" t="inlineStr">
        <is>
          <t>YX-LRN-09</t>
        </is>
      </c>
      <c r="P1290" t="inlineStr">
        <is>
          <t>M07, P10</t>
        </is>
      </c>
      <c r="Q1290" t="inlineStr">
        <is>
          <t>US-D-186</t>
        </is>
      </c>
      <c r="R1290" s="5" t="inlineStr"/>
    </row>
    <row r="1291">
      <c r="A1291" s="7" t="inlineStr">
        <is>
          <t>EP-D-09</t>
        </is>
      </c>
      <c r="B1291" s="7" t="n">
        <v>1300</v>
      </c>
      <c r="C1291" s="7" t="inlineStr">
        <is>
          <t>Epic</t>
        </is>
      </c>
      <c r="D1291" s="8" t="inlineStr">
        <is>
          <t>Engage: feed, recognition and surveys</t>
        </is>
      </c>
      <c r="E1291" s="7" t="inlineStr">
        <is>
          <t>Engage: feed, recognition and surveys</t>
        </is>
      </c>
      <c r="F1291" s="7" t="inlineStr"/>
      <c r="G1291" s="7" t="inlineStr">
        <is>
          <t>New</t>
        </is>
      </c>
      <c r="H1291" s="7" t="n"/>
      <c r="I1291" s="7">
        <f>IF(H1291&lt;&gt;"",H1291,G1291)</f>
        <v/>
      </c>
      <c r="J1291" s="7" t="inlineStr">
        <is>
          <t>Wave 5 · Engage</t>
        </is>
      </c>
      <c r="K1291" s="7" t="n"/>
      <c r="L1291" s="7" t="n"/>
      <c r="M1291" s="8" t="inlineStr"/>
      <c r="N1291" s="8" t="inlineStr"/>
      <c r="O1291" s="8" t="inlineStr"/>
      <c r="P1291" s="7" t="inlineStr">
        <is>
          <t>M09</t>
        </is>
      </c>
      <c r="Q1291" s="7" t="inlineStr"/>
      <c r="R1291" s="8" t="inlineStr"/>
      <c r="S1291" s="7" t="n"/>
    </row>
    <row r="1292">
      <c r="A1292" s="9" t="inlineStr">
        <is>
          <t>FT-D-049</t>
        </is>
      </c>
      <c r="B1292" s="9" t="n">
        <v>1300</v>
      </c>
      <c r="C1292" s="9" t="inlineStr">
        <is>
          <t>Feature</t>
        </is>
      </c>
      <c r="D1292" s="10" t="inlineStr">
        <is>
          <t xml:space="preserve">    Feed and spaces</t>
        </is>
      </c>
      <c r="E1292" s="9" t="inlineStr">
        <is>
          <t>Engage: feed, recognition and surveys</t>
        </is>
      </c>
      <c r="F1292" s="9" t="inlineStr">
        <is>
          <t>Feed and spaces</t>
        </is>
      </c>
      <c r="G1292" s="9" t="inlineStr">
        <is>
          <t>New</t>
        </is>
      </c>
      <c r="H1292" s="9" t="n"/>
      <c r="I1292" s="9">
        <f>IF(H1292&lt;&gt;"",H1292,G1292)</f>
        <v/>
      </c>
      <c r="J1292" s="9" t="inlineStr">
        <is>
          <t>Wave 5 · Engage</t>
        </is>
      </c>
      <c r="K1292" s="9" t="n"/>
      <c r="L1292" s="9" t="n"/>
      <c r="M1292" s="10" t="inlineStr"/>
      <c r="N1292" s="10" t="inlineStr"/>
      <c r="O1292" s="10" t="inlineStr"/>
      <c r="P1292" s="9" t="inlineStr">
        <is>
          <t>M09, P04</t>
        </is>
      </c>
      <c r="Q1292" s="9" t="inlineStr"/>
      <c r="R1292" s="10" t="inlineStr"/>
      <c r="S1292" s="9" t="n"/>
    </row>
    <row r="1293">
      <c r="A1293" t="inlineStr">
        <is>
          <t>US-D-212</t>
        </is>
      </c>
      <c r="B1293" t="n">
        <v>1301</v>
      </c>
      <c r="C1293" t="inlineStr">
        <is>
          <t>Story</t>
        </is>
      </c>
      <c r="D1293" s="5" t="inlineStr">
        <is>
          <t xml:space="preserve">        Organisation spaces stay in sync with the org</t>
        </is>
      </c>
      <c r="E1293" t="inlineStr">
        <is>
          <t>Engage: feed, recognition and surveys</t>
        </is>
      </c>
      <c r="F1293" t="inlineStr">
        <is>
          <t>Feed and spaces</t>
        </is>
      </c>
      <c r="G1293" t="inlineStr">
        <is>
          <t>New</t>
        </is>
      </c>
      <c r="I1293">
        <f>IF(H1293&lt;&gt;"",H1293,G1293)</f>
        <v/>
      </c>
      <c r="J1293" t="inlineStr">
        <is>
          <t>Wave 5 · Engage</t>
        </is>
      </c>
      <c r="K1293" t="n">
        <v>3</v>
      </c>
      <c r="L1293" t="n">
        <v>1</v>
      </c>
      <c r="M1293" s="5" t="inlineStr">
        <is>
          <t>As an employee, I want company, location, department and team spaces created for me automatically so that I see the right news.</t>
        </is>
      </c>
      <c r="N1293" s="5" t="inlineStr">
        <is>
          <t>• Given the org, when Engage launches, then company, entity, location, department and team spaces are created (M09 §3).
• Given an employee moves from team A to team B, when the next day comes, then team A space access is gone (YX-ENG-01).
• Given `employment.exited`, when it fires, then the person's space memberships end (M09 §6).</t>
        </is>
      </c>
      <c r="O1293" s="5" t="inlineStr">
        <is>
          <t>YX-ENG-01</t>
        </is>
      </c>
      <c r="P1293" t="inlineStr">
        <is>
          <t>M09, P04</t>
        </is>
      </c>
      <c r="Q1293" t="inlineStr"/>
      <c r="R1293" s="5" t="inlineStr"/>
    </row>
    <row r="1294">
      <c r="A1294" t="inlineStr">
        <is>
          <t>US-D-213</t>
        </is>
      </c>
      <c r="B1294" t="n">
        <v>1302</v>
      </c>
      <c r="C1294" t="inlineStr">
        <is>
          <t>Story</t>
        </is>
      </c>
      <c r="D1294" s="5" t="inlineStr">
        <is>
          <t xml:space="preserve">        Employee posts in a space by its posting policy</t>
        </is>
      </c>
      <c r="E1294" t="inlineStr">
        <is>
          <t>Engage: feed, recognition and surveys</t>
        </is>
      </c>
      <c r="F1294" t="inlineStr">
        <is>
          <t>Feed and spaces</t>
        </is>
      </c>
      <c r="G1294" t="inlineStr">
        <is>
          <t>New</t>
        </is>
      </c>
      <c r="I1294">
        <f>IF(H1294&lt;&gt;"",H1294,G1294)</f>
        <v/>
      </c>
      <c r="J1294" t="inlineStr">
        <is>
          <t>Wave 5 · Engage</t>
        </is>
      </c>
      <c r="K1294" t="n">
        <v>3</v>
      </c>
      <c r="L1294" t="n">
        <v>1</v>
      </c>
      <c r="M1294" s="5" t="inlineStr">
        <is>
          <t>As an employee, I want to post updates, polls and events in my team space so that we stay connected.</t>
        </is>
      </c>
      <c r="N1294" s="5" t="inlineStr">
        <is>
          <t>• Given a team space, when a member posts, then it is published per the space's posting policy (YX-ENG-02).
• Given the company-wide space, when a non-announcer posts, then it waits for admin approval (YX-ENG-02, M09 Q1).
• Given an announcement, when someone without the announcer permission tries, then it is refused (YX-ENG-02).
• Given a published post, when notifying, then followers get in-app; push only for announcements and @mentions (M09 §6).</t>
        </is>
      </c>
      <c r="O1294" s="5" t="inlineStr">
        <is>
          <t>YX-ENG-02</t>
        </is>
      </c>
      <c r="P1294" t="inlineStr">
        <is>
          <t>M09, P04</t>
        </is>
      </c>
      <c r="Q1294" t="inlineStr">
        <is>
          <t>US-D-212</t>
        </is>
      </c>
      <c r="R1294" s="5" t="inlineStr"/>
    </row>
    <row r="1295">
      <c r="A1295" t="inlineStr">
        <is>
          <t>US-D-214</t>
        </is>
      </c>
      <c r="B1295" t="n">
        <v>1303</v>
      </c>
      <c r="C1295" t="inlineStr">
        <is>
          <t>Story</t>
        </is>
      </c>
      <c r="D1295" s="5" t="inlineStr">
        <is>
          <t xml:space="preserve">        Posts and comments are moderated</t>
        </is>
      </c>
      <c r="E1295" t="inlineStr">
        <is>
          <t>Engage: feed, recognition and surveys</t>
        </is>
      </c>
      <c r="F1295" t="inlineStr">
        <is>
          <t>Feed and spaces</t>
        </is>
      </c>
      <c r="G1295" t="inlineStr">
        <is>
          <t>New</t>
        </is>
      </c>
      <c r="I1295">
        <f>IF(H1295&lt;&gt;"",H1295,G1295)</f>
        <v/>
      </c>
      <c r="J1295" t="inlineStr">
        <is>
          <t>Wave 5 · Engage</t>
        </is>
      </c>
      <c r="K1295" t="n">
        <v>5</v>
      </c>
      <c r="L1295" t="n">
        <v>1</v>
      </c>
      <c r="M1295" s="5" t="inlineStr">
        <is>
          <t>As a moderator, I want a filter, report button and queue so that the feed stays safe.</t>
        </is>
      </c>
      <c r="N1295" s="5" t="inlineStr">
        <is>
          <t>• Given a post with a blocked word (EN / HI / TA / TE), when submitted, then it is held with a reason (YX-ENG-03).
• Given 3 reports (configurable), when reached, then the post is hidden until a moderator acts (YX-ENG-03).
• Given the moderation queue, when a moderator hides, restores or warns, then the action is audited (YX-ENG-03).
• Given a space switched to pre-approval, when someone posts, then it waits for a moderator (M09 Q2).</t>
        </is>
      </c>
      <c r="O1295" s="5" t="inlineStr">
        <is>
          <t>YX-ENG-03</t>
        </is>
      </c>
      <c r="P1295" t="inlineStr">
        <is>
          <t>M09, P04</t>
        </is>
      </c>
      <c r="Q1295" t="inlineStr">
        <is>
          <t>US-D-213</t>
        </is>
      </c>
      <c r="R1295" s="5" t="inlineStr"/>
    </row>
    <row r="1296">
      <c r="A1296" t="inlineStr">
        <is>
          <t>US-D-215</t>
        </is>
      </c>
      <c r="B1296" t="n">
        <v>1304</v>
      </c>
      <c r="C1296" t="inlineStr">
        <is>
          <t>Story</t>
        </is>
      </c>
      <c r="D1296" s="5" t="inlineStr">
        <is>
          <t xml:space="preserve">        Posts by former employees stay visible</t>
        </is>
      </c>
      <c r="E1296" t="inlineStr">
        <is>
          <t>Engage: feed, recognition and surveys</t>
        </is>
      </c>
      <c r="F1296" t="inlineStr">
        <is>
          <t>Feed and spaces</t>
        </is>
      </c>
      <c r="G1296" t="inlineStr">
        <is>
          <t>New</t>
        </is>
      </c>
      <c r="I1296">
        <f>IF(H1296&lt;&gt;"",H1296,G1296)</f>
        <v/>
      </c>
      <c r="J1296" t="inlineStr">
        <is>
          <t>Wave 5 · Engage</t>
        </is>
      </c>
      <c r="K1296" t="n">
        <v>1</v>
      </c>
      <c r="L1296" t="n">
        <v>2</v>
      </c>
      <c r="M1296" s="5" t="inlineStr">
        <is>
          <t>As an employee, I want old posts by people who left to stay, marked 'Former employee', so that history is not lost.</t>
        </is>
      </c>
      <c r="N1296" s="5" t="inlineStr">
        <is>
          <t>• Given an author leaves, when their posts show, then they are attributed to 'Former employee' (YX-ENG-09).
• Given moderation removed a post, when it is viewed, then it stays removed (YX-ENG-09).
• Given repeat offenders, when moderation sees them, then they are routed to HR (M09 §6).</t>
        </is>
      </c>
      <c r="O1296" s="5" t="inlineStr">
        <is>
          <t>YX-ENG-09</t>
        </is>
      </c>
      <c r="P1296" t="inlineStr">
        <is>
          <t>M09, P04</t>
        </is>
      </c>
      <c r="Q1296" t="inlineStr">
        <is>
          <t>US-D-214</t>
        </is>
      </c>
      <c r="R1296" s="5" t="inlineStr"/>
    </row>
    <row r="1297">
      <c r="A1297" t="inlineStr">
        <is>
          <t>US-D-216</t>
        </is>
      </c>
      <c r="B1297" t="n">
        <v>1305</v>
      </c>
      <c r="C1297" t="inlineStr">
        <is>
          <t>Story</t>
        </is>
      </c>
      <c r="D1297" s="5" t="inlineStr">
        <is>
          <t xml:space="preserve">        Announcements mirror to Teams, Slack or WhatsApp</t>
        </is>
      </c>
      <c r="E1297" t="inlineStr">
        <is>
          <t>Engage: feed, recognition and surveys</t>
        </is>
      </c>
      <c r="F1297" t="inlineStr">
        <is>
          <t>Feed and spaces</t>
        </is>
      </c>
      <c r="G1297" t="inlineStr">
        <is>
          <t>New</t>
        </is>
      </c>
      <c r="I1297">
        <f>IF(H1297&lt;&gt;"",H1297,G1297)</f>
        <v/>
      </c>
      <c r="J1297" t="inlineStr">
        <is>
          <t>Wave 5 · Engage</t>
        </is>
      </c>
      <c r="K1297" t="n">
        <v>2</v>
      </c>
      <c r="L1297" t="n">
        <v>3</v>
      </c>
      <c r="M1297" s="5" t="inlineStr">
        <is>
          <t>As an HR admin, I want announcements and celebrations mirrored one way to Teams or Slack so that people see them where they work.</t>
        </is>
      </c>
      <c r="N1297" s="5" t="inlineStr">
        <is>
          <t>• Given a webhook for a Teams / Slack channel, when an announcement is published, then post text and a link back are sent (M09 Q7).
• Given key announcements, when WhatsApp is on, then they go by the company number (M09 Q7).
• Given comments, kudos and surveys, when they happen, then they stay in YukthiX (M09 Q7).</t>
        </is>
      </c>
      <c r="O1297" s="5" t="inlineStr"/>
      <c r="P1297" t="inlineStr">
        <is>
          <t>M09, P04</t>
        </is>
      </c>
      <c r="Q1297" t="inlineStr">
        <is>
          <t>US-D-213</t>
        </is>
      </c>
      <c r="R1297" s="5" t="inlineStr"/>
    </row>
    <row r="1298">
      <c r="A1298" s="9" t="inlineStr">
        <is>
          <t>FT-D-050</t>
        </is>
      </c>
      <c r="B1298" s="9" t="n">
        <v>1306</v>
      </c>
      <c r="C1298" s="9" t="inlineStr">
        <is>
          <t>Feature</t>
        </is>
      </c>
      <c r="D1298" s="10" t="inlineStr">
        <is>
          <t xml:space="preserve">    Recognition and rewards</t>
        </is>
      </c>
      <c r="E1298" s="9" t="inlineStr">
        <is>
          <t>Engage: feed, recognition and surveys</t>
        </is>
      </c>
      <c r="F1298" s="9" t="inlineStr">
        <is>
          <t>Recognition and rewards</t>
        </is>
      </c>
      <c r="G1298" s="9" t="inlineStr">
        <is>
          <t>New</t>
        </is>
      </c>
      <c r="H1298" s="9" t="n"/>
      <c r="I1298" s="9">
        <f>IF(H1298&lt;&gt;"",H1298,G1298)</f>
        <v/>
      </c>
      <c r="J1298" s="9" t="inlineStr">
        <is>
          <t>Wave 5 · Engage</t>
        </is>
      </c>
      <c r="K1298" s="9" t="n"/>
      <c r="L1298" s="9" t="n"/>
      <c r="M1298" s="10" t="inlineStr"/>
      <c r="N1298" s="10" t="inlineStr"/>
      <c r="O1298" s="10" t="inlineStr"/>
      <c r="P1298" s="9" t="inlineStr">
        <is>
          <t>M09, M03</t>
        </is>
      </c>
      <c r="Q1298" s="9" t="inlineStr"/>
      <c r="R1298" s="10" t="inlineStr"/>
      <c r="S1298" s="9" t="n"/>
    </row>
    <row r="1299">
      <c r="A1299" t="inlineStr">
        <is>
          <t>US-D-217</t>
        </is>
      </c>
      <c r="B1299" t="n">
        <v>1307</v>
      </c>
      <c r="C1299" t="inlineStr">
        <is>
          <t>Story</t>
        </is>
      </c>
      <c r="D1299" s="5" t="inlineStr">
        <is>
          <t xml:space="preserve">        Employee gives kudos tagged with a company value</t>
        </is>
      </c>
      <c r="E1299" t="inlineStr">
        <is>
          <t>Engage: feed, recognition and surveys</t>
        </is>
      </c>
      <c r="F1299" t="inlineStr">
        <is>
          <t>Recognition and rewards</t>
        </is>
      </c>
      <c r="G1299" t="inlineStr">
        <is>
          <t>New</t>
        </is>
      </c>
      <c r="I1299">
        <f>IF(H1299&lt;&gt;"",H1299,G1299)</f>
        <v/>
      </c>
      <c r="J1299" t="inlineStr">
        <is>
          <t>Wave 5 · Engage</t>
        </is>
      </c>
      <c r="K1299" t="n">
        <v>3</v>
      </c>
      <c r="L1299" t="n">
        <v>1</v>
      </c>
      <c r="M1299" s="5" t="inlineStr">
        <is>
          <t>As an employee, I want to thank a colleague with kudos tied to a company value so that good work is seen.</t>
        </is>
      </c>
      <c r="N1299" s="5" t="inlineStr">
        <is>
          <t>• Given kudos, when given, then it must name a company value and may carry a badge (YX-ENG-06).
• Given kudos, when posted, then it shows in the relevant space and the receiver is notified (M09 §6).
• Given a review period, when the employee and manager open the review, then kudos show as context grouped by value, never scored, and the employee can hide individual kudos (M09 Q6).</t>
        </is>
      </c>
      <c r="O1299" s="5" t="inlineStr">
        <is>
          <t>YX-ENG-06</t>
        </is>
      </c>
      <c r="P1299" t="inlineStr">
        <is>
          <t>M09, M03</t>
        </is>
      </c>
      <c r="Q1299" t="inlineStr">
        <is>
          <t>US-D-213</t>
        </is>
      </c>
      <c r="R1299" s="5" t="inlineStr"/>
    </row>
    <row r="1300">
      <c r="A1300" t="inlineStr">
        <is>
          <t>US-D-218</t>
        </is>
      </c>
      <c r="B1300" t="n">
        <v>1308</v>
      </c>
      <c r="C1300" t="inlineStr">
        <is>
          <t>Story</t>
        </is>
      </c>
      <c r="D1300" s="5" t="inlineStr">
        <is>
          <t xml:space="preserve">        Kudos can carry reward points with limits</t>
        </is>
      </c>
      <c r="E1300" t="inlineStr">
        <is>
          <t>Engage: feed, recognition and surveys</t>
        </is>
      </c>
      <c r="F1300" t="inlineStr">
        <is>
          <t>Recognition and rewards</t>
        </is>
      </c>
      <c r="G1300" t="inlineStr">
        <is>
          <t>New</t>
        </is>
      </c>
      <c r="I1300">
        <f>IF(H1300&lt;&gt;"",H1300,G1300)</f>
        <v/>
      </c>
      <c r="J1300" t="inlineStr">
        <is>
          <t>Wave 5 · Engage</t>
        </is>
      </c>
      <c r="K1300" t="n">
        <v>3</v>
      </c>
      <c r="L1300" t="n">
        <v>2</v>
      </c>
      <c r="M1300" s="5" t="inlineStr">
        <is>
          <t>As an HR admin, I want points with budgets and approval above a threshold so that rewards are fair.</t>
        </is>
      </c>
      <c r="N1300" s="5" t="inlineStr">
        <is>
          <t>• Given points mode, when a manager gives points, then they come from the monthly manager budget or peer allowance (M09 Q4).
• Given someone tries to give points to themselves, or above the limit to their own manager chain, when submitted, then it is refused (YX-ENG-06).
• Given points above the approval threshold, when given, then manager / HR approval is needed (YX-ENG-06).</t>
        </is>
      </c>
      <c r="O1300" s="5" t="inlineStr">
        <is>
          <t>YX-ENG-06</t>
        </is>
      </c>
      <c r="P1300" t="inlineStr">
        <is>
          <t>M09, M03</t>
        </is>
      </c>
      <c r="Q1300" t="inlineStr">
        <is>
          <t>US-D-217</t>
        </is>
      </c>
      <c r="R1300" s="5" t="inlineStr"/>
    </row>
    <row r="1301">
      <c r="A1301" t="inlineStr">
        <is>
          <t>US-D-219</t>
        </is>
      </c>
      <c r="B1301" t="n">
        <v>1309</v>
      </c>
      <c r="C1301" t="inlineStr">
        <is>
          <t>Story</t>
        </is>
      </c>
      <c r="D1301" s="5" t="inlineStr">
        <is>
          <t xml:space="preserve">        Employee redeems points and tax is handled</t>
        </is>
      </c>
      <c r="E1301" t="inlineStr">
        <is>
          <t>Engage: feed, recognition and surveys</t>
        </is>
      </c>
      <c r="F1301" t="inlineStr">
        <is>
          <t>Recognition and rewards</t>
        </is>
      </c>
      <c r="G1301" t="inlineStr">
        <is>
          <t>New</t>
        </is>
      </c>
      <c r="I1301">
        <f>IF(H1301&lt;&gt;"",H1301,G1301)</f>
        <v/>
      </c>
      <c r="J1301" t="inlineStr">
        <is>
          <t>Wave 5 · Engage</t>
        </is>
      </c>
      <c r="K1301" t="n">
        <v>3</v>
      </c>
      <c r="L1301" t="n">
        <v>2</v>
      </c>
      <c r="M1301" s="5" t="inlineStr">
        <is>
          <t>As an employee, I want to redeem points for vouchers or a payroll payout so that I enjoy my reward.</t>
        </is>
      </c>
      <c r="N1301" s="5" t="inlineStr">
        <is>
          <t>• Given points, when redeemed as a voucher or payroll payout, then a redemption is created, with approval if needed (M09 Q4).
• Given ₹6,000 redeemed as a voucher, when sent to M03, then a taxable one-time pay line is created above the gift threshold (YX-ENG-07).
• Given `payroll.run.paid`, when it arrives, then payroll-route redemptions are marked paid (M09 §6).</t>
        </is>
      </c>
      <c r="O1301" s="5" t="inlineStr">
        <is>
          <t>YX-ENG-07</t>
        </is>
      </c>
      <c r="P1301" t="inlineStr">
        <is>
          <t>M09, M03</t>
        </is>
      </c>
      <c r="Q1301" t="inlineStr">
        <is>
          <t>US-D-218</t>
        </is>
      </c>
      <c r="R1301" s="5" t="inlineStr"/>
    </row>
    <row r="1302">
      <c r="A1302" s="9" t="inlineStr">
        <is>
          <t>FT-D-051</t>
        </is>
      </c>
      <c r="B1302" s="9" t="n">
        <v>1310</v>
      </c>
      <c r="C1302" s="9" t="inlineStr">
        <is>
          <t>Feature</t>
        </is>
      </c>
      <c r="D1302" s="10" t="inlineStr">
        <is>
          <t xml:space="preserve">    Celebrations</t>
        </is>
      </c>
      <c r="E1302" s="9" t="inlineStr">
        <is>
          <t>Engage: feed, recognition and surveys</t>
        </is>
      </c>
      <c r="F1302" s="9" t="inlineStr">
        <is>
          <t>Celebrations</t>
        </is>
      </c>
      <c r="G1302" s="9" t="inlineStr">
        <is>
          <t>New</t>
        </is>
      </c>
      <c r="H1302" s="9" t="n"/>
      <c r="I1302" s="9">
        <f>IF(H1302&lt;&gt;"",H1302,G1302)</f>
        <v/>
      </c>
      <c r="J1302" s="9" t="inlineStr">
        <is>
          <t>Wave 5 · Engage</t>
        </is>
      </c>
      <c r="K1302" s="9" t="n"/>
      <c r="L1302" s="9" t="n"/>
      <c r="M1302" s="10" t="inlineStr"/>
      <c r="N1302" s="10" t="inlineStr"/>
      <c r="O1302" s="10" t="inlineStr"/>
      <c r="P1302" s="9" t="inlineStr">
        <is>
          <t>M09</t>
        </is>
      </c>
      <c r="Q1302" s="9" t="inlineStr"/>
      <c r="R1302" s="10" t="inlineStr"/>
      <c r="S1302" s="9" t="n"/>
    </row>
    <row r="1303">
      <c r="A1303" t="inlineStr">
        <is>
          <t>US-D-220</t>
        </is>
      </c>
      <c r="B1303" t="n">
        <v>1311</v>
      </c>
      <c r="C1303" t="inlineStr">
        <is>
          <t>Story</t>
        </is>
      </c>
      <c r="D1303" s="5" t="inlineStr">
        <is>
          <t xml:space="preserve">        Birthdays, anniversaries, joiners and promotions are celebrated</t>
        </is>
      </c>
      <c r="E1303" t="inlineStr">
        <is>
          <t>Engage: feed, recognition and surveys</t>
        </is>
      </c>
      <c r="F1303" t="inlineStr">
        <is>
          <t>Celebrations</t>
        </is>
      </c>
      <c r="G1303" t="inlineStr">
        <is>
          <t>New</t>
        </is>
      </c>
      <c r="I1303">
        <f>IF(H1303&lt;&gt;"",H1303,G1303)</f>
        <v/>
      </c>
      <c r="J1303" t="inlineStr">
        <is>
          <t>Wave 5 · Engage</t>
        </is>
      </c>
      <c r="K1303" t="n">
        <v>3</v>
      </c>
      <c r="L1303" t="n">
        <v>2</v>
      </c>
      <c r="M1303" s="5" t="inlineStr">
        <is>
          <t>As an employee, I want birthdays and work anniversaries posted automatically, unless I opt out, so that we celebrate together.</t>
        </is>
      </c>
      <c r="N1303" s="5" t="inlineStr">
        <is>
          <t>• Given today's birthdays, when the daily job runs, then posts appear in the right spaces without the year (YX-ENG-08).
• Given an employee opted out of birthdays, when the job runs, then no birthday post is made (YX-ENG-08).
• Given a promotion, when the promotion letter is issued, then a celebration posts if the company allows (M09 Q5).
• Given P02 directory settings, when a celebration shows, then they are respected (YX-ENG-08).</t>
        </is>
      </c>
      <c r="O1303" s="5" t="inlineStr">
        <is>
          <t>YX-ENG-08</t>
        </is>
      </c>
      <c r="P1303" t="inlineStr">
        <is>
          <t>M09</t>
        </is>
      </c>
      <c r="Q1303" t="inlineStr">
        <is>
          <t>US-D-213</t>
        </is>
      </c>
      <c r="R1303" s="5" t="inlineStr"/>
    </row>
    <row r="1304">
      <c r="A1304" s="9" t="inlineStr">
        <is>
          <t>FT-D-052</t>
        </is>
      </c>
      <c r="B1304" s="9" t="n">
        <v>1312</v>
      </c>
      <c r="C1304" s="9" t="inlineStr">
        <is>
          <t>Feature</t>
        </is>
      </c>
      <c r="D1304" s="10" t="inlineStr">
        <is>
          <t xml:space="preserve">    Surveys, eNPS and action plans</t>
        </is>
      </c>
      <c r="E1304" s="9" t="inlineStr">
        <is>
          <t>Engage: feed, recognition and surveys</t>
        </is>
      </c>
      <c r="F1304" s="9" t="inlineStr">
        <is>
          <t>Surveys, eNPS and action plans</t>
        </is>
      </c>
      <c r="G1304" s="9" t="inlineStr">
        <is>
          <t>New</t>
        </is>
      </c>
      <c r="H1304" s="9" t="n"/>
      <c r="I1304" s="9">
        <f>IF(H1304&lt;&gt;"",H1304,G1304)</f>
        <v/>
      </c>
      <c r="J1304" s="9" t="inlineStr">
        <is>
          <t>Wave 5 · Engage</t>
        </is>
      </c>
      <c r="K1304" s="9" t="n"/>
      <c r="L1304" s="9" t="n"/>
      <c r="M1304" s="10" t="inlineStr"/>
      <c r="N1304" s="10" t="inlineStr"/>
      <c r="O1304" s="10" t="inlineStr"/>
      <c r="P1304" s="9" t="inlineStr">
        <is>
          <t>M09, P09</t>
        </is>
      </c>
      <c r="Q1304" s="9" t="inlineStr"/>
      <c r="R1304" s="10" t="inlineStr"/>
      <c r="S1304" s="9" t="n"/>
    </row>
    <row r="1305">
      <c r="A1305" t="inlineStr">
        <is>
          <t>US-D-221</t>
        </is>
      </c>
      <c r="B1305" t="n">
        <v>1313</v>
      </c>
      <c r="C1305" t="inlineStr">
        <is>
          <t>Story</t>
        </is>
      </c>
      <c r="D1305" s="5" t="inlineStr">
        <is>
          <t xml:space="preserve">        HR builds and sends a survey</t>
        </is>
      </c>
      <c r="E1305" t="inlineStr">
        <is>
          <t>Engage: feed, recognition and surveys</t>
        </is>
      </c>
      <c r="F1305" t="inlineStr">
        <is>
          <t>Surveys, eNPS and action plans</t>
        </is>
      </c>
      <c r="G1305" t="inlineStr">
        <is>
          <t>New</t>
        </is>
      </c>
      <c r="I1305">
        <f>IF(H1305&lt;&gt;"",H1305,G1305)</f>
        <v/>
      </c>
      <c r="J1305" t="inlineStr">
        <is>
          <t>Wave 5 · Engage</t>
        </is>
      </c>
      <c r="K1305" t="n">
        <v>5</v>
      </c>
      <c r="L1305" t="n">
        <v>1</v>
      </c>
      <c r="M1305" s="5" t="inlineStr">
        <is>
          <t>As an HR admin, I want to build engagement, pulse and eNPS surveys from templates with an audience and schedule so that we hear from staff.</t>
        </is>
      </c>
      <c r="N1305" s="5" t="inlineStr">
        <is>
          <t>• Given templates (engagement, pulse, eNPS, onboarding 30/60/90, exit), when HR builds a survey, then questions reuse the assessment question types plus rating / NPS (M09 §2).
• Given the anonymity mode, when employees open the survey, then it is shown before they answer and can't change after launch (M09 Q3).
• Given an anonymous survey, when responses are stored, then they hold no user id; invitations track only answered / not for reminders (YX-ENG-04).
• Given `employee.joined` or `exit.case.accepted`, when they fire, then onboarding or exit surveys are sent (M09 §6).</t>
        </is>
      </c>
      <c r="O1305" s="5" t="inlineStr">
        <is>
          <t>YX-ENG-04</t>
        </is>
      </c>
      <c r="P1305" t="inlineStr">
        <is>
          <t>M09, P09</t>
        </is>
      </c>
      <c r="Q1305" t="inlineStr">
        <is>
          <t>US-D-212</t>
        </is>
      </c>
      <c r="R1305" s="5" t="inlineStr"/>
    </row>
    <row r="1306">
      <c r="A1306" t="inlineStr">
        <is>
          <t>US-D-222</t>
        </is>
      </c>
      <c r="B1306" t="n">
        <v>1314</v>
      </c>
      <c r="C1306" t="inlineStr">
        <is>
          <t>Story</t>
        </is>
      </c>
      <c r="D1306" s="5" t="inlineStr">
        <is>
          <t xml:space="preserve">        HR and managers see survey results with small groups hidden</t>
        </is>
      </c>
      <c r="E1306" t="inlineStr">
        <is>
          <t>Engage: feed, recognition and surveys</t>
        </is>
      </c>
      <c r="F1306" t="inlineStr">
        <is>
          <t>Surveys, eNPS and action plans</t>
        </is>
      </c>
      <c r="G1306" t="inlineStr">
        <is>
          <t>New</t>
        </is>
      </c>
      <c r="I1306">
        <f>IF(H1306&lt;&gt;"",H1306,G1306)</f>
        <v/>
      </c>
      <c r="J1306" t="inlineStr">
        <is>
          <t>Wave 5 · Engage</t>
        </is>
      </c>
      <c r="K1306" t="n">
        <v>5</v>
      </c>
      <c r="L1306" t="n">
        <v>1</v>
      </c>
      <c r="M1306" s="5" t="inlineStr">
        <is>
          <t>As a manager, I want my team's survey results only when enough people answered so that nobody can be identified.</t>
        </is>
      </c>
      <c r="N1306" s="5" t="inlineStr">
        <is>
          <t>• Given an anonymous pulse with 4 responses in Accounts, when viewed, then it shows 'Not enough responses to display' (YX-ENG-04).
• Given a filter that would narrow a group below the minimum, when HR tries it, then it is disabled, for HR admins too (YX-ENG-04).
• Given free-text comments, when shown, then no metadata is shown (YX-ENG-04).
• Given eNPS, when the group meets the minimum, then eNPS = % promoters (9–10) − % detractors (0–6) (YX-ENG-05).</t>
        </is>
      </c>
      <c r="O1306" s="5" t="inlineStr">
        <is>
          <t>YX-ENG-04, YX-ENG-05</t>
        </is>
      </c>
      <c r="P1306" t="inlineStr">
        <is>
          <t>M09, P09</t>
        </is>
      </c>
      <c r="Q1306" t="inlineStr">
        <is>
          <t>US-D-221</t>
        </is>
      </c>
      <c r="R1306" s="5" t="inlineStr"/>
    </row>
    <row r="1307">
      <c r="A1307" t="inlineStr">
        <is>
          <t>US-D-223</t>
        </is>
      </c>
      <c r="B1307" t="n">
        <v>1315</v>
      </c>
      <c r="C1307" t="inlineStr">
        <is>
          <t>Story</t>
        </is>
      </c>
      <c r="D1307" s="5" t="inlineStr">
        <is>
          <t xml:space="preserve">        Manager creates an action plan after results</t>
        </is>
      </c>
      <c r="E1307" t="inlineStr">
        <is>
          <t>Engage: feed, recognition and surveys</t>
        </is>
      </c>
      <c r="F1307" t="inlineStr">
        <is>
          <t>Surveys, eNPS and action plans</t>
        </is>
      </c>
      <c r="G1307" t="inlineStr">
        <is>
          <t>New</t>
        </is>
      </c>
      <c r="I1307">
        <f>IF(H1307&lt;&gt;"",H1307,G1307)</f>
        <v/>
      </c>
      <c r="J1307" t="inlineStr">
        <is>
          <t>Wave 5 · Engage</t>
        </is>
      </c>
      <c r="K1307" t="n">
        <v>2</v>
      </c>
      <c r="L1307" t="n">
        <v>2</v>
      </c>
      <c r="M1307" s="5" t="inlineStr">
        <is>
          <t>As a manager, I want to create an action plan from my team results within 30 days so that we act on feedback.</t>
        </is>
      </c>
      <c r="N1307" s="5" t="inlineStr">
        <is>
          <t>• Given team results meet the minimum, when released, then the manager must create an action plan within 30 days, with reminders (M09 Q8).
• Given a team below the minimum, when results release, then it rolls up to the parent group (M09 Q8, YX-ENG-04).
• Given action plans, when HR opens them, then completion shows (M09 Q8).</t>
        </is>
      </c>
      <c r="O1307" s="5" t="inlineStr">
        <is>
          <t>YX-ENG-04</t>
        </is>
      </c>
      <c r="P1307" t="inlineStr">
        <is>
          <t>M09, P09</t>
        </is>
      </c>
      <c r="Q1307" t="inlineStr">
        <is>
          <t>US-D-222</t>
        </is>
      </c>
      <c r="R1307" s="5" t="inlineStr"/>
    </row>
    <row r="1308">
      <c r="A1308" t="inlineStr">
        <is>
          <t>US-D-224</t>
        </is>
      </c>
      <c r="B1308" t="n">
        <v>1316</v>
      </c>
      <c r="C1308" t="inlineStr">
        <is>
          <t>Story</t>
        </is>
      </c>
      <c r="D1308" s="5" t="inlineStr">
        <is>
          <t xml:space="preserve">        HR sees engagement analytics</t>
        </is>
      </c>
      <c r="E1308" t="inlineStr">
        <is>
          <t>Engage: feed, recognition and surveys</t>
        </is>
      </c>
      <c r="F1308" t="inlineStr">
        <is>
          <t>Surveys, eNPS and action plans</t>
        </is>
      </c>
      <c r="G1308" t="inlineStr">
        <is>
          <t>New</t>
        </is>
      </c>
      <c r="I1308">
        <f>IF(H1308&lt;&gt;"",H1308,G1308)</f>
        <v/>
      </c>
      <c r="J1308" t="inlineStr">
        <is>
          <t>Wave 5 · Engage</t>
        </is>
      </c>
      <c r="K1308" t="n">
        <v>3</v>
      </c>
      <c r="L1308" t="n">
        <v>2</v>
      </c>
      <c r="M1308" s="5" t="inlineStr">
        <is>
          <t>As an HR admin, I want active users, participation, recognition by value and eNPS trend so that I can track engagement.</t>
        </is>
      </c>
      <c r="N1308" s="5" t="inlineStr">
        <is>
          <t>• Given Engage data, when the dashboard opens, then metrics come from P09 with small-group suppression (YX-ENG-10).
• Given recognition, when shown, then it is broken down by value and team (YX-ENG-10).
• Given comment themes, when AI summarises them, then only anonymous text is used under P10 tiers (M09 §7).</t>
        </is>
      </c>
      <c r="O1308" s="5" t="inlineStr">
        <is>
          <t>YX-ENG-10</t>
        </is>
      </c>
      <c r="P1308" t="inlineStr">
        <is>
          <t>M09, P09</t>
        </is>
      </c>
      <c r="Q1308" t="inlineStr">
        <is>
          <t>US-D-222</t>
        </is>
      </c>
      <c r="R1308" s="5" t="inlineStr"/>
    </row>
    <row r="1309">
      <c r="A1309" t="inlineStr">
        <is>
          <t>US-D-225</t>
        </is>
      </c>
      <c r="B1309" t="n">
        <v>1317</v>
      </c>
      <c r="C1309" t="inlineStr">
        <is>
          <t>Story</t>
        </is>
      </c>
      <c r="D1309" s="5" t="inlineStr">
        <is>
          <t xml:space="preserve">        Recruiting sends a candidate experience survey</t>
        </is>
      </c>
      <c r="E1309" t="inlineStr">
        <is>
          <t>Engage: feed, recognition and surveys</t>
        </is>
      </c>
      <c r="F1309" t="inlineStr">
        <is>
          <t>Surveys, eNPS and action plans</t>
        </is>
      </c>
      <c r="G1309" t="inlineStr">
        <is>
          <t>New</t>
        </is>
      </c>
      <c r="I1309">
        <f>IF(H1309&lt;&gt;"",H1309,G1309)</f>
        <v/>
      </c>
      <c r="J1309" t="inlineStr">
        <is>
          <t>Wave 5 · Engage</t>
        </is>
      </c>
      <c r="K1309" t="n">
        <v>5</v>
      </c>
      <c r="L1309" t="n">
        <v>3</v>
      </c>
      <c r="M1309" s="5" t="inlineStr">
        <is>
          <t>As a recruiting ops user, I want to survey candidates after a test or interview so that we improve hiring.</t>
        </is>
      </c>
      <c r="N1309" s="5" t="inlineStr">
        <is>
          <t>• Given the company enabled a trigger (starter: all off), when a candidate completes the step, then one survey is sent per candidate per trigger, never before a result or decision is released (YX-ENG-11).
• Given the survey, when answered, then it never affects scoring, stage or decision and is never visible to interviewers or evaluators (YX-ENG-11).
• Given anonymous mode, when stored, then only coarse slice keys are kept; confidential-linked mode is stated in the intro and visible only with `survey.candidate.view` (YX-ENG-11).
• Given an under-18 candidate, when surveyed, then only anonymous mode is used; cNPS shows with small-group suppression (YX-ENG-11).</t>
        </is>
      </c>
      <c r="O1309" s="5" t="inlineStr">
        <is>
          <t>YX-ENG-11</t>
        </is>
      </c>
      <c r="P1309" t="inlineStr">
        <is>
          <t>M09, M10, T03</t>
        </is>
      </c>
      <c r="Q1309" t="inlineStr">
        <is>
          <t>US-D-222</t>
        </is>
      </c>
      <c r="R1309" s="5" t="inlineStr"/>
    </row>
    <row r="1310">
      <c r="A1310" s="7" t="inlineStr">
        <is>
          <t>EP-D-10</t>
        </is>
      </c>
      <c r="B1310" s="7" t="n">
        <v>1330</v>
      </c>
      <c r="C1310" s="7" t="inlineStr">
        <is>
          <t>Epic</t>
        </is>
      </c>
      <c r="D1310" s="8" t="inlineStr">
        <is>
          <t>Projects, timesheets and client billing</t>
        </is>
      </c>
      <c r="E1310" s="7" t="inlineStr">
        <is>
          <t>Projects, timesheets and client billing</t>
        </is>
      </c>
      <c r="F1310" s="7" t="inlineStr"/>
      <c r="G1310" s="7" t="inlineStr">
        <is>
          <t>New</t>
        </is>
      </c>
      <c r="H1310" s="7" t="n"/>
      <c r="I1310" s="7">
        <f>IF(H1310&lt;&gt;"",H1310,G1310)</f>
        <v/>
      </c>
      <c r="J1310" s="7" t="inlineStr">
        <is>
          <t>Wave 5 · Projects</t>
        </is>
      </c>
      <c r="K1310" s="7" t="n"/>
      <c r="L1310" s="7" t="n"/>
      <c r="M1310" s="8" t="inlineStr"/>
      <c r="N1310" s="8" t="inlineStr"/>
      <c r="O1310" s="8" t="inlineStr"/>
      <c r="P1310" s="7" t="inlineStr">
        <is>
          <t>M12</t>
        </is>
      </c>
      <c r="Q1310" s="7" t="inlineStr"/>
      <c r="R1310" s="8" t="inlineStr"/>
      <c r="S1310" s="7" t="n"/>
    </row>
    <row r="1311">
      <c r="A1311" s="9" t="inlineStr">
        <is>
          <t>FT-D-053</t>
        </is>
      </c>
      <c r="B1311" s="9" t="n">
        <v>1330</v>
      </c>
      <c r="C1311" s="9" t="inlineStr">
        <is>
          <t>Feature</t>
        </is>
      </c>
      <c r="D1311" s="10" t="inlineStr">
        <is>
          <t xml:space="preserve">    Projects, tasks and allocations</t>
        </is>
      </c>
      <c r="E1311" s="9" t="inlineStr">
        <is>
          <t>Projects, timesheets and client billing</t>
        </is>
      </c>
      <c r="F1311" s="9" t="inlineStr">
        <is>
          <t>Projects, tasks and allocations</t>
        </is>
      </c>
      <c r="G1311" s="9" t="inlineStr">
        <is>
          <t>New</t>
        </is>
      </c>
      <c r="H1311" s="9" t="n"/>
      <c r="I1311" s="9">
        <f>IF(H1311&lt;&gt;"",H1311,G1311)</f>
        <v/>
      </c>
      <c r="J1311" s="9" t="inlineStr">
        <is>
          <t>Wave 5 · Projects</t>
        </is>
      </c>
      <c r="K1311" s="9" t="n"/>
      <c r="L1311" s="9" t="n"/>
      <c r="M1311" s="10" t="inlineStr"/>
      <c r="N1311" s="10" t="inlineStr"/>
      <c r="O1311" s="10" t="inlineStr"/>
      <c r="P1311" s="9" t="inlineStr">
        <is>
          <t>M12, M10</t>
        </is>
      </c>
      <c r="Q1311" s="9" t="inlineStr"/>
      <c r="R1311" s="10" t="inlineStr"/>
      <c r="S1311" s="9" t="n"/>
    </row>
    <row r="1312">
      <c r="A1312" t="inlineStr">
        <is>
          <t>US-D-226</t>
        </is>
      </c>
      <c r="B1312" t="n">
        <v>1331</v>
      </c>
      <c r="C1312" t="inlineStr">
        <is>
          <t>Story</t>
        </is>
      </c>
      <c r="D1312" s="5" t="inlineStr">
        <is>
          <t xml:space="preserve">        Shared client master and invoice engine is ready</t>
        </is>
      </c>
      <c r="E1312" t="inlineStr">
        <is>
          <t>Projects, timesheets and client billing</t>
        </is>
      </c>
      <c r="F1312" t="inlineStr">
        <is>
          <t>Projects, tasks and allocations</t>
        </is>
      </c>
      <c r="G1312" t="inlineStr">
        <is>
          <t>New</t>
        </is>
      </c>
      <c r="I1312">
        <f>IF(H1312&lt;&gt;"",H1312,G1312)</f>
        <v/>
      </c>
      <c r="J1312" t="inlineStr">
        <is>
          <t>Wave 5 · Projects</t>
        </is>
      </c>
      <c r="K1312" t="n">
        <v>8</v>
      </c>
      <c r="L1312" t="n">
        <v>1</v>
      </c>
      <c r="M1312" s="5" t="inlineStr">
        <is>
          <t>As a finance user, I want one client master and invoice engine with GST and numbering so that projects (and later staffing) bill the same way.</t>
        </is>
      </c>
      <c r="N1312" s="5" t="inlineStr">
        <is>
          <t>• Given a client with GSTIN per state, billing contacts, terms and currency, when saved, then it is one record used by projects and staffing (M12 §3).
• Given an invoice, when issued, then numbering is per entity / GSTIN and GST uses place of supply from the client GSTIN (YX-PRJ-11).
• Given an issued invoice, when someone tries to edit it, then it is refused; corrections are credit notes (YX-PRJ-11).
• Given e-invoicing, when the GSP add-on is on, then the IRN is requested (YX-PRJ-11).</t>
        </is>
      </c>
      <c r="O1312" s="5" t="inlineStr">
        <is>
          <t>YX-PRJ-11</t>
        </is>
      </c>
      <c r="P1312" t="inlineStr">
        <is>
          <t>M12, M10</t>
        </is>
      </c>
      <c r="Q1312" t="inlineStr"/>
      <c r="R1312" s="5" t="inlineStr"/>
    </row>
    <row r="1313">
      <c r="A1313" t="inlineStr">
        <is>
          <t>US-D-227</t>
        </is>
      </c>
      <c r="B1313" t="n">
        <v>1332</v>
      </c>
      <c r="C1313" t="inlineStr">
        <is>
          <t>Story</t>
        </is>
      </c>
      <c r="D1313" s="5" t="inlineStr">
        <is>
          <t xml:space="preserve">        PM creates a project with tasks and budgets</t>
        </is>
      </c>
      <c r="E1313" t="inlineStr">
        <is>
          <t>Projects, timesheets and client billing</t>
        </is>
      </c>
      <c r="F1313" t="inlineStr">
        <is>
          <t>Projects, tasks and allocations</t>
        </is>
      </c>
      <c r="G1313" t="inlineStr">
        <is>
          <t>New</t>
        </is>
      </c>
      <c r="I1313">
        <f>IF(H1313&lt;&gt;"",H1313,G1313)</f>
        <v/>
      </c>
      <c r="J1313" t="inlineStr">
        <is>
          <t>Wave 5 · Projects</t>
        </is>
      </c>
      <c r="K1313" t="n">
        <v>3</v>
      </c>
      <c r="L1313" t="n">
        <v>1</v>
      </c>
      <c r="M1313" s="5" t="inlineStr">
        <is>
          <t>As a project manager, I want to create a project with client, billing model, budgets and tasks so that time and cost are tracked.</t>
        </is>
      </c>
      <c r="N1313" s="5" t="inlineStr">
        <is>
          <t>• Given a project, when saved, then the code is unique per entity and a PM, entity and cost centre are required (YX-PRJ-01).
• Given a billable project, when saved, then a client and billing model (T&amp;M, fixed fee, retainer) are required (YX-PRJ-01).
• Given budgets in hours, cost and fee, when set, then alert thresholds (starter 80 / 100 %) are saved (YX-PRJ-01).
• Given a closed project, when time or costs are added, then they are refused (YX-PRJ-01).</t>
        </is>
      </c>
      <c r="O1313" s="5" t="inlineStr">
        <is>
          <t>YX-PRJ-01</t>
        </is>
      </c>
      <c r="P1313" t="inlineStr">
        <is>
          <t>M12, M10</t>
        </is>
      </c>
      <c r="Q1313" t="inlineStr">
        <is>
          <t>US-D-226</t>
        </is>
      </c>
      <c r="R1313" s="5" t="inlineStr"/>
    </row>
    <row r="1314">
      <c r="A1314" t="inlineStr">
        <is>
          <t>US-D-228</t>
        </is>
      </c>
      <c r="B1314" t="n">
        <v>1333</v>
      </c>
      <c r="C1314" t="inlineStr">
        <is>
          <t>Story</t>
        </is>
      </c>
      <c r="D1314" s="5" t="inlineStr">
        <is>
          <t xml:space="preserve">        Company sets project and timesheet policies from a template</t>
        </is>
      </c>
      <c r="E1314" t="inlineStr">
        <is>
          <t>Projects, timesheets and client billing</t>
        </is>
      </c>
      <c r="F1314" t="inlineStr">
        <is>
          <t>Projects, tasks and allocations</t>
        </is>
      </c>
      <c r="G1314" t="inlineStr">
        <is>
          <t>New</t>
        </is>
      </c>
      <c r="I1314">
        <f>IF(H1314&lt;&gt;"",H1314,G1314)</f>
        <v/>
      </c>
      <c r="J1314" t="inlineStr">
        <is>
          <t>Wave 5 · Projects</t>
        </is>
      </c>
      <c r="K1314" t="n">
        <v>3</v>
      </c>
      <c r="L1314" t="n">
        <v>1</v>
      </c>
      <c r="M1314" s="5" t="inlineStr">
        <is>
          <t>As a PMO admin, I want project, timesheet and billing policies from a starter template so that we start fast and can override per project.</t>
        </is>
      </c>
      <c r="N1314" s="5" t="inlineStr">
        <is>
          <t>• Given a new company, when settings open, then the services-firm starter template (activity codes, internal codes, approval chain, 75 % target, 80 / 100 % alerts) is labelled as a starter (YX-PRJ-14).
• Given a setting that allows it, when a PM overrides it on a project, then the override is saved for that project only (YX-PRJ-14).
• Given imports, when clients, projects, tasks, allocations, rate cards and unbilled hours are loaded through P15, then opening WIP is set (M12 §8).</t>
        </is>
      </c>
      <c r="O1314" s="5" t="inlineStr">
        <is>
          <t>YX-PRJ-14</t>
        </is>
      </c>
      <c r="P1314" t="inlineStr">
        <is>
          <t>M12, M10</t>
        </is>
      </c>
      <c r="Q1314" t="inlineStr">
        <is>
          <t>US-D-227</t>
        </is>
      </c>
      <c r="R1314" s="5" t="inlineStr"/>
    </row>
    <row r="1315">
      <c r="A1315" t="inlineStr">
        <is>
          <t>US-D-229</t>
        </is>
      </c>
      <c r="B1315" t="n">
        <v>1334</v>
      </c>
      <c r="C1315" t="inlineStr">
        <is>
          <t>Story</t>
        </is>
      </c>
      <c r="D1315" s="5" t="inlineStr">
        <is>
          <t xml:space="preserve">        PM allocates people to a project</t>
        </is>
      </c>
      <c r="E1315" t="inlineStr">
        <is>
          <t>Projects, timesheets and client billing</t>
        </is>
      </c>
      <c r="F1315" t="inlineStr">
        <is>
          <t>Projects, tasks and allocations</t>
        </is>
      </c>
      <c r="G1315" t="inlineStr">
        <is>
          <t>New</t>
        </is>
      </c>
      <c r="I1315">
        <f>IF(H1315&lt;&gt;"",H1315,G1315)</f>
        <v/>
      </c>
      <c r="J1315" t="inlineStr">
        <is>
          <t>Wave 5 · Projects</t>
        </is>
      </c>
      <c r="K1315" t="n">
        <v>3</v>
      </c>
      <c r="L1315" t="n">
        <v>1</v>
      </c>
      <c r="M1315" s="5" t="inlineStr">
        <is>
          <t>As a project manager, I want to allocate people by % or hours per week with a role so that only they book time and the bill rate is known.</t>
        </is>
      </c>
      <c r="N1315" s="5" t="inlineStr">
        <is>
          <t>• Given an allocation with role and dates, when saved, then the person can book time to the project on those dates (YX-PRJ-02).
• Given Priya is allocated to ACME-Website, when she tries to book ACME-Mobile, then it is blocked (starter) or sent for PM approval per setting (YX-PRJ-02).
• Given internal codes (training, bench, admin), when anyone books time, then they are always available (YX-PRJ-02).
• Given `employment.exited`, when it fires, then the leaver's allocations end (M12 §6).</t>
        </is>
      </c>
      <c r="O1315" s="5" t="inlineStr">
        <is>
          <t>YX-PRJ-02</t>
        </is>
      </c>
      <c r="P1315" t="inlineStr">
        <is>
          <t>M12, M10</t>
        </is>
      </c>
      <c r="Q1315" t="inlineStr">
        <is>
          <t>US-D-227</t>
        </is>
      </c>
      <c r="R1315" s="5" t="inlineStr"/>
    </row>
    <row r="1316">
      <c r="A1316" t="inlineStr">
        <is>
          <t>US-D-230</t>
        </is>
      </c>
      <c r="B1316" t="n">
        <v>1335</v>
      </c>
      <c r="C1316" t="inlineStr">
        <is>
          <t>Story</t>
        </is>
      </c>
      <c r="D1316" s="5" t="inlineStr">
        <is>
          <t xml:space="preserve">        Account manager sets the project rate card</t>
        </is>
      </c>
      <c r="E1316" t="inlineStr">
        <is>
          <t>Projects, timesheets and client billing</t>
        </is>
      </c>
      <c r="F1316" t="inlineStr">
        <is>
          <t>Projects, tasks and allocations</t>
        </is>
      </c>
      <c r="G1316" t="inlineStr">
        <is>
          <t>New</t>
        </is>
      </c>
      <c r="I1316">
        <f>IF(H1316&lt;&gt;"",H1316,G1316)</f>
        <v/>
      </c>
      <c r="J1316" t="inlineStr">
        <is>
          <t>Wave 5 · Projects</t>
        </is>
      </c>
      <c r="K1316" t="n">
        <v>2</v>
      </c>
      <c r="L1316" t="n">
        <v>1</v>
      </c>
      <c r="M1316" s="5" t="inlineStr">
        <is>
          <t>As an account manager, I want dated bill rates per role, per person or a project default so that invoices use the right rate.</t>
        </is>
      </c>
      <c r="N1316" s="5" t="inlineStr">
        <is>
          <t>• Given a rate card, when rates are added per role, person or default, hourly or daily, then they are dated (M12 §3).
• Given a work date, when billing picks a rate, then it uses person override &gt; project role &gt; project default valid on that date (YX-PRJ-09).
• Given bill rates, when anyone outside PM, account manager and finance looks, then they are hidden (M12 §4).</t>
        </is>
      </c>
      <c r="O1316" s="5" t="inlineStr">
        <is>
          <t>YX-PRJ-09</t>
        </is>
      </c>
      <c r="P1316" t="inlineStr">
        <is>
          <t>M12, M10</t>
        </is>
      </c>
      <c r="Q1316" t="inlineStr">
        <is>
          <t>US-D-229</t>
        </is>
      </c>
      <c r="R1316" s="5" t="inlineStr"/>
    </row>
    <row r="1317">
      <c r="A1317" s="9" t="inlineStr">
        <is>
          <t>FT-D-054</t>
        </is>
      </c>
      <c r="B1317" s="9" t="n">
        <v>1336</v>
      </c>
      <c r="C1317" s="9" t="inlineStr">
        <is>
          <t>Feature</t>
        </is>
      </c>
      <c r="D1317" s="10" t="inlineStr">
        <is>
          <t xml:space="preserve">    Project timesheets and approvals</t>
        </is>
      </c>
      <c r="E1317" s="9" t="inlineStr">
        <is>
          <t>Projects, timesheets and client billing</t>
        </is>
      </c>
      <c r="F1317" s="9" t="inlineStr">
        <is>
          <t>Project timesheets and approvals</t>
        </is>
      </c>
      <c r="G1317" s="9" t="inlineStr">
        <is>
          <t>New</t>
        </is>
      </c>
      <c r="H1317" s="9" t="n"/>
      <c r="I1317" s="9">
        <f>IF(H1317&lt;&gt;"",H1317,G1317)</f>
        <v/>
      </c>
      <c r="J1317" s="9" t="inlineStr">
        <is>
          <t>Wave 5 · Projects</t>
        </is>
      </c>
      <c r="K1317" s="9" t="n"/>
      <c r="L1317" s="9" t="n"/>
      <c r="M1317" s="10" t="inlineStr"/>
      <c r="N1317" s="10" t="inlineStr"/>
      <c r="O1317" s="10" t="inlineStr"/>
      <c r="P1317" s="9" t="inlineStr">
        <is>
          <t>M12, M02, M04</t>
        </is>
      </c>
      <c r="Q1317" s="9" t="inlineStr"/>
      <c r="R1317" s="10" t="inlineStr"/>
      <c r="S1317" s="9" t="n"/>
    </row>
    <row r="1318">
      <c r="A1318" t="inlineStr">
        <is>
          <t>US-D-231</t>
        </is>
      </c>
      <c r="B1318" t="n">
        <v>1337</v>
      </c>
      <c r="C1318" t="inlineStr">
        <is>
          <t>Story</t>
        </is>
      </c>
      <c r="D1318" s="5" t="inlineStr">
        <is>
          <t xml:space="preserve">        Employee fills a weekly timesheet with project lines</t>
        </is>
      </c>
      <c r="E1318" t="inlineStr">
        <is>
          <t>Projects, timesheets and client billing</t>
        </is>
      </c>
      <c r="F1318" t="inlineStr">
        <is>
          <t>Project timesheets and approvals</t>
        </is>
      </c>
      <c r="G1318" t="inlineStr">
        <is>
          <t>New</t>
        </is>
      </c>
      <c r="I1318">
        <f>IF(H1318&lt;&gt;"",H1318,G1318)</f>
        <v/>
      </c>
      <c r="J1318" t="inlineStr">
        <is>
          <t>Wave 5 · Projects</t>
        </is>
      </c>
      <c r="K1318" t="n">
        <v>5</v>
      </c>
      <c r="L1318" t="n">
        <v>1</v>
      </c>
      <c r="M1318" s="5" t="inlineStr">
        <is>
          <t>As an employee, I want to fill my week with project, task and hours, pre-filled from my allocations, so that I submit once a week.</t>
        </is>
      </c>
      <c r="N1318" s="5" t="inlineStr">
        <is>
          <t>• Given the week grid, when it opens, then rows are pre-filled from allocations and pickers offer only allocated projects plus internal codes (YX-PRJ-02, YX-PRJ-03).
• Given a day above 24 hours, when entered, then it is refused; above the shift's expected hours it warns (starter) (YX-PRJ-03).
• Given a project requiring notes, when a line has none, then submit is blocked; billable defaults from the task, then the project (YX-PRJ-03).
• Given a submitted week, when the employee tries to edit, then it is locked until sent back; placement and project lines share the week (YX-PRJ-03).</t>
        </is>
      </c>
      <c r="O1318" s="5" t="inlineStr">
        <is>
          <t>YX-PRJ-03, YX-PRJ-02</t>
        </is>
      </c>
      <c r="P1318" t="inlineStr">
        <is>
          <t>M12, M02, M04</t>
        </is>
      </c>
      <c r="Q1318" t="inlineStr">
        <is>
          <t>US-D-229</t>
        </is>
      </c>
      <c r="R1318" s="5" t="inlineStr"/>
    </row>
    <row r="1319">
      <c r="A1319" t="inlineStr">
        <is>
          <t>US-D-232</t>
        </is>
      </c>
      <c r="B1319" t="n">
        <v>1338</v>
      </c>
      <c r="C1319" t="inlineStr">
        <is>
          <t>Story</t>
        </is>
      </c>
      <c r="D1319" s="5" t="inlineStr">
        <is>
          <t xml:space="preserve">        Employee submits the timesheet on the phone</t>
        </is>
      </c>
      <c r="E1319" t="inlineStr">
        <is>
          <t>Projects, timesheets and client billing</t>
        </is>
      </c>
      <c r="F1319" t="inlineStr">
        <is>
          <t>Project timesheets and approvals</t>
        </is>
      </c>
      <c r="G1319" t="inlineStr">
        <is>
          <t>New</t>
        </is>
      </c>
      <c r="I1319">
        <f>IF(H1319&lt;&gt;"",H1319,G1319)</f>
        <v/>
      </c>
      <c r="J1319" t="inlineStr">
        <is>
          <t>Wave 5 · Projects</t>
        </is>
      </c>
      <c r="K1319" t="n">
        <v>3</v>
      </c>
      <c r="L1319" t="n">
        <v>1</v>
      </c>
      <c r="M1319" s="5" t="inlineStr">
        <is>
          <t>As an employee, I want a day list on the Time tab to fill and submit my week so that I can do it on the go.</t>
        </is>
      </c>
      <c r="N1319" s="5" t="inlineStr">
        <is>
          <t>• Given the Time tab, when timesheets open, then each day lists rows pre-filled from allocations with project / task pickers (M04 §3.1, YX-MOB-01).
• Given the week is done, when the employee taps 'submit week', then it is submitted (M04 §3.1).
• Given approved or reduced lines, when the employee opens them, then reasons are shown (YX-PRJ-04).
• Given reminders, when Friday comes, and on Monday when a week is missing, then nudges go out (M12 §6).</t>
        </is>
      </c>
      <c r="O1319" s="5" t="inlineStr">
        <is>
          <t>YX-PRJ-04, YX-MOB-01</t>
        </is>
      </c>
      <c r="P1319" t="inlineStr">
        <is>
          <t>M12, M02, M04</t>
        </is>
      </c>
      <c r="Q1319" t="inlineStr">
        <is>
          <t>US-D-231</t>
        </is>
      </c>
      <c r="R1319" s="5" t="inlineStr"/>
    </row>
    <row r="1320">
      <c r="A1320" t="inlineStr">
        <is>
          <t>US-D-233</t>
        </is>
      </c>
      <c r="B1320" t="n">
        <v>1339</v>
      </c>
      <c r="C1320" t="inlineStr">
        <is>
          <t>Story</t>
        </is>
      </c>
      <c r="D1320" s="5" t="inlineStr">
        <is>
          <t xml:space="preserve">        PM approves, reduces or rejects timesheet lines</t>
        </is>
      </c>
      <c r="E1320" t="inlineStr">
        <is>
          <t>Projects, timesheets and client billing</t>
        </is>
      </c>
      <c r="F1320" t="inlineStr">
        <is>
          <t>Project timesheets and approvals</t>
        </is>
      </c>
      <c r="G1320" t="inlineStr">
        <is>
          <t>New</t>
        </is>
      </c>
      <c r="I1320">
        <f>IF(H1320&lt;&gt;"",H1320,G1320)</f>
        <v/>
      </c>
      <c r="J1320" t="inlineStr">
        <is>
          <t>Wave 5 · Projects</t>
        </is>
      </c>
      <c r="K1320" t="n">
        <v>3</v>
      </c>
      <c r="L1320" t="n">
        <v>1</v>
      </c>
      <c r="M1320" s="5" t="inlineStr">
        <is>
          <t>As a project manager, I want to approve lines on cards grouped by project and week so that billing uses checked hours.</t>
        </is>
      </c>
      <c r="N1320" s="5" t="inlineStr">
        <is>
          <t>• Given submitted lines, when routed, then the PM approves (the PM's manager when the PM is the submitter; the account manager after the SLA) (YX-PRJ-04).
• Given Priya's 42 h, when the PM reduces 2 h with 'duplicate stand-up entry', then she sees the reason (YX-PRJ-04).
• Given lines within allocation, when the PM selects them, then they can bulk approve (M12 §7).
• Given mobile, when the PM opens Requests, then timesheet approval cards are grouped by project and week, with milestone completion (M04 §3.1).</t>
        </is>
      </c>
      <c r="O1320" s="5" t="inlineStr">
        <is>
          <t>YX-PRJ-04</t>
        </is>
      </c>
      <c r="P1320" t="inlineStr">
        <is>
          <t>M12, M02, M04</t>
        </is>
      </c>
      <c r="Q1320" t="inlineStr">
        <is>
          <t>US-D-231</t>
        </is>
      </c>
      <c r="R1320" s="5" t="inlineStr"/>
    </row>
    <row r="1321">
      <c r="A1321" t="inlineStr">
        <is>
          <t>US-D-234</t>
        </is>
      </c>
      <c r="B1321" t="n">
        <v>1340</v>
      </c>
      <c r="C1321" t="inlineStr">
        <is>
          <t>Story</t>
        </is>
      </c>
      <c r="D1321" s="5" t="inlineStr">
        <is>
          <t xml:space="preserve">        Client approves timesheets in the portal</t>
        </is>
      </c>
      <c r="E1321" t="inlineStr">
        <is>
          <t>Projects, timesheets and client billing</t>
        </is>
      </c>
      <c r="F1321" t="inlineStr">
        <is>
          <t>Project timesheets and approvals</t>
        </is>
      </c>
      <c r="G1321" t="inlineStr">
        <is>
          <t>New</t>
        </is>
      </c>
      <c r="I1321">
        <f>IF(H1321&lt;&gt;"",H1321,G1321)</f>
        <v/>
      </c>
      <c r="J1321" t="inlineStr">
        <is>
          <t>Wave 5 · Projects</t>
        </is>
      </c>
      <c r="K1321" t="n">
        <v>3</v>
      </c>
      <c r="L1321" t="n">
        <v>2</v>
      </c>
      <c r="M1321" s="5" t="inlineStr">
        <is>
          <t>As a client contact, I want to approve the hours billed to us in the portal so that invoices match what we agreed.</t>
        </is>
      </c>
      <c r="N1321" s="5" t="inlineStr">
        <is>
          <t>• Given a project with client approval on, when the PM has approved, then lines go to the client contact in the portal (YX-PRJ-04).
• Given the client portal, when the contact signs in by email OTP, then they see only their client's projects and the lines billed to them (YX-PRJ-04).
• Given hours awaiting client approval, when billing runs, then they stay in WIP and are not billed (YX-PRJ-09).</t>
        </is>
      </c>
      <c r="O1321" s="5" t="inlineStr">
        <is>
          <t>YX-PRJ-04</t>
        </is>
      </c>
      <c r="P1321" t="inlineStr">
        <is>
          <t>M12, M10</t>
        </is>
      </c>
      <c r="Q1321" t="inlineStr">
        <is>
          <t>US-D-233</t>
        </is>
      </c>
      <c r="R1321" s="5" t="inlineStr"/>
    </row>
    <row r="1322">
      <c r="A1322" t="inlineStr">
        <is>
          <t>US-D-235</t>
        </is>
      </c>
      <c r="B1322" t="n">
        <v>1341</v>
      </c>
      <c r="C1322" t="inlineStr">
        <is>
          <t>Story</t>
        </is>
      </c>
      <c r="D1322" s="5" t="inlineStr">
        <is>
          <t xml:space="preserve">        Approved time is corrected only with an adjustment line</t>
        </is>
      </c>
      <c r="E1322" t="inlineStr">
        <is>
          <t>Projects, timesheets and client billing</t>
        </is>
      </c>
      <c r="F1322" t="inlineStr">
        <is>
          <t>Project timesheets and approvals</t>
        </is>
      </c>
      <c r="G1322" t="inlineStr">
        <is>
          <t>New</t>
        </is>
      </c>
      <c r="I1322">
        <f>IF(H1322&lt;&gt;"",H1322,G1322)</f>
        <v/>
      </c>
      <c r="J1322" t="inlineStr">
        <is>
          <t>Wave 5 · Projects</t>
        </is>
      </c>
      <c r="K1322" t="n">
        <v>3</v>
      </c>
      <c r="L1322" t="n">
        <v>1</v>
      </c>
      <c r="M1322" s="5" t="inlineStr">
        <is>
          <t>As an employee, I want to fix approved time with an adjustment line so that the record stays honest.</t>
        </is>
      </c>
      <c r="N1322" s="5" t="inlineStr">
        <is>
          <t>• Given approved lines, when anyone tries to edit them, then it is refused (YX-PRJ-05).
• Given a correction, when the employee adds it in an open week referencing the original, then it is approved like any line (YX-PRJ-05).
• Given the P08 period lock, when it applies, then timesheet periods freeze and lock with it (YX-PRJ-05).</t>
        </is>
      </c>
      <c r="O1322" s="5" t="inlineStr">
        <is>
          <t>YX-PRJ-05</t>
        </is>
      </c>
      <c r="P1322" t="inlineStr">
        <is>
          <t>M12, M02, M04</t>
        </is>
      </c>
      <c r="Q1322" t="inlineStr">
        <is>
          <t>US-D-233</t>
        </is>
      </c>
      <c r="R1322" s="5" t="inlineStr"/>
    </row>
    <row r="1323">
      <c r="A1323" t="inlineStr">
        <is>
          <t>US-D-236</t>
        </is>
      </c>
      <c r="B1323" t="n">
        <v>1342</v>
      </c>
      <c r="C1323" t="inlineStr">
        <is>
          <t>Story</t>
        </is>
      </c>
      <c r="D1323" s="5" t="inlineStr">
        <is>
          <t xml:space="preserve">        Payroll reads project hours only for timesheet-mode staff</t>
        </is>
      </c>
      <c r="E1323" t="inlineStr">
        <is>
          <t>Projects, timesheets and client billing</t>
        </is>
      </c>
      <c r="F1323" t="inlineStr">
        <is>
          <t>Project timesheets and approvals</t>
        </is>
      </c>
      <c r="G1323" t="inlineStr">
        <is>
          <t>New</t>
        </is>
      </c>
      <c r="I1323">
        <f>IF(H1323&lt;&gt;"",H1323,G1323)</f>
        <v/>
      </c>
      <c r="J1323" t="inlineStr">
        <is>
          <t>Wave 5 · Projects</t>
        </is>
      </c>
      <c r="K1323" t="n">
        <v>2</v>
      </c>
      <c r="L1323" t="n">
        <v>1</v>
      </c>
      <c r="M1323" s="5" t="inlineStr">
        <is>
          <t>As a payroll admin, I want project hours to affect pay only for timesheet-mode or rate-based staff so that monthly salaries don't change by mistake.</t>
        </is>
      </c>
      <c r="N1323" s="5" t="inlineStr">
        <is>
          <t>• Given an employee in Timesheet mode or with rate-based pay, when payroll runs, then approved hours feed pay through the M02 feed (YX-PRJ-13).
• Given Rahul in Punch mode books 50 hours when attendance shows 40, when payroll runs, then pay is unchanged (YX-PRJ-13).
• Given the mismatch, when found, then the PM sees a flag and nothing is auto-corrected (YX-PRJ-13).</t>
        </is>
      </c>
      <c r="O1323" s="5" t="inlineStr">
        <is>
          <t>YX-PRJ-13</t>
        </is>
      </c>
      <c r="P1323" t="inlineStr">
        <is>
          <t>M12, M02, M03</t>
        </is>
      </c>
      <c r="Q1323" t="inlineStr">
        <is>
          <t>US-D-233</t>
        </is>
      </c>
      <c r="R1323" s="5" t="inlineStr"/>
    </row>
    <row r="1324">
      <c r="A1324" s="9" t="inlineStr">
        <is>
          <t>FT-D-055</t>
        </is>
      </c>
      <c r="B1324" s="9" t="n">
        <v>1344</v>
      </c>
      <c r="C1324" s="9" t="inlineStr">
        <is>
          <t>Feature</t>
        </is>
      </c>
      <c r="D1324" s="10" t="inlineStr">
        <is>
          <t xml:space="preserve">    Utilisation, costing and bench</t>
        </is>
      </c>
      <c r="E1324" s="9" t="inlineStr">
        <is>
          <t>Projects, timesheets and client billing</t>
        </is>
      </c>
      <c r="F1324" s="9" t="inlineStr">
        <is>
          <t>Utilisation, costing and bench</t>
        </is>
      </c>
      <c r="G1324" s="9" t="inlineStr">
        <is>
          <t>New</t>
        </is>
      </c>
      <c r="H1324" s="9" t="n"/>
      <c r="I1324" s="9">
        <f>IF(H1324&lt;&gt;"",H1324,G1324)</f>
        <v/>
      </c>
      <c r="J1324" s="9" t="inlineStr">
        <is>
          <t>Wave 5 · Projects</t>
        </is>
      </c>
      <c r="K1324" s="9" t="n"/>
      <c r="L1324" s="9" t="n"/>
      <c r="M1324" s="10" t="inlineStr"/>
      <c r="N1324" s="10" t="inlineStr"/>
      <c r="O1324" s="10" t="inlineStr"/>
      <c r="P1324" s="9" t="inlineStr">
        <is>
          <t>M12, M03, M05, M06</t>
        </is>
      </c>
      <c r="Q1324" s="9" t="inlineStr"/>
      <c r="R1324" s="10" t="inlineStr"/>
      <c r="S1324" s="9" t="n"/>
    </row>
    <row r="1325">
      <c r="A1325" t="inlineStr">
        <is>
          <t>US-D-237</t>
        </is>
      </c>
      <c r="B1325" t="n">
        <v>1345</v>
      </c>
      <c r="C1325" t="inlineStr">
        <is>
          <t>Story</t>
        </is>
      </c>
      <c r="D1325" s="5" t="inlineStr">
        <is>
          <t xml:space="preserve">        Resource manager sees utilisation and capacity</t>
        </is>
      </c>
      <c r="E1325" t="inlineStr">
        <is>
          <t>Projects, timesheets and client billing</t>
        </is>
      </c>
      <c r="F1325" t="inlineStr">
        <is>
          <t>Utilisation, costing and bench</t>
        </is>
      </c>
      <c r="G1325" t="inlineStr">
        <is>
          <t>New</t>
        </is>
      </c>
      <c r="I1325">
        <f>IF(H1325&lt;&gt;"",H1325,G1325)</f>
        <v/>
      </c>
      <c r="J1325" t="inlineStr">
        <is>
          <t>Wave 5 · Projects</t>
        </is>
      </c>
      <c r="K1325" t="n">
        <v>5</v>
      </c>
      <c r="L1325" t="n">
        <v>2</v>
      </c>
      <c r="M1325" s="5" t="inlineStr">
        <is>
          <t>As a resource manager, I want utilisation and capacity per person and team so that I keep people billable.</t>
        </is>
      </c>
      <c r="N1325" s="5" t="inlineStr">
        <is>
          <t>• Given approved billable hours and available hours (M02 expected hours minus leave and holidays), when computed, then Design team October = 1,120 ÷ 1,480 = 75.7 % (YX-PRJ-06).
• Given capacity, when the board opens, then available − allocated hours show as a people × weeks heatmap (YX-PRJ-06).
• Given a team of 3, when a non-HR viewer opens it where P02 says so, then it is suppressed (YX-PRJ-06).
• Given a designation target (starter 75 %), when shown, then utilisation vs target is shown (YX-PRJ-06).</t>
        </is>
      </c>
      <c r="O1325" s="5" t="inlineStr">
        <is>
          <t>YX-PRJ-06</t>
        </is>
      </c>
      <c r="P1325" t="inlineStr">
        <is>
          <t>M12, M03, M05, M06</t>
        </is>
      </c>
      <c r="Q1325" t="inlineStr">
        <is>
          <t>US-D-233</t>
        </is>
      </c>
      <c r="R1325" s="5" t="inlineStr"/>
    </row>
    <row r="1326">
      <c r="A1326" t="inlineStr">
        <is>
          <t>US-D-238</t>
        </is>
      </c>
      <c r="B1326" t="n">
        <v>1346</v>
      </c>
      <c r="C1326" t="inlineStr">
        <is>
          <t>Story</t>
        </is>
      </c>
      <c r="D1326" s="5" t="inlineStr">
        <is>
          <t xml:space="preserve">        Project cost is computed from cost rates and expenses</t>
        </is>
      </c>
      <c r="E1326" t="inlineStr">
        <is>
          <t>Projects, timesheets and client billing</t>
        </is>
      </c>
      <c r="F1326" t="inlineStr">
        <is>
          <t>Utilisation, costing and bench</t>
        </is>
      </c>
      <c r="G1326" t="inlineStr">
        <is>
          <t>New</t>
        </is>
      </c>
      <c r="I1326">
        <f>IF(H1326&lt;&gt;"",H1326,G1326)</f>
        <v/>
      </c>
      <c r="J1326" t="inlineStr">
        <is>
          <t>Wave 5 · Projects</t>
        </is>
      </c>
      <c r="K1326" t="n">
        <v>5</v>
      </c>
      <c r="L1326" t="n">
        <v>1</v>
      </c>
      <c r="M1326" s="5" t="inlineStr">
        <is>
          <t>As a finance user, I want project cost from approved hours × cost rate plus project expenses so that margin is known.</t>
        </is>
      </c>
      <c r="N1326" s="5" t="inlineStr">
        <is>
          <t>• Given approved hours, when the nightly job runs, then provisional cost = hours × the month's cost rate (YX-PRJ-07).
• Given `payroll.run.paid` for October, when it arrives, then October postings are recomputed from final rates (YX-PRJ-07).
• Given approved project-tagged expenses from M05, when approved, then they post to the project (YX-PRJ-07).
• Given burn reaches 80 % or 100 % of hours, cost or fee, when it happens, then the PM and account manager are alerted (YX-PRJ-07).</t>
        </is>
      </c>
      <c r="O1326" s="5" t="inlineStr">
        <is>
          <t>YX-PRJ-07</t>
        </is>
      </c>
      <c r="P1326" t="inlineStr">
        <is>
          <t>M12, M03, M05, M06</t>
        </is>
      </c>
      <c r="Q1326" t="inlineStr">
        <is>
          <t>US-D-233, US-D-142</t>
        </is>
      </c>
      <c r="R1326" s="5" t="inlineStr"/>
    </row>
    <row r="1327">
      <c r="A1327" t="inlineStr">
        <is>
          <t>US-D-239</t>
        </is>
      </c>
      <c r="B1327" t="n">
        <v>1347</v>
      </c>
      <c r="C1327" t="inlineStr">
        <is>
          <t>Story</t>
        </is>
      </c>
      <c r="D1327" s="5" t="inlineStr">
        <is>
          <t xml:space="preserve">        PM sees cost totals without anyone's personal rate</t>
        </is>
      </c>
      <c r="E1327" t="inlineStr">
        <is>
          <t>Projects, timesheets and client billing</t>
        </is>
      </c>
      <c r="F1327" t="inlineStr">
        <is>
          <t>Utilisation, costing and bench</t>
        </is>
      </c>
      <c r="G1327" t="inlineStr">
        <is>
          <t>New</t>
        </is>
      </c>
      <c r="I1327">
        <f>IF(H1327&lt;&gt;"",H1327,G1327)</f>
        <v/>
      </c>
      <c r="J1327" t="inlineStr">
        <is>
          <t>Wave 5 · Projects</t>
        </is>
      </c>
      <c r="K1327" t="n">
        <v>2</v>
      </c>
      <c r="L1327" t="n">
        <v>1</v>
      </c>
      <c r="M1327" s="5" t="inlineStr">
        <is>
          <t>As an employee, I want my cost rate hidden from my PM so that my pay stays private.</t>
        </is>
      </c>
      <c r="N1327" s="5" t="inlineStr">
        <is>
          <t>• Given individual cost rates, when a PM opens the project, then only payroll / finance scope sees them (YX-PRJ-08).
• Given a one-person task in a month, when the PM views its cost, then it is suppressed (YX-PRJ-08).
• Given finance, when they open the project, then they see margin and per-person cost (YX-PRJ-08).</t>
        </is>
      </c>
      <c r="O1327" s="5" t="inlineStr">
        <is>
          <t>YX-PRJ-08</t>
        </is>
      </c>
      <c r="P1327" t="inlineStr">
        <is>
          <t>M12, M03, M05, M06</t>
        </is>
      </c>
      <c r="Q1327" t="inlineStr">
        <is>
          <t>US-D-238</t>
        </is>
      </c>
      <c r="R1327" s="5" t="inlineStr"/>
    </row>
    <row r="1328">
      <c r="A1328" t="inlineStr">
        <is>
          <t>US-D-240</t>
        </is>
      </c>
      <c r="B1328" t="n">
        <v>1348</v>
      </c>
      <c r="C1328" t="inlineStr">
        <is>
          <t>Story</t>
        </is>
      </c>
      <c r="D1328" s="5" t="inlineStr">
        <is>
          <t xml:space="preserve">        Resource manager matches bench people to a resource request</t>
        </is>
      </c>
      <c r="E1328" t="inlineStr">
        <is>
          <t>Projects, timesheets and client billing</t>
        </is>
      </c>
      <c r="F1328" t="inlineStr">
        <is>
          <t>Utilisation, costing and bench</t>
        </is>
      </c>
      <c r="G1328" t="inlineStr">
        <is>
          <t>New</t>
        </is>
      </c>
      <c r="I1328">
        <f>IF(H1328&lt;&gt;"",H1328,G1328)</f>
        <v/>
      </c>
      <c r="J1328" t="inlineStr">
        <is>
          <t>Wave 5 · Projects</t>
        </is>
      </c>
      <c r="K1328" t="n">
        <v>5</v>
      </c>
      <c r="L1328" t="n">
        <v>2</v>
      </c>
      <c r="M1328" s="5" t="inlineStr">
        <is>
          <t>As a resource manager, I want bench status and skill-matched suggestions for a PM's request so that bench people get work first.</t>
        </is>
      </c>
      <c r="N1328" s="5" t="inlineStr">
        <is>
          <t>• Given allocations, when computed, then each employee is allocated / partly allocated / bench, with bench age in days (YX-PRJ-17).
• Given a PM's request for SQL at 100 % on given dates, when matched, then people with confirmed SQL skill and free on those dates are listed, bench first (YX-PRJ-17).
• Given a person 100 % allocated on those dates, when matching runs, then they are not shown as available (YX-PRJ-17).
• Given a match, when the resource manager confirms, then the allocation is created (YX-PRJ-17).</t>
        </is>
      </c>
      <c r="O1328" s="5" t="inlineStr">
        <is>
          <t>YX-PRJ-17</t>
        </is>
      </c>
      <c r="P1328" t="inlineStr">
        <is>
          <t>M12, M03, M05, M06</t>
        </is>
      </c>
      <c r="Q1328" t="inlineStr">
        <is>
          <t>US-D-229, US-D-158</t>
        </is>
      </c>
      <c r="R1328" s="5" t="inlineStr"/>
    </row>
    <row r="1329">
      <c r="A1329" s="9" t="inlineStr">
        <is>
          <t>FT-D-056</t>
        </is>
      </c>
      <c r="B1329" s="9" t="n">
        <v>1350</v>
      </c>
      <c r="C1329" s="9" t="inlineStr">
        <is>
          <t>Feature</t>
        </is>
      </c>
      <c r="D1329" s="10" t="inlineStr">
        <is>
          <t xml:space="preserve">    Client billing and accounting</t>
        </is>
      </c>
      <c r="E1329" s="9" t="inlineStr">
        <is>
          <t>Projects, timesheets and client billing</t>
        </is>
      </c>
      <c r="F1329" s="9" t="inlineStr">
        <is>
          <t>Client billing and accounting</t>
        </is>
      </c>
      <c r="G1329" s="9" t="inlineStr">
        <is>
          <t>New</t>
        </is>
      </c>
      <c r="H1329" s="9" t="n"/>
      <c r="I1329" s="9">
        <f>IF(H1329&lt;&gt;"",H1329,G1329)</f>
        <v/>
      </c>
      <c r="J1329" s="9" t="inlineStr">
        <is>
          <t>Wave 5 · Projects</t>
        </is>
      </c>
      <c r="K1329" s="9" t="n"/>
      <c r="L1329" s="9" t="n"/>
      <c r="M1329" s="10" t="inlineStr"/>
      <c r="N1329" s="10" t="inlineStr"/>
      <c r="O1329" s="10" t="inlineStr"/>
      <c r="P1329" s="9" t="inlineStr">
        <is>
          <t>M12, M10, P10</t>
        </is>
      </c>
      <c r="Q1329" s="9" t="inlineStr"/>
      <c r="R1329" s="10" t="inlineStr"/>
      <c r="S1329" s="9" t="n"/>
    </row>
    <row r="1330">
      <c r="A1330" t="inlineStr">
        <is>
          <t>US-D-241</t>
        </is>
      </c>
      <c r="B1330" t="n">
        <v>1351</v>
      </c>
      <c r="C1330" t="inlineStr">
        <is>
          <t>Story</t>
        </is>
      </c>
      <c r="D1330" s="5" t="inlineStr">
        <is>
          <t xml:space="preserve">        Account manager bills time and material from WIP</t>
        </is>
      </c>
      <c r="E1330" t="inlineStr">
        <is>
          <t>Projects, timesheets and client billing</t>
        </is>
      </c>
      <c r="F1330" t="inlineStr">
        <is>
          <t>Client billing and accounting</t>
        </is>
      </c>
      <c r="G1330" t="inlineStr">
        <is>
          <t>New</t>
        </is>
      </c>
      <c r="I1330">
        <f>IF(H1330&lt;&gt;"",H1330,G1330)</f>
        <v/>
      </c>
      <c r="J1330" t="inlineStr">
        <is>
          <t>Wave 5 · Projects</t>
        </is>
      </c>
      <c r="K1330" t="n">
        <v>5</v>
      </c>
      <c r="L1330" t="n">
        <v>1</v>
      </c>
      <c r="M1330" s="5" t="inlineStr">
        <is>
          <t>As an account manager, I want to create invoices from approved billable hours so that we bill correctly and fast.</t>
        </is>
      </c>
      <c r="N1330" s="5" t="inlineStr">
        <is>
          <t>• Given 120 approved billable hours at ₹2,000 and 10 hours awaiting client approval, when the draft is created, then it bills ₹2,40,000 + GST only (YX-PRJ-09).
• Given unapproved, non-billable or already invoiced hours, when billing runs, then they are never billed (YX-PRJ-09).
• Given the WIP view, when opened, then everything billable not yet invoiced is listed by client and project (YX-PRJ-09).
• Given the draft, when approved (starter: account manager → finance), then it is issued by the shared engine (YX-PRJ-11).</t>
        </is>
      </c>
      <c r="O1330" s="5" t="inlineStr">
        <is>
          <t>YX-PRJ-09, YX-PRJ-11</t>
        </is>
      </c>
      <c r="P1330" t="inlineStr">
        <is>
          <t>M12, M10, P10</t>
        </is>
      </c>
      <c r="Q1330" t="inlineStr">
        <is>
          <t>US-D-233, US-D-230</t>
        </is>
      </c>
      <c r="R1330" s="5" t="inlineStr"/>
    </row>
    <row r="1331">
      <c r="A1331" t="inlineStr">
        <is>
          <t>US-D-242</t>
        </is>
      </c>
      <c r="B1331" t="n">
        <v>1352</v>
      </c>
      <c r="C1331" t="inlineStr">
        <is>
          <t>Story</t>
        </is>
      </c>
      <c r="D1331" s="5" t="inlineStr">
        <is>
          <t xml:space="preserve">        PM completes milestones to bill fixed-fee projects</t>
        </is>
      </c>
      <c r="E1331" t="inlineStr">
        <is>
          <t>Projects, timesheets and client billing</t>
        </is>
      </c>
      <c r="F1331" t="inlineStr">
        <is>
          <t>Client billing and accounting</t>
        </is>
      </c>
      <c r="G1331" t="inlineStr">
        <is>
          <t>New</t>
        </is>
      </c>
      <c r="I1331">
        <f>IF(H1331&lt;&gt;"",H1331,G1331)</f>
        <v/>
      </c>
      <c r="J1331" t="inlineStr">
        <is>
          <t>Wave 5 · Projects</t>
        </is>
      </c>
      <c r="K1331" t="n">
        <v>3</v>
      </c>
      <c r="L1331" t="n">
        <v>1</v>
      </c>
      <c r="M1331" s="5" t="inlineStr">
        <is>
          <t>As a project manager, I want milestones billed only when completed (and accepted) so that fixed-fee billing is correct.</t>
        </is>
      </c>
      <c r="N1331" s="5" t="inlineStr">
        <is>
          <t>• Given milestones of 30 / 40 / 30 % of ₹10 L, when they don't add up to the contract value, then a warning shows (YX-PRJ-10).
• Given milestone 1 is completed and accepted by the client where needed, when billing runs, then ₹3 L becomes billable (YX-PRJ-10).
• Given hours on a fixed-fee project, when logged, then they add cost but no invoice lines (YX-PRJ-10).
• Given a retainer, when the company billing day comes, then its monthly amount is billed (YX-PRJ-10).</t>
        </is>
      </c>
      <c r="O1331" s="5" t="inlineStr">
        <is>
          <t>YX-PRJ-10</t>
        </is>
      </c>
      <c r="P1331" t="inlineStr">
        <is>
          <t>M12, M10, P10</t>
        </is>
      </c>
      <c r="Q1331" t="inlineStr">
        <is>
          <t>US-D-241</t>
        </is>
      </c>
      <c r="R1331" s="5" t="inlineStr"/>
    </row>
    <row r="1332">
      <c r="A1332" t="inlineStr">
        <is>
          <t>US-D-243</t>
        </is>
      </c>
      <c r="B1332" t="n">
        <v>1353</v>
      </c>
      <c r="C1332" t="inlineStr">
        <is>
          <t>Story</t>
        </is>
      </c>
      <c r="D1332" s="5" t="inlineStr">
        <is>
          <t xml:space="preserve">        Correction after invoice creates a credit note</t>
        </is>
      </c>
      <c r="E1332" t="inlineStr">
        <is>
          <t>Projects, timesheets and client billing</t>
        </is>
      </c>
      <c r="F1332" t="inlineStr">
        <is>
          <t>Client billing and accounting</t>
        </is>
      </c>
      <c r="G1332" t="inlineStr">
        <is>
          <t>New</t>
        </is>
      </c>
      <c r="I1332">
        <f>IF(H1332&lt;&gt;"",H1332,G1332)</f>
        <v/>
      </c>
      <c r="J1332" t="inlineStr">
        <is>
          <t>Wave 5 · Projects</t>
        </is>
      </c>
      <c r="K1332" t="n">
        <v>3</v>
      </c>
      <c r="L1332" t="n">
        <v>2</v>
      </c>
      <c r="M1332" s="5" t="inlineStr">
        <is>
          <t>As a finance user, I want a correction to invoiced time to create a linked credit note so that the client and margin are right.</t>
        </is>
      </c>
      <c r="N1332" s="5" t="inlineStr">
        <is>
          <t>• Given invoiced time corrected down by 8 hours, when approved, then a credit note (or supplementary invoice) linked to the original invoice is created (YX-PRJ-15, YX-PRJ-05).
• Given the company policy links corrections to pay recovery, when the credit note is created, then an M03 recovery line appears; with policy 'none', there is no recovery (YX-PRJ-15).
• Given the correction, when posted, then that month's margin is restated, it is audited, and P08 locks are respected (YX-PRJ-15).</t>
        </is>
      </c>
      <c r="O1332" s="5" t="inlineStr">
        <is>
          <t>YX-PRJ-15, YX-PRJ-05</t>
        </is>
      </c>
      <c r="P1332" t="inlineStr">
        <is>
          <t>M12, M10, P10</t>
        </is>
      </c>
      <c r="Q1332" t="inlineStr">
        <is>
          <t>US-D-241, US-D-235</t>
        </is>
      </c>
      <c r="R1332" s="5" t="inlineStr"/>
    </row>
    <row r="1333">
      <c r="A1333" t="inlineStr">
        <is>
          <t>US-D-244</t>
        </is>
      </c>
      <c r="B1333" t="n">
        <v>1354</v>
      </c>
      <c r="C1333" t="inlineStr">
        <is>
          <t>Story</t>
        </is>
      </c>
      <c r="D1333" s="5" t="inlineStr">
        <is>
          <t xml:space="preserve">        Old project invoices are blocked from e-invoicing after 30 days</t>
        </is>
      </c>
      <c r="E1333" t="inlineStr">
        <is>
          <t>Projects, timesheets and client billing</t>
        </is>
      </c>
      <c r="F1333" t="inlineStr">
        <is>
          <t>Client billing and accounting</t>
        </is>
      </c>
      <c r="G1333" t="inlineStr">
        <is>
          <t>New</t>
        </is>
      </c>
      <c r="I1333">
        <f>IF(H1333&lt;&gt;"",H1333,G1333)</f>
        <v/>
      </c>
      <c r="J1333" t="inlineStr">
        <is>
          <t>Wave 5 · Projects</t>
        </is>
      </c>
      <c r="K1333" t="n">
        <v>2</v>
      </c>
      <c r="L1333" t="n">
        <v>2</v>
      </c>
      <c r="M1333" s="5" t="inlineStr">
        <is>
          <t>As a finance user, I want a warning and a block for old invoices so that we don't break e-invoice reporting rules.</t>
        </is>
      </c>
      <c r="N1333" s="5" t="inlineStr">
        <is>
          <t>• Given an entity at or above the P07 e-invoice threshold, when a project invoice is 25 days old and not reported, then a warning shows (YX-PRJ-16).
• Given the invoice is 31 days old, when sent for IRN, then it is blocked (YX-PRJ-16).
• Given an entity below the threshold, when invoicing, then no guard applies (YX-PRJ-16).</t>
        </is>
      </c>
      <c r="O1333" s="5" t="inlineStr">
        <is>
          <t>YX-PRJ-16</t>
        </is>
      </c>
      <c r="P1333" t="inlineStr">
        <is>
          <t>M12, M10, P10</t>
        </is>
      </c>
      <c r="Q1333" t="inlineStr">
        <is>
          <t>US-D-241</t>
        </is>
      </c>
      <c r="R1333" s="5" t="inlineStr"/>
    </row>
    <row r="1334">
      <c r="A1334" t="inlineStr">
        <is>
          <t>US-D-245</t>
        </is>
      </c>
      <c r="B1334" t="n">
        <v>1355</v>
      </c>
      <c r="C1334" t="inlineStr">
        <is>
          <t>Story</t>
        </is>
      </c>
      <c r="D1334" s="5" t="inlineStr">
        <is>
          <t xml:space="preserve">        Finance exports invoices and the project cost journal</t>
        </is>
      </c>
      <c r="E1334" t="inlineStr">
        <is>
          <t>Projects, timesheets and client billing</t>
        </is>
      </c>
      <c r="F1334" t="inlineStr">
        <is>
          <t>Client billing and accounting</t>
        </is>
      </c>
      <c r="G1334" t="inlineStr">
        <is>
          <t>New</t>
        </is>
      </c>
      <c r="I1334">
        <f>IF(H1334&lt;&gt;"",H1334,G1334)</f>
        <v/>
      </c>
      <c r="J1334" t="inlineStr">
        <is>
          <t>Wave 5 · Projects</t>
        </is>
      </c>
      <c r="K1334" t="n">
        <v>3</v>
      </c>
      <c r="L1334" t="n">
        <v>1</v>
      </c>
      <c r="M1334" s="5" t="inlineStr">
        <is>
          <t>As a finance user, I want invoices, receipts, credit notes and a monthly project cost journal exported with the project dimension so that the books show project profit.</t>
        </is>
      </c>
      <c r="N1334" s="5" t="inlineStr">
        <is>
          <t>• Given issued invoices, receipts and credit notes, when exported, then each carries the project dimension (YX-PRJ-12).
• Given month end, when the project cost journal is exported, then payroll cost is reclassified from cost centre to project (YX-PRJ-12).
• Given the same period and version, when exported again, then nothing is duplicated (YX-PRJ-12).
• Given finance's revenue recognition, when they run the report, then WIP and fixed-fee progress are listed (YX-PRJ-12).</t>
        </is>
      </c>
      <c r="O1334" s="5" t="inlineStr">
        <is>
          <t>YX-PRJ-12</t>
        </is>
      </c>
      <c r="P1334" t="inlineStr">
        <is>
          <t>M12, P10</t>
        </is>
      </c>
      <c r="Q1334" t="inlineStr">
        <is>
          <t>US-D-238, US-D-241</t>
        </is>
      </c>
      <c r="R1334" s="5" t="inlineStr"/>
    </row>
    <row r="1335">
      <c r="A1335" s="7" t="inlineStr">
        <is>
          <t>EP-E-01</t>
        </is>
      </c>
      <c r="B1335" s="7" t="n">
        <v>1500</v>
      </c>
      <c r="C1335" s="7" t="inlineStr">
        <is>
          <t>Epic</t>
        </is>
      </c>
      <c r="D1335" s="8" t="inlineStr">
        <is>
          <t>ATS: internal hiring, staffing desk and vendor portal</t>
        </is>
      </c>
      <c r="E1335" s="7" t="inlineStr">
        <is>
          <t>ATS: internal hiring, staffing desk and vendor portal</t>
        </is>
      </c>
      <c r="F1335" s="7" t="inlineStr"/>
      <c r="G1335" s="7" t="inlineStr">
        <is>
          <t>New</t>
        </is>
      </c>
      <c r="H1335" s="7" t="n"/>
      <c r="I1335" s="7">
        <f>IF(H1335&lt;&gt;"",H1335,G1335)</f>
        <v/>
      </c>
      <c r="J1335" s="7" t="inlineStr">
        <is>
          <t>Step 7 · ATS</t>
        </is>
      </c>
      <c r="K1335" s="7" t="n"/>
      <c r="L1335" s="7" t="n"/>
      <c r="M1335" s="8" t="inlineStr"/>
      <c r="N1335" s="8" t="inlineStr"/>
      <c r="O1335" s="8" t="inlineStr"/>
      <c r="P1335" s="7" t="inlineStr">
        <is>
          <t>M10</t>
        </is>
      </c>
      <c r="Q1335" s="7" t="inlineStr"/>
      <c r="R1335" s="8" t="inlineStr"/>
      <c r="S1335" s="7" t="n"/>
    </row>
    <row r="1336">
      <c r="A1336" s="9" t="inlineStr">
        <is>
          <t>FT-E-01</t>
        </is>
      </c>
      <c r="B1336" s="9" t="n">
        <v>1500</v>
      </c>
      <c r="C1336" s="9" t="inlineStr">
        <is>
          <t>Feature</t>
        </is>
      </c>
      <c r="D1336" s="10" t="inlineStr">
        <is>
          <t xml:space="preserve">    Existing exam-app ATS kept as the base</t>
        </is>
      </c>
      <c r="E1336" s="9" t="inlineStr">
        <is>
          <t>ATS: internal hiring, staffing desk and vendor portal</t>
        </is>
      </c>
      <c r="F1336" s="9" t="inlineStr">
        <is>
          <t>Existing exam-app ATS kept as the base</t>
        </is>
      </c>
      <c r="G1336" s="9" t="inlineStr">
        <is>
          <t>Done</t>
        </is>
      </c>
      <c r="H1336" s="9" t="n"/>
      <c r="I1336" s="9">
        <f>IF(H1336&lt;&gt;"",H1336,G1336)</f>
        <v/>
      </c>
      <c r="J1336" s="9" t="inlineStr">
        <is>
          <t>Exam app (existing)</t>
        </is>
      </c>
      <c r="K1336" s="9" t="n"/>
      <c r="L1336" s="9" t="n"/>
      <c r="M1336" s="10" t="inlineStr"/>
      <c r="N1336" s="10" t="inlineStr"/>
      <c r="O1336" s="10" t="inlineStr"/>
      <c r="P1336" s="9" t="inlineStr">
        <is>
          <t>M10 §2</t>
        </is>
      </c>
      <c r="Q1336" s="9" t="inlineStr"/>
      <c r="R1336" s="10" t="inlineStr">
        <is>
          <t>apps/api/src/{candidates,candidate-search,pipeline,interviews,offers,referrals,internal-applications,hris,job-boards,public-applications}</t>
        </is>
      </c>
      <c r="S1336" s="9" t="n"/>
    </row>
    <row r="1337">
      <c r="A1337" t="inlineStr">
        <is>
          <t>US-E-001</t>
        </is>
      </c>
      <c r="B1337" t="n">
        <v>1500</v>
      </c>
      <c r="C1337" t="inlineStr">
        <is>
          <t>Story</t>
        </is>
      </c>
      <c r="D1337" s="5" t="inlineStr">
        <is>
          <t xml:space="preserve">        Recruiter uploads résumés and finds duplicates and similar people</t>
        </is>
      </c>
      <c r="E1337" t="inlineStr">
        <is>
          <t>ATS: internal hiring, staffing desk and vendor portal</t>
        </is>
      </c>
      <c r="F1337" t="inlineStr">
        <is>
          <t>Existing exam-app ATS kept as the base</t>
        </is>
      </c>
      <c r="G1337" t="inlineStr">
        <is>
          <t>Done</t>
        </is>
      </c>
      <c r="I1337">
        <f>IF(H1337&lt;&gt;"",H1337,G1337)</f>
        <v/>
      </c>
      <c r="J1337" t="inlineStr">
        <is>
          <t>Exam app (existing)</t>
        </is>
      </c>
      <c r="K1337" t="n">
        <v>5</v>
      </c>
      <c r="L1337" t="n">
        <v>1</v>
      </c>
      <c r="M1337" s="5" t="inlineStr">
        <is>
          <t>As a recruiter, I want résumés parsed and duplicates found automatically so that I do not type data or create the same person twice.</t>
        </is>
      </c>
      <c r="N1337" s="5" t="inlineStr">
        <is>
          <t>• Given a résumé upload, when it is saved, then name, email, phone, skills and experience are filled from the file.
• Given a candidate with the same email or a very similar profile, when a new application arrives, then it is flagged as a likely duplicate.
• Given a skills query, when the recruiter runs semantic search, then matching candidates in the tenant are ranked by similarity.</t>
        </is>
      </c>
      <c r="O1337" s="5" t="inlineStr"/>
      <c r="P1337" t="inlineStr">
        <is>
          <t>M10 §2</t>
        </is>
      </c>
      <c r="Q1337" t="inlineStr"/>
      <c r="R1337" s="5" t="inlineStr">
        <is>
          <t>apps/api/src/public-applications/public-applications.service.ts · apps/api/src/candidate-search · apps/api/src/candidates</t>
        </is>
      </c>
    </row>
    <row r="1338">
      <c r="A1338" t="inlineStr">
        <is>
          <t>US-E-002</t>
        </is>
      </c>
      <c r="B1338" t="n">
        <v>1500</v>
      </c>
      <c r="C1338" t="inlineStr">
        <is>
          <t>Story</t>
        </is>
      </c>
      <c r="D1338" s="5" t="inlineStr">
        <is>
          <t xml:space="preserve">        Company careers page and public apply link</t>
        </is>
      </c>
      <c r="E1338" t="inlineStr">
        <is>
          <t>ATS: internal hiring, staffing desk and vendor portal</t>
        </is>
      </c>
      <c r="F1338" t="inlineStr">
        <is>
          <t>Existing exam-app ATS kept as the base</t>
        </is>
      </c>
      <c r="G1338" t="inlineStr">
        <is>
          <t>Done</t>
        </is>
      </c>
      <c r="I1338">
        <f>IF(H1338&lt;&gt;"",H1338,G1338)</f>
        <v/>
      </c>
      <c r="J1338" t="inlineStr">
        <is>
          <t>Exam app (existing)</t>
        </is>
      </c>
      <c r="K1338" t="n">
        <v>5</v>
      </c>
      <c r="L1338" t="n">
        <v>1</v>
      </c>
      <c r="M1338" s="5" t="inlineStr">
        <is>
          <t>As a job seeker, I want to see open jobs on the company careers page and apply online so that I can apply without an account.</t>
        </is>
      </c>
      <c r="N1338" s="5" t="inlineStr">
        <is>
          <t>• Given a job marked "list on careers", when I open the careers page, then the job is listed.
• Given a public apply link, when I submit the form with a résumé, then an application is created on that job.
• Given Indeed or LinkedIn Easy Apply is set up, when a candidate applies there, then the application lands on the same job.</t>
        </is>
      </c>
      <c r="O1338" s="5" t="inlineStr"/>
      <c r="P1338" t="inlineStr">
        <is>
          <t>M10 §2</t>
        </is>
      </c>
      <c r="Q1338" t="inlineStr"/>
      <c r="R1338" s="5" t="inlineStr">
        <is>
          <t>apps/web/app/careers/[orgSlug] · apps/api/src/public-applications · apps/api/src/easy-apply/providers</t>
        </is>
      </c>
    </row>
    <row r="1339">
      <c r="A1339" t="inlineStr">
        <is>
          <t>US-E-003</t>
        </is>
      </c>
      <c r="B1339" t="n">
        <v>1500</v>
      </c>
      <c r="C1339" t="inlineStr">
        <is>
          <t>Story</t>
        </is>
      </c>
      <c r="D1339" s="5" t="inlineStr">
        <is>
          <t xml:space="preserve">        Configurable hiring pipeline per job</t>
        </is>
      </c>
      <c r="E1339" t="inlineStr">
        <is>
          <t>ATS: internal hiring, staffing desk and vendor portal</t>
        </is>
      </c>
      <c r="F1339" t="inlineStr">
        <is>
          <t>Existing exam-app ATS kept as the base</t>
        </is>
      </c>
      <c r="G1339" t="inlineStr">
        <is>
          <t>Done</t>
        </is>
      </c>
      <c r="I1339">
        <f>IF(H1339&lt;&gt;"",H1339,G1339)</f>
        <v/>
      </c>
      <c r="J1339" t="inlineStr">
        <is>
          <t>Exam app (existing)</t>
        </is>
      </c>
      <c r="K1339" t="n">
        <v>5</v>
      </c>
      <c r="L1339" t="n">
        <v>1</v>
      </c>
      <c r="M1339" s="5" t="inlineStr">
        <is>
          <t>As a recruiter, I want each job to have its own pipeline stages so that I can move candidates through our real process.</t>
        </is>
      </c>
      <c r="N1339" s="5" t="inlineStr">
        <is>
          <t>• Given a pipeline template, when I attach it to a job, then candidates on that job show those stages.
• Given a candidate card, when I move it to another stage, then the move is saved and audited.
• Given an exam linked to the job, when the candidate passes, then the "exam passed" gate lets them move on.</t>
        </is>
      </c>
      <c r="O1339" s="5" t="inlineStr"/>
      <c r="P1339" t="inlineStr">
        <is>
          <t>M10 §2</t>
        </is>
      </c>
      <c r="Q1339" t="inlineStr"/>
      <c r="R1339" s="5" t="inlineStr">
        <is>
          <t>apps/api/src/pipeline · apps/web/app/v2/(recruiter)/jobs</t>
        </is>
      </c>
    </row>
    <row r="1340">
      <c r="A1340" t="inlineStr">
        <is>
          <t>US-E-004</t>
        </is>
      </c>
      <c r="B1340" t="n">
        <v>1500</v>
      </c>
      <c r="C1340" t="inlineStr">
        <is>
          <t>Story</t>
        </is>
      </c>
      <c r="D1340" s="5" t="inlineStr">
        <is>
          <t xml:space="preserve">        Interview scheduling with calendar sync and candidate self-booking</t>
        </is>
      </c>
      <c r="E1340" t="inlineStr">
        <is>
          <t>ATS: internal hiring, staffing desk and vendor portal</t>
        </is>
      </c>
      <c r="F1340" t="inlineStr">
        <is>
          <t>Existing exam-app ATS kept as the base</t>
        </is>
      </c>
      <c r="G1340" t="inlineStr">
        <is>
          <t>Done</t>
        </is>
      </c>
      <c r="I1340">
        <f>IF(H1340&lt;&gt;"",H1340,G1340)</f>
        <v/>
      </c>
      <c r="J1340" t="inlineStr">
        <is>
          <t>Exam app (existing)</t>
        </is>
      </c>
      <c r="K1340" t="n">
        <v>5</v>
      </c>
      <c r="L1340" t="n">
        <v>1</v>
      </c>
      <c r="M1340" s="5" t="inlineStr">
        <is>
          <t>As a recruiter, I want to offer interview slots synced with the panel calendars so that candidates book a time that works.</t>
        </is>
      </c>
      <c r="N1340" s="5" t="inlineStr">
        <is>
          <t>• Given Google or Microsoft calendar is connected, when I create an interview, then the meeting is created with a Meet or Teams link.
• Given offered slots, when the candidate opens the interview link, then they can book or ask to reschedule.
• Given a booked slot, when it is confirmed, then every panel member gets the calendar invite.</t>
        </is>
      </c>
      <c r="O1340" s="5" t="inlineStr"/>
      <c r="P1340" t="inlineStr">
        <is>
          <t>M10 §2</t>
        </is>
      </c>
      <c r="Q1340" t="inlineStr"/>
      <c r="R1340" s="5" t="inlineStr">
        <is>
          <t>apps/api/src/interviews/booking-slots.ts · apps/api/src/calendar-sync/providers · apps/web/app/(candidate)/interview/[token]</t>
        </is>
      </c>
    </row>
    <row r="1341">
      <c r="A1341" t="inlineStr">
        <is>
          <t>US-E-005</t>
        </is>
      </c>
      <c r="B1341" t="n">
        <v>1500</v>
      </c>
      <c r="C1341" t="inlineStr">
        <is>
          <t>Story</t>
        </is>
      </c>
      <c r="D1341" s="5" t="inlineStr">
        <is>
          <t xml:space="preserve">        Offer letter from a template with online accept</t>
        </is>
      </c>
      <c r="E1341" t="inlineStr">
        <is>
          <t>ATS: internal hiring, staffing desk and vendor portal</t>
        </is>
      </c>
      <c r="F1341" t="inlineStr">
        <is>
          <t>Existing exam-app ATS kept as the base</t>
        </is>
      </c>
      <c r="G1341" t="inlineStr">
        <is>
          <t>Done</t>
        </is>
      </c>
      <c r="I1341">
        <f>IF(H1341&lt;&gt;"",H1341,G1341)</f>
        <v/>
      </c>
      <c r="J1341" t="inlineStr">
        <is>
          <t>Exam app (existing)</t>
        </is>
      </c>
      <c r="K1341" t="n">
        <v>3</v>
      </c>
      <c r="L1341" t="n">
        <v>1</v>
      </c>
      <c r="M1341" s="5" t="inlineStr">
        <is>
          <t>As a recruiter, I want to send an offer letter from a template that the candidate accepts online so that offers are quick and tracked.</t>
        </is>
      </c>
      <c r="N1341" s="5" t="inlineStr">
        <is>
          <t>• Given an offer template, when I create an offer, then a PDF letter is made from it.
• Given a sent offer, when the candidate opens the link, then they can accept or decline it.
• Given an offer past its expiry date, when the candidate opens it, then it can no longer be accepted.</t>
        </is>
      </c>
      <c r="O1341" s="5" t="inlineStr"/>
      <c r="P1341" t="inlineStr">
        <is>
          <t>M10 §2</t>
        </is>
      </c>
      <c r="Q1341" t="inlineStr"/>
      <c r="R1341" s="5" t="inlineStr">
        <is>
          <t>apps/api/src/offers · apps/web/app/(candidate)/offer/[token]</t>
        </is>
      </c>
    </row>
    <row r="1342">
      <c r="A1342" t="inlineStr">
        <is>
          <t>US-E-006</t>
        </is>
      </c>
      <c r="B1342" t="n">
        <v>1500</v>
      </c>
      <c r="C1342" t="inlineStr">
        <is>
          <t>Story</t>
        </is>
      </c>
      <c r="D1342" s="5" t="inlineStr">
        <is>
          <t xml:space="preserve">        Employee referrals and internal job applications</t>
        </is>
      </c>
      <c r="E1342" t="inlineStr">
        <is>
          <t>ATS: internal hiring, staffing desk and vendor portal</t>
        </is>
      </c>
      <c r="F1342" t="inlineStr">
        <is>
          <t>Existing exam-app ATS kept as the base</t>
        </is>
      </c>
      <c r="G1342" t="inlineStr">
        <is>
          <t>Done</t>
        </is>
      </c>
      <c r="I1342">
        <f>IF(H1342&lt;&gt;"",H1342,G1342)</f>
        <v/>
      </c>
      <c r="J1342" t="inlineStr">
        <is>
          <t>Exam app (existing)</t>
        </is>
      </c>
      <c r="K1342" t="n">
        <v>3</v>
      </c>
      <c r="L1342" t="n">
        <v>1</v>
      </c>
      <c r="M1342" s="5" t="inlineStr">
        <is>
          <t>As an employee, I want to refer a friend or apply to an internal job so that good people and internal moves are easy.</t>
        </is>
      </c>
      <c r="N1342" s="5" t="inlineStr">
        <is>
          <t>• Given an open job, when I submit a referral, then the candidate is linked to me as referrer.
• Given an internal job, when I apply, then my application shows in the internal mobility list.
• Given a referral, when the recruiter updates it, then the reward status is tracked.</t>
        </is>
      </c>
      <c r="O1342" s="5" t="inlineStr"/>
      <c r="P1342" t="inlineStr">
        <is>
          <t>M10 §2</t>
        </is>
      </c>
      <c r="Q1342" t="inlineStr"/>
      <c r="R1342" s="5" t="inlineStr">
        <is>
          <t>apps/api/src/referrals · apps/api/src/internal-applications · apps/web/app/v2/(recruiter)/internal-mobility</t>
        </is>
      </c>
    </row>
    <row r="1343">
      <c r="A1343" t="inlineStr">
        <is>
          <t>US-E-007</t>
        </is>
      </c>
      <c r="B1343" t="n">
        <v>1500</v>
      </c>
      <c r="C1343" t="inlineStr">
        <is>
          <t>Story</t>
        </is>
      </c>
      <c r="D1343" s="5" t="inlineStr">
        <is>
          <t xml:space="preserve">        Candidate status portal by secure link</t>
        </is>
      </c>
      <c r="E1343" t="inlineStr">
        <is>
          <t>ATS: internal hiring, staffing desk and vendor portal</t>
        </is>
      </c>
      <c r="F1343" t="inlineStr">
        <is>
          <t>Existing exam-app ATS kept as the base</t>
        </is>
      </c>
      <c r="G1343" t="inlineStr">
        <is>
          <t>Done</t>
        </is>
      </c>
      <c r="I1343">
        <f>IF(H1343&lt;&gt;"",H1343,G1343)</f>
        <v/>
      </c>
      <c r="J1343" t="inlineStr">
        <is>
          <t>Exam app (existing)</t>
        </is>
      </c>
      <c r="K1343" t="n">
        <v>3</v>
      </c>
      <c r="L1343" t="n">
        <v>1</v>
      </c>
      <c r="M1343" s="5" t="inlineStr">
        <is>
          <t>As a candidate, I want a private link that shows my application status so that I know where I stand.</t>
        </is>
      </c>
      <c r="N1343" s="5" t="inlineStr">
        <is>
          <t>• Given an application, when I open my portal link, then I see the current stage of each application.
• Given my portal, when I upload a new résumé, then it replaces the old one on my profile.
• Given an invalid or old token, when I open the link, then no data is shown.</t>
        </is>
      </c>
      <c r="O1343" s="5" t="inlineStr"/>
      <c r="P1343" t="inlineStr">
        <is>
          <t>M10 §2</t>
        </is>
      </c>
      <c r="Q1343" t="inlineStr"/>
      <c r="R1343" s="5" t="inlineStr">
        <is>
          <t>apps/web/app/(candidate)/portal/[portalToken] · apps/web/app/(candidate)/application/[statusToken]</t>
        </is>
      </c>
    </row>
    <row r="1344">
      <c r="A1344" t="inlineStr">
        <is>
          <t>US-E-008</t>
        </is>
      </c>
      <c r="B1344" t="n">
        <v>1500</v>
      </c>
      <c r="C1344" t="inlineStr">
        <is>
          <t>Story</t>
        </is>
      </c>
      <c r="D1344" s="5" t="inlineStr">
        <is>
          <t xml:space="preserve">        Push hired candidates to an external HRIS</t>
        </is>
      </c>
      <c r="E1344" t="inlineStr">
        <is>
          <t>ATS: internal hiring, staffing desk and vendor portal</t>
        </is>
      </c>
      <c r="F1344" t="inlineStr">
        <is>
          <t>Existing exam-app ATS kept as the base</t>
        </is>
      </c>
      <c r="G1344" t="inlineStr">
        <is>
          <t>Done</t>
        </is>
      </c>
      <c r="I1344">
        <f>IF(H1344&lt;&gt;"",H1344,G1344)</f>
        <v/>
      </c>
      <c r="J1344" t="inlineStr">
        <is>
          <t>Exam app (existing)</t>
        </is>
      </c>
      <c r="K1344" t="n">
        <v>3</v>
      </c>
      <c r="L1344" t="n">
        <v>1</v>
      </c>
      <c r="M1344" s="5" t="inlineStr">
        <is>
          <t>As an HR admin of an ATS-only company, I want hired candidates pushed to our HRIS so that we do not re-type joiner data.</t>
        </is>
      </c>
      <c r="N1344" s="5" t="inlineStr">
        <is>
          <t>• Given BambooHR, Workday, Greenhouse, Lever or a generic webhook is set up, when a candidate is hired, then a joiner payload is sent.
• Given a failed push, when the worker retries, then the delivery log shows each attempt.
• Given YukthiX HRMS is on for the tenant, when a candidate is hired, then the internal hand-off is used instead (see US for YX-ATS-07).</t>
        </is>
      </c>
      <c r="O1344" s="5" t="inlineStr"/>
      <c r="P1344" t="inlineStr">
        <is>
          <t>M10 §2</t>
        </is>
      </c>
      <c r="Q1344" t="inlineStr"/>
      <c r="R1344" s="5" t="inlineStr">
        <is>
          <t>apps/api/src/hris/providers · apps/api/src/hris/hris-export.worker.service.ts</t>
        </is>
      </c>
    </row>
    <row r="1345">
      <c r="A1345" t="inlineStr">
        <is>
          <t>US-E-009</t>
        </is>
      </c>
      <c r="B1345" t="n">
        <v>1500</v>
      </c>
      <c r="C1345" t="inlineStr">
        <is>
          <t>Story</t>
        </is>
      </c>
      <c r="D1345" s="5" t="inlineStr">
        <is>
          <t xml:space="preserve">        Email, SMS and WhatsApp to candidates with opt-out</t>
        </is>
      </c>
      <c r="E1345" t="inlineStr">
        <is>
          <t>ATS: internal hiring, staffing desk and vendor portal</t>
        </is>
      </c>
      <c r="F1345" t="inlineStr">
        <is>
          <t>Existing exam-app ATS kept as the base</t>
        </is>
      </c>
      <c r="G1345" t="inlineStr">
        <is>
          <t>Done</t>
        </is>
      </c>
      <c r="I1345">
        <f>IF(H1345&lt;&gt;"",H1345,G1345)</f>
        <v/>
      </c>
      <c r="J1345" t="inlineStr">
        <is>
          <t>Exam app (existing)</t>
        </is>
      </c>
      <c r="K1345" t="n">
        <v>3</v>
      </c>
      <c r="L1345" t="n">
        <v>1</v>
      </c>
      <c r="M1345" s="5" t="inlineStr">
        <is>
          <t>As a recruiter, I want to message one or many candidates by email, SMS or WhatsApp so that I reach them on their channel.</t>
        </is>
      </c>
      <c r="N1345" s="5" t="inlineStr">
        <is>
          <t>• Given a message template, when I send to a group, then each candidate gets a personalised message.
• Given a candidate who opted out of a channel, when I send, then that channel is skipped for them.
• Given the unsubscribe link, when the candidate clicks it, then they are opted out at once.</t>
        </is>
      </c>
      <c r="O1345" s="5" t="inlineStr"/>
      <c r="P1345" t="inlineStr">
        <is>
          <t>M10 §2</t>
        </is>
      </c>
      <c r="Q1345" t="inlineStr"/>
      <c r="R1345" s="5" t="inlineStr">
        <is>
          <t>apps/api/src/{candidate-emails,candidate-sms,candidate-whatsapp,bulk-candidate-email} · apps/web/app/(candidate)/unsubscribe/[token]</t>
        </is>
      </c>
    </row>
    <row r="1346">
      <c r="A1346" t="inlineStr">
        <is>
          <t>US-E-010</t>
        </is>
      </c>
      <c r="B1346" t="n">
        <v>1500</v>
      </c>
      <c r="C1346" t="inlineStr">
        <is>
          <t>Story</t>
        </is>
      </c>
      <c r="D1346" s="5" t="inlineStr">
        <is>
          <t xml:space="preserve">        Versioned candidate consent with export and erase</t>
        </is>
      </c>
      <c r="E1346" t="inlineStr">
        <is>
          <t>ATS: internal hiring, staffing desk and vendor portal</t>
        </is>
      </c>
      <c r="F1346" t="inlineStr">
        <is>
          <t>Existing exam-app ATS kept as the base</t>
        </is>
      </c>
      <c r="G1346" t="inlineStr">
        <is>
          <t>Done</t>
        </is>
      </c>
      <c r="I1346">
        <f>IF(H1346&lt;&gt;"",H1346,G1346)</f>
        <v/>
      </c>
      <c r="J1346" t="inlineStr">
        <is>
          <t>Exam app (existing)</t>
        </is>
      </c>
      <c r="K1346" t="n">
        <v>3</v>
      </c>
      <c r="L1346" t="n">
        <v>1</v>
      </c>
      <c r="M1346" s="5" t="inlineStr">
        <is>
          <t>As a candidate, I want to give consent with a known version and ask to export or erase my data so that my privacy rights are met.</t>
        </is>
      </c>
      <c r="N1346" s="5" t="inlineStr">
        <is>
          <t>• Given an application, when I submit it, then consent time and consent version are stored.
• Given an erase request, when the admin runs it, then personal data is removed and the record is marked erased.
• Given an export request, when the admin runs it, then my data is given as a file.</t>
        </is>
      </c>
      <c r="O1346" s="5" t="inlineStr"/>
      <c r="P1346" t="inlineStr">
        <is>
          <t>M10 §2</t>
        </is>
      </c>
      <c r="Q1346" t="inlineStr"/>
      <c r="R1346" s="5" t="inlineStr">
        <is>
          <t>apps/api/prisma/schema.prisma (Candidate.consentVersion, erasedAt) · apps/web/app/v2/(org-admin)/data-rights</t>
        </is>
      </c>
    </row>
    <row r="1347">
      <c r="A1347" t="inlineStr">
        <is>
          <t>US-E-011</t>
        </is>
      </c>
      <c r="B1347" t="n">
        <v>1500</v>
      </c>
      <c r="C1347" t="inlineStr">
        <is>
          <t>Story</t>
        </is>
      </c>
      <c r="D1347" s="5" t="inlineStr">
        <is>
          <t xml:space="preserve">        Walk-in registration for drives</t>
        </is>
      </c>
      <c r="E1347" t="inlineStr">
        <is>
          <t>ATS: internal hiring, staffing desk and vendor portal</t>
        </is>
      </c>
      <c r="F1347" t="inlineStr">
        <is>
          <t>Existing exam-app ATS kept as the base</t>
        </is>
      </c>
      <c r="G1347" t="inlineStr">
        <is>
          <t>Done</t>
        </is>
      </c>
      <c r="I1347">
        <f>IF(H1347&lt;&gt;"",H1347,G1347)</f>
        <v/>
      </c>
      <c r="J1347" t="inlineStr">
        <is>
          <t>Exam app (existing)</t>
        </is>
      </c>
      <c r="K1347" t="n">
        <v>3</v>
      </c>
      <c r="L1347" t="n">
        <v>1</v>
      </c>
      <c r="M1347" s="5" t="inlineStr">
        <is>
          <t>As a recruiter, I want walk-in candidates to register by a public link or QR so that drive days run smoothly.</t>
        </is>
      </c>
      <c r="N1347" s="5" t="inlineStr">
        <is>
          <t>• Given a walk-in group, when a candidate opens the walk-in page, then they can register for the listed session.
• Given a registration, when it is saved, then an exam invite is created for the drive session.
• Given repeated submissions from one device, when the throttle limit is hit, then extra requests are refused.</t>
        </is>
      </c>
      <c r="O1347" s="5" t="inlineStr"/>
      <c r="P1347" t="inlineStr">
        <is>
          <t>M10 §2, T03 §2</t>
        </is>
      </c>
      <c r="Q1347" t="inlineStr"/>
      <c r="R1347" s="5" t="inlineStr">
        <is>
          <t>apps/api/src/walk-in · apps/api/src/walk-in-groups · apps/web/app/walk-in/[orgSlug]</t>
        </is>
      </c>
    </row>
    <row r="1348">
      <c r="A1348" t="inlineStr">
        <is>
          <t>US-E-012</t>
        </is>
      </c>
      <c r="B1348" t="n">
        <v>1500</v>
      </c>
      <c r="C1348" t="inlineStr">
        <is>
          <t>Story</t>
        </is>
      </c>
      <c r="D1348" s="5" t="inlineStr">
        <is>
          <t xml:space="preserve">        Recruiter funnel and source analytics</t>
        </is>
      </c>
      <c r="E1348" t="inlineStr">
        <is>
          <t>ATS: internal hiring, staffing desk and vendor portal</t>
        </is>
      </c>
      <c r="F1348" t="inlineStr">
        <is>
          <t>Existing exam-app ATS kept as the base</t>
        </is>
      </c>
      <c r="G1348" t="inlineStr">
        <is>
          <t>Done</t>
        </is>
      </c>
      <c r="I1348">
        <f>IF(H1348&lt;&gt;"",H1348,G1348)</f>
        <v/>
      </c>
      <c r="J1348" t="inlineStr">
        <is>
          <t>Exam app (existing)</t>
        </is>
      </c>
      <c r="K1348" t="n">
        <v>3</v>
      </c>
      <c r="L1348" t="n">
        <v>1</v>
      </c>
      <c r="M1348" s="5" t="inlineStr">
        <is>
          <t>As a hiring manager, I want funnel, time-to-hire and source numbers so that I see where hiring is slow.</t>
        </is>
      </c>
      <c r="N1348" s="5" t="inlineStr">
        <is>
          <t>• Given jobs with candidates, when I open analytics, then I see the stage funnel and conversion.
• Given hires, when I filter by source, then time to hire per source is shown.
• Given the AI narrative is on, when I open the funnel, then a short written summary is shown as advice only.</t>
        </is>
      </c>
      <c r="O1348" s="5" t="inlineStr"/>
      <c r="P1348" t="inlineStr">
        <is>
          <t>M10 §2, P09 §2</t>
        </is>
      </c>
      <c r="Q1348" t="inlineStr"/>
      <c r="R1348" s="5" t="inlineStr">
        <is>
          <t>apps/api/src/analytics/pipeline-analytics.service.ts · apps/web/app/v2/(recruiter)/analytics</t>
        </is>
      </c>
    </row>
    <row r="1349">
      <c r="A1349" t="inlineStr">
        <is>
          <t>US-E-013</t>
        </is>
      </c>
      <c r="B1349" t="n">
        <v>1500</v>
      </c>
      <c r="C1349" t="inlineStr">
        <is>
          <t>Story</t>
        </is>
      </c>
      <c r="D1349" s="5" t="inlineStr">
        <is>
          <t xml:space="preserve">        AI candidate-fit score shown as advice</t>
        </is>
      </c>
      <c r="E1349" t="inlineStr">
        <is>
          <t>ATS: internal hiring, staffing desk and vendor portal</t>
        </is>
      </c>
      <c r="F1349" t="inlineStr">
        <is>
          <t>Existing exam-app ATS kept as the base</t>
        </is>
      </c>
      <c r="G1349" t="inlineStr">
        <is>
          <t>Done</t>
        </is>
      </c>
      <c r="I1349">
        <f>IF(H1349&lt;&gt;"",H1349,G1349)</f>
        <v/>
      </c>
      <c r="J1349" t="inlineStr">
        <is>
          <t>Exam app (existing)</t>
        </is>
      </c>
      <c r="K1349" t="n">
        <v>3</v>
      </c>
      <c r="L1349" t="n">
        <v>1</v>
      </c>
      <c r="M1349" s="5" t="inlineStr">
        <is>
          <t>As a recruiter, I want an AI fit score against the job rubric so that I can review the best matches first.</t>
        </is>
      </c>
      <c r="N1349" s="5" t="inlineStr">
        <is>
          <t>• Given a job with fit criteria, when a candidate applies, then a fit score with reasons is computed.
• Given a fit score, when I view the candidate, then it is labelled as advisory.
• Given the AI credit limit is reached, when a new score is needed, then it is not computed and the reason is shown.</t>
        </is>
      </c>
      <c r="O1349" s="5" t="inlineStr"/>
      <c r="P1349" t="inlineStr">
        <is>
          <t>M10 §2, P10 A1</t>
        </is>
      </c>
      <c r="Q1349" t="inlineStr"/>
      <c r="R1349" s="5" t="inlineStr">
        <is>
          <t>apps/api/src/candidate-fit/candidate-fit.core.ts · apps/api/src/candidate-fit/candidate-fit.service.ts</t>
        </is>
      </c>
    </row>
    <row r="1350">
      <c r="A1350" s="9" t="inlineStr">
        <is>
          <t>FT-E-02</t>
        </is>
      </c>
      <c r="B1350" s="9" t="n">
        <v>1510</v>
      </c>
      <c r="C1350" s="9" t="inlineStr">
        <is>
          <t>Feature</t>
        </is>
      </c>
      <c r="D1350" s="10" t="inlineStr">
        <is>
          <t xml:space="preserve">    Requisitions, jobs and careers pages</t>
        </is>
      </c>
      <c r="E1350" s="9" t="inlineStr">
        <is>
          <t>ATS: internal hiring, staffing desk and vendor portal</t>
        </is>
      </c>
      <c r="F1350" s="9" t="inlineStr">
        <is>
          <t>Requisitions, jobs and careers pages</t>
        </is>
      </c>
      <c r="G1350" s="9" t="inlineStr">
        <is>
          <t>New</t>
        </is>
      </c>
      <c r="H1350" s="9" t="n"/>
      <c r="I1350" s="9">
        <f>IF(H1350&lt;&gt;"",H1350,G1350)</f>
        <v/>
      </c>
      <c r="J1350" s="9" t="inlineStr">
        <is>
          <t>Step 7 · ATS core</t>
        </is>
      </c>
      <c r="K1350" s="9" t="n"/>
      <c r="L1350" s="9" t="n"/>
      <c r="M1350" s="10" t="inlineStr"/>
      <c r="N1350" s="10" t="inlineStr"/>
      <c r="O1350" s="10" t="inlineStr">
        <is>
          <t>YX-ATS-01, YX-ATS-02, YX-ATS-34, YX-ATS-45</t>
        </is>
      </c>
      <c r="P1350" s="9" t="inlineStr">
        <is>
          <t>M10 §3, M10 §5</t>
        </is>
      </c>
      <c r="Q1350" s="9" t="inlineStr"/>
      <c r="R1350" s="10" t="inlineStr"/>
      <c r="S1350" s="9" t="n"/>
    </row>
    <row r="1351">
      <c r="A1351" t="inlineStr">
        <is>
          <t>US-E-014</t>
        </is>
      </c>
      <c r="B1351" t="n">
        <v>1510</v>
      </c>
      <c r="C1351" t="inlineStr">
        <is>
          <t>Story</t>
        </is>
      </c>
      <c r="D1351" s="5" t="inlineStr">
        <is>
          <t xml:space="preserve">        Job uses organisation masters, not free text</t>
        </is>
      </c>
      <c r="E1351" t="inlineStr">
        <is>
          <t>ATS: internal hiring, staffing desk and vendor portal</t>
        </is>
      </c>
      <c r="F1351" t="inlineStr">
        <is>
          <t>Requisitions, jobs and careers pages</t>
        </is>
      </c>
      <c r="G1351" t="inlineStr">
        <is>
          <t>New</t>
        </is>
      </c>
      <c r="I1351">
        <f>IF(H1351&lt;&gt;"",H1351,G1351)</f>
        <v/>
      </c>
      <c r="J1351" t="inlineStr">
        <is>
          <t>Step 7 · ATS core</t>
        </is>
      </c>
      <c r="K1351" t="n">
        <v>3</v>
      </c>
      <c r="L1351" t="n">
        <v>1</v>
      </c>
      <c r="M1351" s="5" t="inlineStr">
        <is>
          <t>As a recruiter, I want a job to pick department, designation, grade and location from the org masters so that hiring data matches HR data.</t>
        </is>
      </c>
      <c r="N1351" s="5" t="inlineStr">
        <is>
          <t>• Given a new job, when I choose a department, then I can only pick from P01 departments (YX-ATS-02).
• Given an existing job with a free-text department, when the migration runs, then it is mapped to a master or listed for manual fix.
• Given a job, when I save it, then designation, grade and location are master references (YX-ATS-02).</t>
        </is>
      </c>
      <c r="O1351" s="5" t="inlineStr">
        <is>
          <t>YX-ATS-02</t>
        </is>
      </c>
      <c r="P1351" t="inlineStr">
        <is>
          <t>M10 §3, M10 §5</t>
        </is>
      </c>
      <c r="Q1351" t="inlineStr">
        <is>
          <t>US-E-003</t>
        </is>
      </c>
      <c r="R1351" s="5" t="inlineStr"/>
    </row>
    <row r="1352">
      <c r="A1352" t="inlineStr">
        <is>
          <t>US-E-015</t>
        </is>
      </c>
      <c r="B1352" t="n">
        <v>1510</v>
      </c>
      <c r="C1352" t="inlineStr">
        <is>
          <t>Story</t>
        </is>
      </c>
      <c r="D1352" s="5" t="inlineStr">
        <is>
          <t xml:space="preserve">        Requisition approval against the headcount plan</t>
        </is>
      </c>
      <c r="E1352" t="inlineStr">
        <is>
          <t>ATS: internal hiring, staffing desk and vendor portal</t>
        </is>
      </c>
      <c r="F1352" t="inlineStr">
        <is>
          <t>Requisitions, jobs and careers pages</t>
        </is>
      </c>
      <c r="G1352" t="inlineStr">
        <is>
          <t>Active</t>
        </is>
      </c>
      <c r="I1352">
        <f>IF(H1352&lt;&gt;"",H1352,G1352)</f>
        <v/>
      </c>
      <c r="J1352" t="inlineStr">
        <is>
          <t>Step 7 · ATS core</t>
        </is>
      </c>
      <c r="K1352" t="n">
        <v>5</v>
      </c>
      <c r="L1352" t="n">
        <v>1</v>
      </c>
      <c r="M1352" s="5" t="inlineStr">
        <is>
          <t>As a hiring manager, I want my requisition approved by the right chain so that hiring stays inside the headcount plan.</t>
        </is>
      </c>
      <c r="N1352" s="5" t="inlineStr">
        <is>
          <t>• Given a requisition inside an approved plan line, when I submit it, then the short approval chain runs (YX-ATS-01).
• Given a requisition outside the plan, when I submit it, then the extra approval step is added (YX-ATS-01).
• Given pay above the plan budget, when I submit it, then the extra approval step is added (YX-ATS-01).
• Given an approved requisition, when it is filled, then the plan line is drawn down.</t>
        </is>
      </c>
      <c r="O1352" s="5" t="inlineStr">
        <is>
          <t>YX-ATS-01</t>
        </is>
      </c>
      <c r="P1352" t="inlineStr">
        <is>
          <t>M10 §3, M10 §5</t>
        </is>
      </c>
      <c r="Q1352" t="inlineStr">
        <is>
          <t>US-E-014</t>
        </is>
      </c>
      <c r="R1352" s="5" t="inlineStr">
        <is>
          <t>apps/api/src/approvals (ApprovalChain, approver-resolver.ts) — approval gate exists; headcount plan is new</t>
        </is>
      </c>
    </row>
    <row r="1353">
      <c r="A1353" t="inlineStr">
        <is>
          <t>US-E-016</t>
        </is>
      </c>
      <c r="B1353" t="n">
        <v>1510</v>
      </c>
      <c r="C1353" t="inlineStr">
        <is>
          <t>Story</t>
        </is>
      </c>
      <c r="D1353" s="5" t="inlineStr">
        <is>
          <t xml:space="preserve">        Careers page shows only public fields with clean links and branding</t>
        </is>
      </c>
      <c r="E1353" t="inlineStr">
        <is>
          <t>ATS: internal hiring, staffing desk and vendor portal</t>
        </is>
      </c>
      <c r="F1353" t="inlineStr">
        <is>
          <t>Requisitions, jobs and careers pages</t>
        </is>
      </c>
      <c r="G1353" t="inlineStr">
        <is>
          <t>New</t>
        </is>
      </c>
      <c r="I1353">
        <f>IF(H1353&lt;&gt;"",H1353,G1353)</f>
        <v/>
      </c>
      <c r="J1353" t="inlineStr">
        <is>
          <t>Step 7 · ATS core</t>
        </is>
      </c>
      <c r="K1353" t="n">
        <v>2</v>
      </c>
      <c r="L1353" t="n">
        <v>1</v>
      </c>
      <c r="M1353" s="5" t="inlineStr">
        <is>
          <t>As a job seeker, I want clear job pages with readable links so that I can trust and share them.</t>
        </is>
      </c>
      <c r="N1353" s="5" t="inlineStr">
        <is>
          <t>• Given a job, when it is published, then its URL slug uses ASCII characters only (YX-ATS-02).
• Given a job with internal fields, when the public page renders, then only public fields show (YX-ATS-02).
• Given tenant branding, when the careers page loads, then the company logo and colours are used (YX-ATS-02).</t>
        </is>
      </c>
      <c r="O1353" s="5" t="inlineStr">
        <is>
          <t>YX-ATS-02</t>
        </is>
      </c>
      <c r="P1353" t="inlineStr">
        <is>
          <t>M10 §3, M10 §5</t>
        </is>
      </c>
      <c r="Q1353" t="inlineStr">
        <is>
          <t>US-E-014</t>
        </is>
      </c>
      <c r="R1353" s="5" t="inlineStr"/>
    </row>
    <row r="1354">
      <c r="A1354" t="inlineStr">
        <is>
          <t>US-E-017</t>
        </is>
      </c>
      <c r="B1354" t="n">
        <v>1510</v>
      </c>
      <c r="C1354" t="inlineStr">
        <is>
          <t>Story</t>
        </is>
      </c>
      <c r="D1354" s="5" t="inlineStr">
        <is>
          <t xml:space="preserve">        Salary range on job ads and pay-history question control</t>
        </is>
      </c>
      <c r="E1354" t="inlineStr">
        <is>
          <t>ATS: internal hiring, staffing desk and vendor portal</t>
        </is>
      </c>
      <c r="F1354" t="inlineStr">
        <is>
          <t>Requisitions, jobs and careers pages</t>
        </is>
      </c>
      <c r="G1354" t="inlineStr">
        <is>
          <t>Active</t>
        </is>
      </c>
      <c r="I1354">
        <f>IF(H1354&lt;&gt;"",H1354,G1354)</f>
        <v/>
      </c>
      <c r="J1354" t="inlineStr">
        <is>
          <t>Step 7 · ATS core</t>
        </is>
      </c>
      <c r="K1354" t="n">
        <v>3</v>
      </c>
      <c r="L1354" t="n">
        <v>1</v>
      </c>
      <c r="M1354" s="5" t="inlineStr">
        <is>
          <t>As a recruiter, I want salary ranges handled by the law of the job location so that our job ads are legal.</t>
        </is>
      </c>
      <c r="N1354" s="5" t="inlineStr">
        <is>
          <t>• Given a job in a pay-transparency location (P07 data), when I publish without a range, then publishing is blocked (YX-ATS-34).
• Given another location with the setting on, when the job is published, then the range shows on the careers page (YX-ATS-34).
• Given a location that bans pay-history questions, when I add that question to the form, then it is refused (YX-ATS-34).
• Given a new tenant, when it starts, then the salary-range setting is on and the pay-history question is off (YX-ATS-34).</t>
        </is>
      </c>
      <c r="O1354" s="5" t="inlineStr">
        <is>
          <t>YX-ATS-34</t>
        </is>
      </c>
      <c r="P1354" t="inlineStr">
        <is>
          <t>M10 §3, M10 §5</t>
        </is>
      </c>
      <c r="Q1354" t="inlineStr">
        <is>
          <t>US-E-016</t>
        </is>
      </c>
      <c r="R1354" s="5" t="inlineStr">
        <is>
          <t>apps/api/prisma/schema.prisma (Job.salaryMin, salaryMax) — range fields exist; law check is new</t>
        </is>
      </c>
    </row>
    <row r="1355">
      <c r="A1355" t="inlineStr">
        <is>
          <t>US-E-018</t>
        </is>
      </c>
      <c r="B1355" t="n">
        <v>1510</v>
      </c>
      <c r="C1355" t="inlineStr">
        <is>
          <t>Story</t>
        </is>
      </c>
      <c r="D1355" s="5" t="inlineStr">
        <is>
          <t xml:space="preserve">        Google for Jobs structured data and careers sitemap</t>
        </is>
      </c>
      <c r="E1355" t="inlineStr">
        <is>
          <t>ATS: internal hiring, staffing desk and vendor portal</t>
        </is>
      </c>
      <c r="F1355" t="inlineStr">
        <is>
          <t>Requisitions, jobs and careers pages</t>
        </is>
      </c>
      <c r="G1355" t="inlineStr">
        <is>
          <t>New</t>
        </is>
      </c>
      <c r="I1355">
        <f>IF(H1355&lt;&gt;"",H1355,G1355)</f>
        <v/>
      </c>
      <c r="J1355" t="inlineStr">
        <is>
          <t>Step 7 · ATS core</t>
        </is>
      </c>
      <c r="K1355" t="n">
        <v>2</v>
      </c>
      <c r="L1355" t="n">
        <v>2</v>
      </c>
      <c r="M1355" s="5" t="inlineStr">
        <is>
          <t>As a recruiter, I want our jobs found on Google so that we get more applicants for free.</t>
        </is>
      </c>
      <c r="N1355" s="5" t="inlineStr">
        <is>
          <t>• Given a public job page, when it renders, then it includes JobPosting structured data (YX-ATS-45).
• Given a salary range that is shown, when the page renders, then the range is in the structured data (YX-ATS-45).
• Given the careers site, when the sitemap is requested, then every open job is listed (YX-ATS-45).
• Given a closed job, when one day has passed, then it is removed or marked expired (YX-ATS-45).</t>
        </is>
      </c>
      <c r="O1355" s="5" t="inlineStr">
        <is>
          <t>YX-ATS-45</t>
        </is>
      </c>
      <c r="P1355" t="inlineStr">
        <is>
          <t>M10 §3, M10 §5</t>
        </is>
      </c>
      <c r="Q1355" t="inlineStr">
        <is>
          <t>US-E-016</t>
        </is>
      </c>
      <c r="R1355" s="5" t="inlineStr"/>
    </row>
    <row r="1356">
      <c r="A1356" s="9" t="inlineStr">
        <is>
          <t>FT-E-03</t>
        </is>
      </c>
      <c r="B1356" s="9" t="n">
        <v>1515</v>
      </c>
      <c r="C1356" s="9" t="inlineStr">
        <is>
          <t>Feature</t>
        </is>
      </c>
      <c r="D1356" s="10" t="inlineStr">
        <is>
          <t xml:space="preserve">    Candidates, talent pools and rediscovery</t>
        </is>
      </c>
      <c r="E1356" s="9" t="inlineStr">
        <is>
          <t>ATS: internal hiring, staffing desk and vendor portal</t>
        </is>
      </c>
      <c r="F1356" s="9" t="inlineStr">
        <is>
          <t>Candidates, talent pools and rediscovery</t>
        </is>
      </c>
      <c r="G1356" s="9" t="inlineStr">
        <is>
          <t>New</t>
        </is>
      </c>
      <c r="H1356" s="9" t="n"/>
      <c r="I1356" s="9">
        <f>IF(H1356&lt;&gt;"",H1356,G1356)</f>
        <v/>
      </c>
      <c r="J1356" s="9" t="inlineStr">
        <is>
          <t>Step 7 · ATS core</t>
        </is>
      </c>
      <c r="K1356" s="9" t="n"/>
      <c r="L1356" s="9" t="n"/>
      <c r="M1356" s="10" t="inlineStr"/>
      <c r="N1356" s="10" t="inlineStr"/>
      <c r="O1356" s="10" t="inlineStr">
        <is>
          <t>YX-ATS-03, YX-ATS-21, YX-ATS-31, YX-ATS-33, YX-ATS-39</t>
        </is>
      </c>
      <c r="P1356" s="9" t="inlineStr">
        <is>
          <t>M10 §3, M10 §5</t>
        </is>
      </c>
      <c r="Q1356" s="9" t="inlineStr"/>
      <c r="R1356" s="10" t="inlineStr"/>
      <c r="S1356" s="9" t="n"/>
    </row>
    <row r="1357">
      <c r="A1357" t="inlineStr">
        <is>
          <t>US-E-019</t>
        </is>
      </c>
      <c r="B1357" t="n">
        <v>1515</v>
      </c>
      <c r="C1357" t="inlineStr">
        <is>
          <t>Story</t>
        </is>
      </c>
      <c r="D1357" s="5" t="inlineStr">
        <is>
          <t xml:space="preserve">        Every candidate links to one person; ex-employees flagged</t>
        </is>
      </c>
      <c r="E1357" t="inlineStr">
        <is>
          <t>ATS: internal hiring, staffing desk and vendor portal</t>
        </is>
      </c>
      <c r="F1357" t="inlineStr">
        <is>
          <t>Candidates, talent pools and rediscovery</t>
        </is>
      </c>
      <c r="G1357" t="inlineStr">
        <is>
          <t>New</t>
        </is>
      </c>
      <c r="I1357">
        <f>IF(H1357&lt;&gt;"",H1357,G1357)</f>
        <v/>
      </c>
      <c r="J1357" t="inlineStr">
        <is>
          <t>Step 7 · ATS core</t>
        </is>
      </c>
      <c r="K1357" t="n">
        <v>5</v>
      </c>
      <c r="L1357" t="n">
        <v>1</v>
      </c>
      <c r="M1357" s="5" t="inlineStr">
        <is>
          <t>As HR, I want each candidate linked to a person record so that I see if they worked here before.</t>
        </is>
      </c>
      <c r="N1357" s="5" t="inlineStr">
        <is>
          <t>• Given a new candidate, when they apply, then they are matched to a P01 person or a new person is made (YX-ATS-33).
• Given a match with a past employee, when the application is saved, then it shows an ex-employee flag with rehire eligibility (YX-ATS-33).
• Given a referral or campus registrant, when saved, then it links to the same person rule (YX-ATS-33).</t>
        </is>
      </c>
      <c r="O1357" s="5" t="inlineStr">
        <is>
          <t>YX-ATS-33</t>
        </is>
      </c>
      <c r="P1357" t="inlineStr">
        <is>
          <t>M10 §3, M10 §5</t>
        </is>
      </c>
      <c r="Q1357" t="inlineStr">
        <is>
          <t>US-E-001</t>
        </is>
      </c>
      <c r="R1357" s="5" t="inlineStr"/>
    </row>
    <row r="1358">
      <c r="A1358" t="inlineStr">
        <is>
          <t>US-E-020</t>
        </is>
      </c>
      <c r="B1358" t="n">
        <v>1515</v>
      </c>
      <c r="C1358" t="inlineStr">
        <is>
          <t>Story</t>
        </is>
      </c>
      <c r="D1358" s="5" t="inlineStr">
        <is>
          <t xml:space="preserve">        Merge two candidate records with field choice</t>
        </is>
      </c>
      <c r="E1358" t="inlineStr">
        <is>
          <t>ATS: internal hiring, staffing desk and vendor portal</t>
        </is>
      </c>
      <c r="F1358" t="inlineStr">
        <is>
          <t>Candidates, talent pools and rediscovery</t>
        </is>
      </c>
      <c r="G1358" t="inlineStr">
        <is>
          <t>New</t>
        </is>
      </c>
      <c r="I1358">
        <f>IF(H1358&lt;&gt;"",H1358,G1358)</f>
        <v/>
      </c>
      <c r="J1358" t="inlineStr">
        <is>
          <t>Step 7 · ATS core</t>
        </is>
      </c>
      <c r="K1358" t="n">
        <v>3</v>
      </c>
      <c r="L1358" t="n">
        <v>1</v>
      </c>
      <c r="M1358" s="5" t="inlineStr">
        <is>
          <t>As a recruiter, I want to merge duplicate candidates and choose which values to keep so that each person has one record.</t>
        </is>
      </c>
      <c r="N1358" s="5" t="inlineStr">
        <is>
          <t>• Given two candidate records, when I merge them, then I choose each conflicting field value (YX-ATS-03).
• Given a merge, when it completes, then both histories (applications, messages, tests) are kept on the result (YX-ATS-03).
• Given a merge, when it completes, then an audit entry records who merged what (YX-ATS-03).</t>
        </is>
      </c>
      <c r="O1358" s="5" t="inlineStr">
        <is>
          <t>YX-ATS-03</t>
        </is>
      </c>
      <c r="P1358" t="inlineStr">
        <is>
          <t>M10 §3, M10 §5</t>
        </is>
      </c>
      <c r="Q1358" t="inlineStr">
        <is>
          <t>US-E-019</t>
        </is>
      </c>
      <c r="R1358" s="5" t="inlineStr"/>
    </row>
    <row r="1359">
      <c r="A1359" t="inlineStr">
        <is>
          <t>US-E-021</t>
        </is>
      </c>
      <c r="B1359" t="n">
        <v>1515</v>
      </c>
      <c r="C1359" t="inlineStr">
        <is>
          <t>Story</t>
        </is>
      </c>
      <c r="D1359" s="5" t="inlineStr">
        <is>
          <t xml:space="preserve">        Candidate portal: confirm parsed fields, upload documents, see status</t>
        </is>
      </c>
      <c r="E1359" t="inlineStr">
        <is>
          <t>ATS: internal hiring, staffing desk and vendor portal</t>
        </is>
      </c>
      <c r="F1359" t="inlineStr">
        <is>
          <t>Candidates, talent pools and rediscovery</t>
        </is>
      </c>
      <c r="G1359" t="inlineStr">
        <is>
          <t>Active</t>
        </is>
      </c>
      <c r="I1359">
        <f>IF(H1359&lt;&gt;"",H1359,G1359)</f>
        <v/>
      </c>
      <c r="J1359" t="inlineStr">
        <is>
          <t>Step 7 · ATS core</t>
        </is>
      </c>
      <c r="K1359" t="n">
        <v>3</v>
      </c>
      <c r="L1359" t="n">
        <v>1</v>
      </c>
      <c r="M1359" s="5" t="inlineStr">
        <is>
          <t>As a candidate, I want to confirm parsed details instead of re-typing them so that applying is fast.</t>
        </is>
      </c>
      <c r="N1359" s="5" t="inlineStr">
        <is>
          <t>• Given a parsed résumé, when I apply, then parsed fields are shown for me to confirm or edit (YX-ATS-31).
• Given a later application at the same company, when I apply, then the same parsed data prefills it (YX-ATS-31).
• Given my portal, when I open it, then I see each application status and can upload several documents to the P05 vault (YX-ATS-31).</t>
        </is>
      </c>
      <c r="O1359" s="5" t="inlineStr">
        <is>
          <t>YX-ATS-31</t>
        </is>
      </c>
      <c r="P1359" t="inlineStr">
        <is>
          <t>M10 §3, M10 §5</t>
        </is>
      </c>
      <c r="Q1359" t="inlineStr">
        <is>
          <t>US-E-019</t>
        </is>
      </c>
      <c r="R1359" s="5" t="inlineStr">
        <is>
          <t>apps/web/app/(candidate)/portal/[portalToken] — portal exists; confirm-and-reuse is new</t>
        </is>
      </c>
    </row>
    <row r="1360">
      <c r="A1360" t="inlineStr">
        <is>
          <t>US-E-022</t>
        </is>
      </c>
      <c r="B1360" t="n">
        <v>1515</v>
      </c>
      <c r="C1360" t="inlineStr">
        <is>
          <t>Story</t>
        </is>
      </c>
      <c r="D1360" s="5" t="inlineStr">
        <is>
          <t xml:space="preserve">        Hotlists, dynamic pools and bench</t>
        </is>
      </c>
      <c r="E1360" t="inlineStr">
        <is>
          <t>ATS: internal hiring, staffing desk and vendor portal</t>
        </is>
      </c>
      <c r="F1360" t="inlineStr">
        <is>
          <t>Candidates, talent pools and rediscovery</t>
        </is>
      </c>
      <c r="G1360" t="inlineStr">
        <is>
          <t>New</t>
        </is>
      </c>
      <c r="I1360">
        <f>IF(H1360&lt;&gt;"",H1360,G1360)</f>
        <v/>
      </c>
      <c r="J1360" t="inlineStr">
        <is>
          <t>Step 7 · ATS core</t>
        </is>
      </c>
      <c r="K1360" t="n">
        <v>5</v>
      </c>
      <c r="L1360" t="n">
        <v>1</v>
      </c>
      <c r="M1360" s="5" t="inlineStr">
        <is>
          <t>As a recruiter, I want named shortlists and saved-search pools so that I can come back to good people.</t>
        </is>
      </c>
      <c r="N1360" s="5" t="inlineStr">
        <is>
          <t>• Given a saved search, when the nightly job runs, then pool membership is refreshed (YX-ATS-21).
• Given a pool member, when their retention date comes, then pool membership does not extend it (YX-ATS-21).
• Given retention is near its end, when the renewal email is sent and not accepted, then the person is anonymised and leaves all pools and sequences (YX-ATS-21).
• Given placed contractors near their end date, when I open Bench, then they are listed as available.</t>
        </is>
      </c>
      <c r="O1360" s="5" t="inlineStr">
        <is>
          <t>YX-ATS-21</t>
        </is>
      </c>
      <c r="P1360" t="inlineStr">
        <is>
          <t>M10 §3, M10 §5</t>
        </is>
      </c>
      <c r="Q1360" t="inlineStr">
        <is>
          <t>US-E-019</t>
        </is>
      </c>
      <c r="R1360" s="5" t="inlineStr"/>
    </row>
    <row r="1361">
      <c r="A1361" t="inlineStr">
        <is>
          <t>US-E-023</t>
        </is>
      </c>
      <c r="B1361" t="n">
        <v>1515</v>
      </c>
      <c r="C1361" t="inlineStr">
        <is>
          <t>Story</t>
        </is>
      </c>
      <c r="D1361" s="5" t="inlineStr">
        <is>
          <t xml:space="preserve">        Suggest past candidates when a requisition opens</t>
        </is>
      </c>
      <c r="E1361" t="inlineStr">
        <is>
          <t>ATS: internal hiring, staffing desk and vendor portal</t>
        </is>
      </c>
      <c r="F1361" t="inlineStr">
        <is>
          <t>Candidates, talent pools and rediscovery</t>
        </is>
      </c>
      <c r="G1361" t="inlineStr">
        <is>
          <t>New</t>
        </is>
      </c>
      <c r="I1361">
        <f>IF(H1361&lt;&gt;"",H1361,G1361)</f>
        <v/>
      </c>
      <c r="J1361" t="inlineStr">
        <is>
          <t>Step 7 · ATS pass-3 additions</t>
        </is>
      </c>
      <c r="K1361" t="n">
        <v>3</v>
      </c>
      <c r="L1361" t="n">
        <v>2</v>
      </c>
      <c r="M1361" s="5" t="inlineStr">
        <is>
          <t>As a recruiter, I want past candidates suggested for a new requisition so that I fill it faster.</t>
        </is>
      </c>
      <c r="N1361" s="5" t="inlineStr">
        <is>
          <t>• Given a requisition opens, when I view it, then silver medallists and pool members matching skills and location are suggested (YX-ATS-39).
• Given a candidate whose retention or consent has expired, when suggestions are made, then they are not shown (YX-ATS-39).
• Given I contact a suggested person, when I send, then nurture-consent rules apply (YX-ATS-39).</t>
        </is>
      </c>
      <c r="O1361" s="5" t="inlineStr">
        <is>
          <t>YX-ATS-39</t>
        </is>
      </c>
      <c r="P1361" t="inlineStr">
        <is>
          <t>M10 §3, M10 §5</t>
        </is>
      </c>
      <c r="Q1361" t="inlineStr">
        <is>
          <t>US-E-022, US-E-015</t>
        </is>
      </c>
      <c r="R1361" s="5" t="inlineStr"/>
    </row>
    <row r="1362">
      <c r="A1362" s="9" t="inlineStr">
        <is>
          <t>FT-E-04</t>
        </is>
      </c>
      <c r="B1362" s="9" t="n">
        <v>1520</v>
      </c>
      <c r="C1362" s="9" t="inlineStr">
        <is>
          <t>Feature</t>
        </is>
      </c>
      <c r="D1362" s="10" t="inlineStr">
        <is>
          <t xml:space="preserve">    Sourcing channels and talent CRM</t>
        </is>
      </c>
      <c r="E1362" s="9" t="inlineStr">
        <is>
          <t>ATS: internal hiring, staffing desk and vendor portal</t>
        </is>
      </c>
      <c r="F1362" s="9" t="inlineStr">
        <is>
          <t>Sourcing channels and talent CRM</t>
        </is>
      </c>
      <c r="G1362" s="9" t="inlineStr">
        <is>
          <t>New</t>
        </is>
      </c>
      <c r="H1362" s="9" t="n"/>
      <c r="I1362" s="9">
        <f>IF(H1362&lt;&gt;"",H1362,G1362)</f>
        <v/>
      </c>
      <c r="J1362" s="9" t="inlineStr">
        <is>
          <t>Step 7 · ATS core</t>
        </is>
      </c>
      <c r="K1362" s="9" t="n"/>
      <c r="L1362" s="9" t="n"/>
      <c r="M1362" s="10" t="inlineStr"/>
      <c r="N1362" s="10" t="inlineStr"/>
      <c r="O1362" s="10" t="inlineStr">
        <is>
          <t>YX-ATS-12, YX-ATS-20, YX-ATS-22, YX-ATS-23, YX-ATS-36</t>
        </is>
      </c>
      <c r="P1362" s="9" t="inlineStr">
        <is>
          <t>M10 §11 B8, M10 §8b</t>
        </is>
      </c>
      <c r="Q1362" s="9" t="inlineStr"/>
      <c r="R1362" s="10" t="inlineStr"/>
      <c r="S1362" s="9" t="n"/>
    </row>
    <row r="1363">
      <c r="A1363" t="inlineStr">
        <is>
          <t>US-E-024</t>
        </is>
      </c>
      <c r="B1363" t="n">
        <v>1520</v>
      </c>
      <c r="C1363" t="inlineStr">
        <is>
          <t>Story</t>
        </is>
      </c>
      <c r="D1363" s="5" t="inlineStr">
        <is>
          <t xml:space="preserve">        Post to Naukri, Shine, Foundit, LinkedIn and Indeed</t>
        </is>
      </c>
      <c r="E1363" t="inlineStr">
        <is>
          <t>ATS: internal hiring, staffing desk and vendor portal</t>
        </is>
      </c>
      <c r="F1363" t="inlineStr">
        <is>
          <t>Sourcing channels and talent CRM</t>
        </is>
      </c>
      <c r="G1363" t="inlineStr">
        <is>
          <t>Active</t>
        </is>
      </c>
      <c r="I1363">
        <f>IF(H1363&lt;&gt;"",H1363,G1363)</f>
        <v/>
      </c>
      <c r="J1363" t="inlineStr">
        <is>
          <t>Step 7 · ATS core</t>
        </is>
      </c>
      <c r="K1363" t="n">
        <v>5</v>
      </c>
      <c r="L1363" t="n">
        <v>1</v>
      </c>
      <c r="M1363" s="5" t="inlineStr">
        <is>
          <t>As a recruiter, I want to post, refresh and close jobs on job boards from YukthiX so that I manage all postings in one place.</t>
        </is>
      </c>
      <c r="N1363" s="5" t="inlineStr">
        <is>
          <t>• Given the company connects its own board account, when I post a job, then it goes live on that board (YX-ATS-23).
• Given a posted job, when I close it in YukthiX, then it is closed on every board (YX-ATS-23).
• Given a board application, when it arrives, then it lands on the job with the board as source (YX-ATS-23).
• Given board fees or slots, when shown, then they are the company contract with the board, not a YukthiX charge (YX-ATS-23).</t>
        </is>
      </c>
      <c r="O1363" s="5" t="inlineStr">
        <is>
          <t>YX-ATS-23</t>
        </is>
      </c>
      <c r="P1363" t="inlineStr">
        <is>
          <t>M10 §11 B8, M10 §8b</t>
        </is>
      </c>
      <c r="Q1363" t="inlineStr"/>
      <c r="R1363" s="5" t="inlineStr">
        <is>
          <t>apps/api/src/job-boards/providers (http, LinkedIn, Indeed) — generic feed exists; Naukri / Shine / Foundit are new</t>
        </is>
      </c>
    </row>
    <row r="1364">
      <c r="A1364" t="inlineStr">
        <is>
          <t>US-E-025</t>
        </is>
      </c>
      <c r="B1364" t="n">
        <v>1520</v>
      </c>
      <c r="C1364" t="inlineStr">
        <is>
          <t>Story</t>
        </is>
      </c>
      <c r="D1364" s="5" t="inlineStr">
        <is>
          <t xml:space="preserve">        Sourcing browser extension captures one profile per click</t>
        </is>
      </c>
      <c r="E1364" t="inlineStr">
        <is>
          <t>ATS: internal hiring, staffing desk and vendor portal</t>
        </is>
      </c>
      <c r="F1364" t="inlineStr">
        <is>
          <t>Sourcing channels and talent CRM</t>
        </is>
      </c>
      <c r="G1364" t="inlineStr">
        <is>
          <t>New</t>
        </is>
      </c>
      <c r="I1364">
        <f>IF(H1364&lt;&gt;"",H1364,G1364)</f>
        <v/>
      </c>
      <c r="J1364" t="inlineStr">
        <is>
          <t>Step 7 · ATS core</t>
        </is>
      </c>
      <c r="K1364" t="n">
        <v>5</v>
      </c>
      <c r="L1364" t="n">
        <v>2</v>
      </c>
      <c r="M1364" s="5" t="inlineStr">
        <is>
          <t>As a recruiter, I want to save a profile I am viewing on LinkedIn or Naukri with one click so that sourcing is quick and fair.</t>
        </is>
      </c>
      <c r="N1364" s="5" t="inlineStr">
        <is>
          <t>• Given I am on a profile page in my own session, when I click capture, then one candidate is created or matched (YX-ATS-22).
• Given the extension, when it runs, then it never crawls in bulk or in the background (YX-ATS-22).
• Given a captured profile, when saved, then the source and capture time are recorded (YX-ATS-22).</t>
        </is>
      </c>
      <c r="O1364" s="5" t="inlineStr">
        <is>
          <t>YX-ATS-22</t>
        </is>
      </c>
      <c r="P1364" t="inlineStr">
        <is>
          <t>M10 §11 B8, M10 §8b</t>
        </is>
      </c>
      <c r="Q1364" t="inlineStr"/>
      <c r="R1364" s="5" t="inlineStr"/>
    </row>
    <row r="1365">
      <c r="A1365" t="inlineStr">
        <is>
          <t>US-E-026</t>
        </is>
      </c>
      <c r="B1365" t="n">
        <v>1520</v>
      </c>
      <c r="C1365" t="inlineStr">
        <is>
          <t>Story</t>
        </is>
      </c>
      <c r="D1365" s="5" t="inlineStr">
        <is>
          <t xml:space="preserve">        Apply and answer screening questions via WhatsApp or chatbot</t>
        </is>
      </c>
      <c r="E1365" t="inlineStr">
        <is>
          <t>ATS: internal hiring, staffing desk and vendor portal</t>
        </is>
      </c>
      <c r="F1365" t="inlineStr">
        <is>
          <t>Sourcing channels and talent CRM</t>
        </is>
      </c>
      <c r="G1365" t="inlineStr">
        <is>
          <t>New</t>
        </is>
      </c>
      <c r="I1365">
        <f>IF(H1365&lt;&gt;"",H1365,G1365)</f>
        <v/>
      </c>
      <c r="J1365" t="inlineStr">
        <is>
          <t>Step 7 · ATS pass-3 additions</t>
        </is>
      </c>
      <c r="K1365" t="n">
        <v>5</v>
      </c>
      <c r="L1365" t="n">
        <v>2</v>
      </c>
      <c r="M1365" s="5" t="inlineStr">
        <is>
          <t>As a job seeker, I want to apply through WhatsApp or the careers chatbot so that I can apply from my phone easily.</t>
        </is>
      </c>
      <c r="N1365" s="5" t="inlineStr">
        <is>
          <t>• Given a chat start, when I begin, then channel consent is captured first and I can opt out at any time (YX-ATS-36).
• Given my answers, when I finish, then they land on the same application as the web form with no duplicate candidate (YX-ATS-36).
• Given a knockout answer, when it fails, then the recruiter gets a recommendation, not an automatic rejection (YX-ATS-36).</t>
        </is>
      </c>
      <c r="O1365" s="5" t="inlineStr">
        <is>
          <t>YX-ATS-36</t>
        </is>
      </c>
      <c r="P1365" t="inlineStr">
        <is>
          <t>M10 §11 B8, M10 §8b</t>
        </is>
      </c>
      <c r="Q1365" t="inlineStr">
        <is>
          <t>US-E-019</t>
        </is>
      </c>
      <c r="R1365" s="5" t="inlineStr"/>
    </row>
    <row r="1366">
      <c r="A1366" t="inlineStr">
        <is>
          <t>US-E-027</t>
        </is>
      </c>
      <c r="B1366" t="n">
        <v>1520</v>
      </c>
      <c r="C1366" t="inlineStr">
        <is>
          <t>Story</t>
        </is>
      </c>
      <c r="D1366" s="5" t="inlineStr">
        <is>
          <t xml:space="preserve">        Referral bonus paid through payroll automatically</t>
        </is>
      </c>
      <c r="E1366" t="inlineStr">
        <is>
          <t>ATS: internal hiring, staffing desk and vendor portal</t>
        </is>
      </c>
      <c r="F1366" t="inlineStr">
        <is>
          <t>Sourcing channels and talent CRM</t>
        </is>
      </c>
      <c r="G1366" t="inlineStr">
        <is>
          <t>New</t>
        </is>
      </c>
      <c r="I1366">
        <f>IF(H1366&lt;&gt;"",H1366,G1366)</f>
        <v/>
      </c>
      <c r="J1366" t="inlineStr">
        <is>
          <t>Step 7 · ATS core</t>
        </is>
      </c>
      <c r="K1366" t="n">
        <v>3</v>
      </c>
      <c r="L1366" t="n">
        <v>1</v>
      </c>
      <c r="M1366" s="5" t="inlineStr">
        <is>
          <t>As an employee who referred someone, I want my bonus paid automatically when the rule is met so that I do not chase HR.</t>
        </is>
      </c>
      <c r="N1366" s="5" t="inlineStr">
        <is>
          <t>• Given a referral bonus rule (e.g. 90 days completed), when the hire reaches it, then a one-time pay line is created in M03 (YX-ATS-12).
• Given the referred person left before the rule date, when the date passes, then no bonus is created.
• Given a bonus line, when created, then the referral shows reward status "sent to payroll".</t>
        </is>
      </c>
      <c r="O1366" s="5" t="inlineStr">
        <is>
          <t>YX-ATS-12</t>
        </is>
      </c>
      <c r="P1366" t="inlineStr">
        <is>
          <t>M10 §11 B8, M10 §8b</t>
        </is>
      </c>
      <c r="Q1366" t="inlineStr">
        <is>
          <t>US-E-006</t>
        </is>
      </c>
      <c r="R1366" s="5" t="inlineStr"/>
    </row>
    <row r="1367">
      <c r="A1367" t="inlineStr">
        <is>
          <t>US-E-028</t>
        </is>
      </c>
      <c r="B1367" t="n">
        <v>1520</v>
      </c>
      <c r="C1367" t="inlineStr">
        <is>
          <t>Story</t>
        </is>
      </c>
      <c r="D1367" s="5" t="inlineStr">
        <is>
          <t xml:space="preserve">        Nurture campaigns that respect channel consent</t>
        </is>
      </c>
      <c r="E1367" t="inlineStr">
        <is>
          <t>ATS: internal hiring, staffing desk and vendor portal</t>
        </is>
      </c>
      <c r="F1367" t="inlineStr">
        <is>
          <t>Sourcing channels and talent CRM</t>
        </is>
      </c>
      <c r="G1367" t="inlineStr">
        <is>
          <t>Active</t>
        </is>
      </c>
      <c r="I1367">
        <f>IF(H1367&lt;&gt;"",H1367,G1367)</f>
        <v/>
      </c>
      <c r="J1367" t="inlineStr">
        <is>
          <t>Step 7 · ATS core</t>
        </is>
      </c>
      <c r="K1367" t="n">
        <v>5</v>
      </c>
      <c r="L1367" t="n">
        <v>1</v>
      </c>
      <c r="M1367" s="5" t="inlineStr">
        <is>
          <t>As a recruiter, I want nurture sequences for talent pools so that candidates stay warm, only with their consent.</t>
        </is>
      </c>
      <c r="N1367" s="5" t="inlineStr">
        <is>
          <t>• Given a sequence step, when it runs, then it is sent only to people with a current nurture consent for that channel (YX-ATS-20).
• Given a consent, when recorded, then source, time and text version are stored (YX-ATS-20).
• Given a WhatsApp step, when sent, then it uses an approved template on the company number (YX-ATS-20).
• Given an opt-out, when it is received, then all further steps on that channel stop at once (YX-ATS-20).</t>
        </is>
      </c>
      <c r="O1367" s="5" t="inlineStr">
        <is>
          <t>YX-ATS-20</t>
        </is>
      </c>
      <c r="P1367" t="inlineStr">
        <is>
          <t>M10 §11 B8, M10 §8b</t>
        </is>
      </c>
      <c r="Q1367" t="inlineStr"/>
      <c r="R1367" s="5" t="inlineStr">
        <is>
          <t>apps/api/src/drip (DripCampaign) · ChannelConsent model — sequences and consent store exist; per-channel nurture check is new</t>
        </is>
      </c>
    </row>
    <row r="1368">
      <c r="A1368" s="9" t="inlineStr">
        <is>
          <t>FT-E-05</t>
        </is>
      </c>
      <c r="B1368" s="9" t="n">
        <v>1525</v>
      </c>
      <c r="C1368" s="9" t="inlineStr">
        <is>
          <t>Feature</t>
        </is>
      </c>
      <c r="D1368" s="10" t="inlineStr">
        <is>
          <t xml:space="preserve">    Interviews, scorecards and AI first round</t>
        </is>
      </c>
      <c r="E1368" s="9" t="inlineStr">
        <is>
          <t>ATS: internal hiring, staffing desk and vendor portal</t>
        </is>
      </c>
      <c r="F1368" s="9" t="inlineStr">
        <is>
          <t>Interviews, scorecards and AI first round</t>
        </is>
      </c>
      <c r="G1368" s="9" t="inlineStr">
        <is>
          <t>New</t>
        </is>
      </c>
      <c r="H1368" s="9" t="n"/>
      <c r="I1368" s="9">
        <f>IF(H1368&lt;&gt;"",H1368,G1368)</f>
        <v/>
      </c>
      <c r="J1368" s="9" t="inlineStr">
        <is>
          <t>Step 7 · ATS core</t>
        </is>
      </c>
      <c r="K1368" s="9" t="n"/>
      <c r="L1368" s="9" t="n"/>
      <c r="M1368" s="10" t="inlineStr"/>
      <c r="N1368" s="10" t="inlineStr"/>
      <c r="O1368" s="10" t="inlineStr">
        <is>
          <t>YX-ATS-04, YX-ATS-05, YX-ATS-24, YX-ATS-32, YX-ATS-35, YX-ATS-37</t>
        </is>
      </c>
      <c r="P1368" s="9" t="inlineStr">
        <is>
          <t>M10 §5, M10 §6</t>
        </is>
      </c>
      <c r="Q1368" s="9" t="inlineStr"/>
      <c r="R1368" s="10" t="inlineStr"/>
      <c r="S1368" s="9" t="n"/>
    </row>
    <row r="1369">
      <c r="A1369" t="inlineStr">
        <is>
          <t>US-E-029</t>
        </is>
      </c>
      <c r="B1369" t="n">
        <v>1525</v>
      </c>
      <c r="C1369" t="inlineStr">
        <is>
          <t>Story</t>
        </is>
      </c>
      <c r="D1369" s="5" t="inlineStr">
        <is>
          <t xml:space="preserve">        Skill scorecard with a pass bar and next-step prompt</t>
        </is>
      </c>
      <c r="E1369" t="inlineStr">
        <is>
          <t>ATS: internal hiring, staffing desk and vendor portal</t>
        </is>
      </c>
      <c r="F1369" t="inlineStr">
        <is>
          <t>Interviews, scorecards and AI first round</t>
        </is>
      </c>
      <c r="G1369" t="inlineStr">
        <is>
          <t>Active</t>
        </is>
      </c>
      <c r="I1369">
        <f>IF(H1369&lt;&gt;"",H1369,G1369)</f>
        <v/>
      </c>
      <c r="J1369" t="inlineStr">
        <is>
          <t>Step 7 · ATS core</t>
        </is>
      </c>
      <c r="K1369" t="n">
        <v>3</v>
      </c>
      <c r="L1369" t="n">
        <v>1</v>
      </c>
      <c r="M1369" s="5" t="inlineStr">
        <is>
          <t>As an interviewer, I want to rate each skill against a pass bar so that my feedback is fair and clear.</t>
        </is>
      </c>
      <c r="N1369" s="5" t="inlineStr">
        <is>
          <t>• Given a round with skills, when I fill the scorecard, then I rate each skill against its pass bar (YX-ATS-04).
• Given I submit, when the form saves, then the panel recommendation and next-step prompt appear (YX-ATS-04).
• Given other panel feedback, when I have not submitted, then I cannot see it.</t>
        </is>
      </c>
      <c r="O1369" s="5" t="inlineStr">
        <is>
          <t>YX-ATS-04</t>
        </is>
      </c>
      <c r="P1369" t="inlineStr">
        <is>
          <t>M10 §5, M10 §6</t>
        </is>
      </c>
      <c r="Q1369" t="inlineStr"/>
      <c r="R1369" s="5" t="inlineStr">
        <is>
          <t>apps/api/src/interviews/interview-scorecard.client.ts · PipelineFeedback model — scorecards exist; skill pass bar is new</t>
        </is>
      </c>
    </row>
    <row r="1370">
      <c r="A1370" t="inlineStr">
        <is>
          <t>US-E-030</t>
        </is>
      </c>
      <c r="B1370" t="n">
        <v>1525</v>
      </c>
      <c r="C1370" t="inlineStr">
        <is>
          <t>Story</t>
        </is>
      </c>
      <c r="D1370" s="5" t="inlineStr">
        <is>
          <t xml:space="preserve">        Panel auto-slotting from free/busy</t>
        </is>
      </c>
      <c r="E1370" t="inlineStr">
        <is>
          <t>ATS: internal hiring, staffing desk and vendor portal</t>
        </is>
      </c>
      <c r="F1370" t="inlineStr">
        <is>
          <t>Interviews, scorecards and AI first round</t>
        </is>
      </c>
      <c r="G1370" t="inlineStr">
        <is>
          <t>New</t>
        </is>
      </c>
      <c r="I1370">
        <f>IF(H1370&lt;&gt;"",H1370,G1370)</f>
        <v/>
      </c>
      <c r="J1370" t="inlineStr">
        <is>
          <t>Step 7 · ATS core</t>
        </is>
      </c>
      <c r="K1370" t="n">
        <v>5</v>
      </c>
      <c r="L1370" t="n">
        <v>2</v>
      </c>
      <c r="M1370" s="5" t="inlineStr">
        <is>
          <t>As a recruiter, I want YukthiX to find common free slots for the panel so that scheduling takes minutes, not days.</t>
        </is>
      </c>
      <c r="N1370" s="5" t="inlineStr">
        <is>
          <t>• Given panel calendars are connected, when I ask for slots, then common free times are found (YX-ATS-24).
• Given company rules, when slots are found, then working hours, time zone, buffers and daily / weekly interview caps are respected (YX-ATS-24).
• Given no common slot, when the search ends, then the recruiter sees why and the nearest options.</t>
        </is>
      </c>
      <c r="O1370" s="5" t="inlineStr">
        <is>
          <t>YX-ATS-24</t>
        </is>
      </c>
      <c r="P1370" t="inlineStr">
        <is>
          <t>M10 §5, M10 §6</t>
        </is>
      </c>
      <c r="Q1370" t="inlineStr">
        <is>
          <t>US-E-004</t>
        </is>
      </c>
      <c r="R1370" s="5" t="inlineStr"/>
    </row>
    <row r="1371">
      <c r="A1371" t="inlineStr">
        <is>
          <t>US-E-031</t>
        </is>
      </c>
      <c r="B1371" t="n">
        <v>1525</v>
      </c>
      <c r="C1371" t="inlineStr">
        <is>
          <t>Story</t>
        </is>
      </c>
      <c r="D1371" s="5" t="inlineStr">
        <is>
          <t xml:space="preserve">        Plain notice, consent and human alternative before any automation</t>
        </is>
      </c>
      <c r="E1371" t="inlineStr">
        <is>
          <t>ATS: internal hiring, staffing desk and vendor portal</t>
        </is>
      </c>
      <c r="F1371" t="inlineStr">
        <is>
          <t>Interviews, scorecards and AI first round</t>
        </is>
      </c>
      <c r="G1371" t="inlineStr">
        <is>
          <t>New</t>
        </is>
      </c>
      <c r="I1371">
        <f>IF(H1371&lt;&gt;"",H1371,G1371)</f>
        <v/>
      </c>
      <c r="J1371" t="inlineStr">
        <is>
          <t>Step 7 · ATS pass-3 additions</t>
        </is>
      </c>
      <c r="K1371" t="n">
        <v>3</v>
      </c>
      <c r="L1371" t="n">
        <v>1</v>
      </c>
      <c r="M1371" s="5" t="inlineStr">
        <is>
          <t>As a candidate, I want to know what is automated and ask for a human process so that I am treated fairly.</t>
        </is>
      </c>
      <c r="N1371" s="5" t="inlineStr">
        <is>
          <t>• Given automated screening, AI interview or AI scoring, when I reach it, then I see a plain notice and give consent recorded with version and time (YX-ATS-35).
• Given I ask for a human process, when I submit, then the request goes to the recruiter and I lose nothing (YX-ATS-35).
• Given a deletion request, when I submit it, then it is completed within 30 days unless a legal hold applies, with the reason shown (YX-ATS-35).</t>
        </is>
      </c>
      <c r="O1371" s="5" t="inlineStr">
        <is>
          <t>YX-ATS-35</t>
        </is>
      </c>
      <c r="P1371" t="inlineStr">
        <is>
          <t>M10 §5, M10 §6</t>
        </is>
      </c>
      <c r="Q1371" t="inlineStr">
        <is>
          <t>US-E-010</t>
        </is>
      </c>
      <c r="R1371" s="5" t="inlineStr"/>
    </row>
    <row r="1372">
      <c r="A1372" t="inlineStr">
        <is>
          <t>US-E-032</t>
        </is>
      </c>
      <c r="B1372" t="n">
        <v>1525</v>
      </c>
      <c r="C1372" t="inlineStr">
        <is>
          <t>Story</t>
        </is>
      </c>
      <c r="D1372" s="5" t="inlineStr">
        <is>
          <t xml:space="preserve">        AI first-round interview with human review</t>
        </is>
      </c>
      <c r="E1372" t="inlineStr">
        <is>
          <t>ATS: internal hiring, staffing desk and vendor portal</t>
        </is>
      </c>
      <c r="F1372" t="inlineStr">
        <is>
          <t>Interviews, scorecards and AI first round</t>
        </is>
      </c>
      <c r="G1372" t="inlineStr">
        <is>
          <t>New</t>
        </is>
      </c>
      <c r="I1372">
        <f>IF(H1372&lt;&gt;"",H1372,G1372)</f>
        <v/>
      </c>
      <c r="J1372" t="inlineStr">
        <is>
          <t>Step 7 · ATS core</t>
        </is>
      </c>
      <c r="K1372" t="n">
        <v>8</v>
      </c>
      <c r="L1372" t="n">
        <v>1</v>
      </c>
      <c r="M1372" s="5" t="inlineStr">
        <is>
          <t>As a recruiter, I want an AI first-round interview so that I screen many candidates quickly, while a person still decides.</t>
        </is>
      </c>
      <c r="N1372" s="5" t="inlineStr">
        <is>
          <t>• Given an AI interview, when it is scored, then the score is advisory and a person must review before reject or progress (YX-ATS-05).
• Given recordings, when processed, then video, voice and face match stay in-region; only the text transcript goes to the LLM (YX-ATS-05).
• Given any candidate, when the AI interview ends, then there is never an automatic reject (YX-ATS-05).
• Given an under-18 candidate, when the round is set, then the AI interview is not offered (YX-ATS-19).</t>
        </is>
      </c>
      <c r="O1372" s="5" t="inlineStr">
        <is>
          <t>YX-ATS-05</t>
        </is>
      </c>
      <c r="P1372" t="inlineStr">
        <is>
          <t>M10 §5, M10 §6</t>
        </is>
      </c>
      <c r="Q1372" t="inlineStr">
        <is>
          <t>US-E-031</t>
        </is>
      </c>
      <c r="R1372" s="5" t="inlineStr"/>
    </row>
    <row r="1373">
      <c r="A1373" t="inlineStr">
        <is>
          <t>US-E-033</t>
        </is>
      </c>
      <c r="B1373" t="n">
        <v>1525</v>
      </c>
      <c r="C1373" t="inlineStr">
        <is>
          <t>Story</t>
        </is>
      </c>
      <c r="D1373" s="5" t="inlineStr">
        <is>
          <t xml:space="preserve">        Interview notetaker with everyone’s consent</t>
        </is>
      </c>
      <c r="E1373" t="inlineStr">
        <is>
          <t>ATS: internal hiring, staffing desk and vendor portal</t>
        </is>
      </c>
      <c r="F1373" t="inlineStr">
        <is>
          <t>Interviews, scorecards and AI first round</t>
        </is>
      </c>
      <c r="G1373" t="inlineStr">
        <is>
          <t>New</t>
        </is>
      </c>
      <c r="I1373">
        <f>IF(H1373&lt;&gt;"",H1373,G1373)</f>
        <v/>
      </c>
      <c r="J1373" t="inlineStr">
        <is>
          <t>Step 7 · ATS pass-3 additions</t>
        </is>
      </c>
      <c r="K1373" t="n">
        <v>5</v>
      </c>
      <c r="L1373" t="n">
        <v>2</v>
      </c>
      <c r="M1373" s="5" t="inlineStr">
        <is>
          <t>As an interviewer, I want the interview transcribed and a draft scorecard made so that I write feedback faster.</t>
        </is>
      </c>
      <c r="N1373" s="5" t="inlineStr">
        <is>
          <t>• Given any participant declines, when the interview starts, then nothing is recorded and the interview continues (YX-ATS-37).
• Given all consent, when the interview ends, then AI drafts scorecard notes from the transcript (YX-ATS-37).
• Given a draft, when I have not confirmed each rating, then it is not submitted (YX-ATS-37).
• Given recordings, when the retention period ends, then they are deleted (YX-ATS-37).</t>
        </is>
      </c>
      <c r="O1373" s="5" t="inlineStr">
        <is>
          <t>YX-ATS-37</t>
        </is>
      </c>
      <c r="P1373" t="inlineStr">
        <is>
          <t>M10 §5, M10 §6</t>
        </is>
      </c>
      <c r="Q1373" t="inlineStr">
        <is>
          <t>US-E-029</t>
        </is>
      </c>
      <c r="R1373" s="5" t="inlineStr"/>
    </row>
    <row r="1374">
      <c r="A1374" t="inlineStr">
        <is>
          <t>US-E-034</t>
        </is>
      </c>
      <c r="B1374" t="n">
        <v>1795</v>
      </c>
      <c r="C1374" t="inlineStr">
        <is>
          <t>Story</t>
        </is>
      </c>
      <c r="D1374" s="5" t="inlineStr">
        <is>
          <t xml:space="preserve">        Optional application verification and identity chain across interviews</t>
        </is>
      </c>
      <c r="E1374" t="inlineStr">
        <is>
          <t>ATS: internal hiring, staffing desk and vendor portal</t>
        </is>
      </c>
      <c r="F1374" t="inlineStr">
        <is>
          <t>Interviews, scorecards and AI first round</t>
        </is>
      </c>
      <c r="G1374" t="inlineStr">
        <is>
          <t>New</t>
        </is>
      </c>
      <c r="I1374">
        <f>IF(H1374&lt;&gt;"",H1374,G1374)</f>
        <v/>
      </c>
      <c r="J1374" t="inlineStr">
        <is>
          <t>Step 7 · ATS core</t>
        </is>
      </c>
      <c r="K1374" t="n">
        <v>5</v>
      </c>
      <c r="L1374" t="n">
        <v>1</v>
      </c>
      <c r="M1374" s="5" t="inlineStr">
        <is>
          <t>As a recruiter, I want one consented identity check to follow the candidate to the AI and live interview so that the same person shows up.</t>
        </is>
      </c>
      <c r="N1374" s="5" t="inlineStr">
        <is>
          <t>• Given the company turns on application verification, when the candidate applies, then ID + selfie with consent is the first capture for the person record (YX-ATS-32).
• Given an AI or live interview later, when it starts, then it matches against that template (YX-ATS-32, YX-PROC-19).
• Given a mismatch, when detected, then an incident opens for human review; nothing is auto-rejected (YX-ATS-32).</t>
        </is>
      </c>
      <c r="O1374" s="5" t="inlineStr">
        <is>
          <t>YX-ATS-32</t>
        </is>
      </c>
      <c r="P1374" t="inlineStr">
        <is>
          <t>M10 §5, M10 §6</t>
        </is>
      </c>
      <c r="Q1374" t="inlineStr">
        <is>
          <t>US-E-032, US-E-153</t>
        </is>
      </c>
      <c r="R1374" s="5" t="inlineStr"/>
    </row>
    <row r="1375">
      <c r="A1375" s="9" t="inlineStr">
        <is>
          <t>FT-E-06</t>
        </is>
      </c>
      <c r="B1375" s="9" t="n">
        <v>1530</v>
      </c>
      <c r="C1375" s="9" t="inlineStr">
        <is>
          <t>Feature</t>
        </is>
      </c>
      <c r="D1375" s="10" t="inlineStr">
        <is>
          <t xml:space="preserve">    Offers and hand-off to HR</t>
        </is>
      </c>
      <c r="E1375" s="9" t="inlineStr">
        <is>
          <t>ATS: internal hiring, staffing desk and vendor portal</t>
        </is>
      </c>
      <c r="F1375" s="9" t="inlineStr">
        <is>
          <t>Offers and hand-off to HR</t>
        </is>
      </c>
      <c r="G1375" s="9" t="inlineStr">
        <is>
          <t>New</t>
        </is>
      </c>
      <c r="H1375" s="9" t="n"/>
      <c r="I1375" s="9">
        <f>IF(H1375&lt;&gt;"",H1375,G1375)</f>
        <v/>
      </c>
      <c r="J1375" s="9" t="inlineStr">
        <is>
          <t>Step 7 · ATS core</t>
        </is>
      </c>
      <c r="K1375" s="9" t="n"/>
      <c r="L1375" s="9" t="n"/>
      <c r="M1375" s="10" t="inlineStr"/>
      <c r="N1375" s="10" t="inlineStr"/>
      <c r="O1375" s="10" t="inlineStr">
        <is>
          <t>YX-ATS-06, YX-ATS-07, YX-ATS-13, YX-ATS-14, YX-ATS-17, YX-ATS-18, YX-ATS-40, YX-ATS-41, YX-ATS-42, YX-DLV-23</t>
        </is>
      </c>
      <c r="P1375" s="9" t="inlineStr">
        <is>
          <t>M10 §5, M10 §6</t>
        </is>
      </c>
      <c r="Q1375" s="9" t="inlineStr"/>
      <c r="R1375" s="10" t="inlineStr"/>
      <c r="S1375" s="9" t="n"/>
    </row>
    <row r="1376">
      <c r="A1376" t="inlineStr">
        <is>
          <t>US-E-035</t>
        </is>
      </c>
      <c r="B1376" t="n">
        <v>1530</v>
      </c>
      <c r="C1376" t="inlineStr">
        <is>
          <t>Story</t>
        </is>
      </c>
      <c r="D1376" s="5" t="inlineStr">
        <is>
          <t xml:space="preserve">        Offer compensation from M03 salary templates</t>
        </is>
      </c>
      <c r="E1376" t="inlineStr">
        <is>
          <t>ATS: internal hiring, staffing desk and vendor portal</t>
        </is>
      </c>
      <c r="F1376" t="inlineStr">
        <is>
          <t>Offers and hand-off to HR</t>
        </is>
      </c>
      <c r="G1376" t="inlineStr">
        <is>
          <t>Active</t>
        </is>
      </c>
      <c r="I1376">
        <f>IF(H1376&lt;&gt;"",H1376,G1376)</f>
        <v/>
      </c>
      <c r="J1376" t="inlineStr">
        <is>
          <t>Step 7 · ATS core</t>
        </is>
      </c>
      <c r="K1376" t="n">
        <v>5</v>
      </c>
      <c r="L1376" t="n">
        <v>1</v>
      </c>
      <c r="M1376" s="5" t="inlineStr">
        <is>
          <t>As a recruiter, I want offer pay built from a salary template so that the offer matches payroll.</t>
        </is>
      </c>
      <c r="N1376" s="5" t="inlineStr">
        <is>
          <t>• Given an offer, when I choose a salary template, then the CTC breakup comes from M03 (YX-ATS-06).
• Given a CTC outside the grade pay range, when I submit, then an extra approval is required (YX-ATS-06).
• Given an approved offer, when the letter is made, then the breakup table is printed from the structured CTC.</t>
        </is>
      </c>
      <c r="O1376" s="5" t="inlineStr">
        <is>
          <t>YX-ATS-06</t>
        </is>
      </c>
      <c r="P1376" t="inlineStr">
        <is>
          <t>M10 §5, M10 §6</t>
        </is>
      </c>
      <c r="Q1376" t="inlineStr">
        <is>
          <t>US-E-005</t>
        </is>
      </c>
      <c r="R1376" s="5" t="inlineStr">
        <is>
          <t>apps/api/src/offers (Offer.compensation is free text today) — structured CTC is new</t>
        </is>
      </c>
    </row>
    <row r="1377">
      <c r="A1377" t="inlineStr">
        <is>
          <t>US-E-036</t>
        </is>
      </c>
      <c r="B1377" t="n">
        <v>1530</v>
      </c>
      <c r="C1377" t="inlineStr">
        <is>
          <t>Story</t>
        </is>
      </c>
      <c r="D1377" s="5" t="inlineStr">
        <is>
          <t xml:space="preserve">        Revised offers as new versions with decline reasons</t>
        </is>
      </c>
      <c r="E1377" t="inlineStr">
        <is>
          <t>ATS: internal hiring, staffing desk and vendor portal</t>
        </is>
      </c>
      <c r="F1377" t="inlineStr">
        <is>
          <t>Offers and hand-off to HR</t>
        </is>
      </c>
      <c r="G1377" t="inlineStr">
        <is>
          <t>New</t>
        </is>
      </c>
      <c r="I1377">
        <f>IF(H1377&lt;&gt;"",H1377,G1377)</f>
        <v/>
      </c>
      <c r="J1377" t="inlineStr">
        <is>
          <t>Step 7 · ATS core</t>
        </is>
      </c>
      <c r="K1377" t="n">
        <v>3</v>
      </c>
      <c r="L1377" t="n">
        <v>1</v>
      </c>
      <c r="M1377" s="5" t="inlineStr">
        <is>
          <t>As a recruiter, I want a revised offer to replace the old one so that the candidate can only accept the latest.</t>
        </is>
      </c>
      <c r="N1377" s="5" t="inlineStr">
        <is>
          <t>• Given a revision, when I save it, then a new version supersedes the old one and the old letter is withdrawn in P05 (YX-ATS-17).
• Given CTC or grade changed, when I submit the revision, then it goes through approval again (YX-ATS-17).
• Given a decline, when recorded, then a reason from the decline-reason list is required (YX-ATS-17).</t>
        </is>
      </c>
      <c r="O1377" s="5" t="inlineStr">
        <is>
          <t>YX-ATS-17</t>
        </is>
      </c>
      <c r="P1377" t="inlineStr">
        <is>
          <t>M10 §5, M10 §6</t>
        </is>
      </c>
      <c r="Q1377" t="inlineStr">
        <is>
          <t>US-E-035</t>
        </is>
      </c>
      <c r="R1377" s="5" t="inlineStr"/>
    </row>
    <row r="1378">
      <c r="A1378" t="inlineStr">
        <is>
          <t>US-E-037</t>
        </is>
      </c>
      <c r="B1378" t="n">
        <v>1530</v>
      </c>
      <c r="C1378" t="inlineStr">
        <is>
          <t>Story</t>
        </is>
      </c>
      <c r="D1378" s="5" t="inlineStr">
        <is>
          <t xml:space="preserve">        Create the employee on acceptance (hand-off matrix)</t>
        </is>
      </c>
      <c r="E1378" t="inlineStr">
        <is>
          <t>ATS: internal hiring, staffing desk and vendor portal</t>
        </is>
      </c>
      <c r="F1378" t="inlineStr">
        <is>
          <t>Offers and hand-off to HR</t>
        </is>
      </c>
      <c r="G1378" t="inlineStr">
        <is>
          <t>New</t>
        </is>
      </c>
      <c r="I1378">
        <f>IF(H1378&lt;&gt;"",H1378,G1378)</f>
        <v/>
      </c>
      <c r="J1378" t="inlineStr">
        <is>
          <t>Step 7 · ATS core</t>
        </is>
      </c>
      <c r="K1378" t="n">
        <v>8</v>
      </c>
      <c r="L1378" t="n">
        <v>1</v>
      </c>
      <c r="M1378" s="5" t="inlineStr">
        <is>
          <t>As HR, I want an accepted offer to create the employee in one step so that onboarding starts without re-typing.</t>
        </is>
      </c>
      <c r="N1378" s="5" t="inlineStr">
        <is>
          <t>• Given automatic mode for the entity, when the offer is accepted, then the hand-off runs in one transaction (YX-ATS-07).
• Given manual mode, when HR clicks Create employee in "Ready to onboard", then the same hand-off runs (YX-ATS-07).
• Given the candidate matches an employee on PAN, email or mobile, when hand-off runs, then it branches by person type (rehire, transfer, new) per the matrix (YX-ATS-07).
• Given a new person, when hand-off completes, then the employee, employment and pre-boarding tasks exist and the plan line is drawn (YX-ATS-07).</t>
        </is>
      </c>
      <c r="O1378" s="5" t="inlineStr">
        <is>
          <t>YX-ATS-07</t>
        </is>
      </c>
      <c r="P1378" t="inlineStr">
        <is>
          <t>M10 §5, M10 §6</t>
        </is>
      </c>
      <c r="Q1378" t="inlineStr">
        <is>
          <t>US-E-035, US-E-019</t>
        </is>
      </c>
      <c r="R1378" s="5" t="inlineStr"/>
    </row>
    <row r="1379">
      <c r="A1379" t="inlineStr">
        <is>
          <t>US-E-038</t>
        </is>
      </c>
      <c r="B1379" t="n">
        <v>1530</v>
      </c>
      <c r="C1379" t="inlineStr">
        <is>
          <t>Story</t>
        </is>
      </c>
      <c r="D1379" s="5" t="inlineStr">
        <is>
          <t xml:space="preserve">        Internal hire is a dated change, not a new employee</t>
        </is>
      </c>
      <c r="E1379" t="inlineStr">
        <is>
          <t>ATS: internal hiring, staffing desk and vendor portal</t>
        </is>
      </c>
      <c r="F1379" t="inlineStr">
        <is>
          <t>Offers and hand-off to HR</t>
        </is>
      </c>
      <c r="G1379" t="inlineStr">
        <is>
          <t>New</t>
        </is>
      </c>
      <c r="I1379">
        <f>IF(H1379&lt;&gt;"",H1379,G1379)</f>
        <v/>
      </c>
      <c r="J1379" t="inlineStr">
        <is>
          <t>Step 7 · ATS core</t>
        </is>
      </c>
      <c r="K1379" t="n">
        <v>3</v>
      </c>
      <c r="L1379" t="n">
        <v>1</v>
      </c>
      <c r="M1379" s="5" t="inlineStr">
        <is>
          <t>As HR, I want an accepted internal offer to schedule a transfer on the existing record so that history stays in one place.</t>
        </is>
      </c>
      <c r="N1379" s="5" t="inlineStr">
        <is>
          <t>• Given an internal application offer, when accepted, then the requisition is filled and the plan line drawn (YX-ATS-13).
• Given acceptance, when saved, then no new employee or employment is created (YX-ATS-13).
• Given the release date agreed with the current manager, when it is set, then the move is a P06 change effective that date (YX-ATS-13).</t>
        </is>
      </c>
      <c r="O1379" s="5" t="inlineStr">
        <is>
          <t>YX-ATS-13</t>
        </is>
      </c>
      <c r="P1379" t="inlineStr">
        <is>
          <t>M10 §5, M10 §6</t>
        </is>
      </c>
      <c r="Q1379" t="inlineStr">
        <is>
          <t>US-E-037</t>
        </is>
      </c>
      <c r="R1379" s="5" t="inlineStr"/>
    </row>
    <row r="1380">
      <c r="A1380" t="inlineStr">
        <is>
          <t>US-E-040</t>
        </is>
      </c>
      <c r="B1380" t="n">
        <v>1530</v>
      </c>
      <c r="C1380" t="inlineStr">
        <is>
          <t>Story</t>
        </is>
      </c>
      <c r="D1380" s="5" t="inlineStr">
        <is>
          <t xml:space="preserve">        Renege, no-join or withdrawal unwinds pre-boarding</t>
        </is>
      </c>
      <c r="E1380" t="inlineStr">
        <is>
          <t>ATS: internal hiring, staffing desk and vendor portal</t>
        </is>
      </c>
      <c r="F1380" t="inlineStr">
        <is>
          <t>Offers and hand-off to HR</t>
        </is>
      </c>
      <c r="G1380" t="inlineStr">
        <is>
          <t>New</t>
        </is>
      </c>
      <c r="I1380">
        <f>IF(H1380&lt;&gt;"",H1380,G1380)</f>
        <v/>
      </c>
      <c r="J1380" t="inlineStr">
        <is>
          <t>Step 7 · ATS core</t>
        </is>
      </c>
      <c r="K1380" t="n">
        <v>3</v>
      </c>
      <c r="L1380" t="n">
        <v>1</v>
      </c>
      <c r="M1380" s="5" t="inlineStr">
        <is>
          <t>As a recruiter, I want a failed join to undo pre-boarding and reopen the requisition so that I can continue hiring.</t>
        </is>
      </c>
      <c r="N1380" s="5" t="inlineStr">
        <is>
          <t>• Given an accepted offer is withdrawn, when I withdraw, then a reason and a P05 letter are mandatory (YX-ATS-14).
• Given renege, no-join or withdrawal, when recorded, then M01 pre-boarding unwind runs and the plan line is released (YX-ATS-14).
• Given the unwind, when complete, then the requisition reopens with its pipeline intact (YX-ATS-14).</t>
        </is>
      </c>
      <c r="O1380" s="5" t="inlineStr">
        <is>
          <t>YX-ATS-14</t>
        </is>
      </c>
      <c r="P1380" t="inlineStr">
        <is>
          <t>M10 §5, M10 §6</t>
        </is>
      </c>
      <c r="Q1380" t="inlineStr">
        <is>
          <t>US-E-037</t>
        </is>
      </c>
      <c r="R1380" s="5" t="inlineStr"/>
    </row>
    <row r="1381">
      <c r="A1381" t="inlineStr">
        <is>
          <t>US-E-041</t>
        </is>
      </c>
      <c r="B1381" t="n">
        <v>1530</v>
      </c>
      <c r="C1381" t="inlineStr">
        <is>
          <t>Story</t>
        </is>
      </c>
      <c r="D1381" s="5" t="inlineStr">
        <is>
          <t xml:space="preserve">        Offer conditions with deadlines and auto-lapse</t>
        </is>
      </c>
      <c r="E1381" t="inlineStr">
        <is>
          <t>ATS: internal hiring, staffing desk and vendor portal</t>
        </is>
      </c>
      <c r="F1381" t="inlineStr">
        <is>
          <t>Offers and hand-off to HR</t>
        </is>
      </c>
      <c r="G1381" t="inlineStr">
        <is>
          <t>New</t>
        </is>
      </c>
      <c r="I1381">
        <f>IF(H1381&lt;&gt;"",H1381,G1381)</f>
        <v/>
      </c>
      <c r="J1381" t="inlineStr">
        <is>
          <t>Step 7 · ATS pass-3 additions</t>
        </is>
      </c>
      <c r="K1381" t="n">
        <v>3</v>
      </c>
      <c r="L1381" t="n">
        <v>1</v>
      </c>
      <c r="M1381" s="5" t="inlineStr">
        <is>
          <t>As a recruiter, I want offers to carry conditions with due dates so that unmet conditions are handled on time.</t>
        </is>
      </c>
      <c r="N1381" s="5" t="inlineStr">
        <is>
          <t>• Given an offer with conditions (BGV, documents, degree), when created, then each has a due date (YX-ATS-41).
• Given a condition not met by its deadline, when the reminder has been sent, then the offer lapses (YX-ATS-41).
• Given a lapse or withdrawal, when it happens, then M01 tasks are cancelled, no accounts are made and the headcount slot is released, with audit (YX-ATS-41).</t>
        </is>
      </c>
      <c r="O1381" s="5" t="inlineStr">
        <is>
          <t>YX-ATS-41</t>
        </is>
      </c>
      <c r="P1381" t="inlineStr">
        <is>
          <t>M10 §5, M10 §6</t>
        </is>
      </c>
      <c r="Q1381" t="inlineStr">
        <is>
          <t>US-E-040</t>
        </is>
      </c>
      <c r="R1381" s="5" t="inlineStr"/>
    </row>
    <row r="1382">
      <c r="A1382" t="inlineStr">
        <is>
          <t>US-E-042</t>
        </is>
      </c>
      <c r="B1382" t="n">
        <v>1530</v>
      </c>
      <c r="C1382" t="inlineStr">
        <is>
          <t>Story</t>
        </is>
      </c>
      <c r="D1382" s="5" t="inlineStr">
        <is>
          <t xml:space="preserve">        Campus letters of intent and joining batches</t>
        </is>
      </c>
      <c r="E1382" t="inlineStr">
        <is>
          <t>ATS: internal hiring, staffing desk and vendor portal</t>
        </is>
      </c>
      <c r="F1382" t="inlineStr">
        <is>
          <t>Offers and hand-off to HR</t>
        </is>
      </c>
      <c r="G1382" t="inlineStr">
        <is>
          <t>New</t>
        </is>
      </c>
      <c r="I1382">
        <f>IF(H1382&lt;&gt;"",H1382,G1382)</f>
        <v/>
      </c>
      <c r="J1382" t="inlineStr">
        <is>
          <t>Step 7 · ATS core</t>
        </is>
      </c>
      <c r="K1382" t="n">
        <v>5</v>
      </c>
      <c r="L1382" t="n">
        <v>2</v>
      </c>
      <c r="M1382" s="5" t="inlineStr">
        <is>
          <t>As a campus recruiter, I want to send an LOI first and group hires into a joining batch so that long pre-boarding is managed.</t>
        </is>
      </c>
      <c r="N1382" s="5" t="inlineStr">
        <is>
          <t>• Given a campus hire, when I choose LOI, then an LOI is issued and the offer can follow later (YX-ATS-18).
• Given long pre-boarding, when the candidate waits, then they are a candidate state (not an employee, not billed) with scheduled touchpoints (YX-ATS-18).
• Given a joining batch, when its date is set, then all its hires share one joining date (YX-ATS-18).</t>
        </is>
      </c>
      <c r="O1382" s="5" t="inlineStr">
        <is>
          <t>YX-ATS-18</t>
        </is>
      </c>
      <c r="P1382" t="inlineStr">
        <is>
          <t>M10 §5, M10 §6</t>
        </is>
      </c>
      <c r="Q1382" t="inlineStr">
        <is>
          <t>US-E-036</t>
        </is>
      </c>
      <c r="R1382" s="5" t="inlineStr"/>
    </row>
    <row r="1383">
      <c r="A1383" t="inlineStr">
        <is>
          <t>US-E-043</t>
        </is>
      </c>
      <c r="B1383" t="n">
        <v>1530</v>
      </c>
      <c r="C1383" t="inlineStr">
        <is>
          <t>Story</t>
        </is>
      </c>
      <c r="D1383" s="5" t="inlineStr">
        <is>
          <t xml:space="preserve">        Bulk campus interview day and bulk offers</t>
        </is>
      </c>
      <c r="E1383" t="inlineStr">
        <is>
          <t>ATS: internal hiring, staffing desk and vendor portal</t>
        </is>
      </c>
      <c r="F1383" t="inlineStr">
        <is>
          <t>Offers and hand-off to HR</t>
        </is>
      </c>
      <c r="G1383" t="inlineStr">
        <is>
          <t>New</t>
        </is>
      </c>
      <c r="I1383">
        <f>IF(H1383&lt;&gt;"",H1383,G1383)</f>
        <v/>
      </c>
      <c r="J1383" t="inlineStr">
        <is>
          <t>Step 7 · ATS pass-3 additions</t>
        </is>
      </c>
      <c r="K1383" t="n">
        <v>5</v>
      </c>
      <c r="L1383" t="n">
        <v>2</v>
      </c>
      <c r="M1383" s="5" t="inlineStr">
        <is>
          <t>As a campus recruiter, I want to run an interview day and send offers in bulk so that a big campus drive takes one day.</t>
        </is>
      </c>
      <c r="N1383" s="5" t="inlineStr">
        <is>
          <t>• Given a campus drive, when I plan the day, then slots, panels and rooms are auto-assigned (YX-ATS-40).
• Given selected candidates, when I issue offers in bulk from one template, then each offer has its own fields (YX-ATS-40).
• Given bulk offers, when sent, then each offer runs its own headcount-plan check and its own e-sign envelope (YX-ATS-40).</t>
        </is>
      </c>
      <c r="O1383" s="5" t="inlineStr">
        <is>
          <t>YX-ATS-40</t>
        </is>
      </c>
      <c r="P1383" t="inlineStr">
        <is>
          <t>M10 §5, M10 §6</t>
        </is>
      </c>
      <c r="Q1383" t="inlineStr">
        <is>
          <t>US-E-042</t>
        </is>
      </c>
      <c r="R1383" s="5" t="inlineStr"/>
    </row>
    <row r="1384">
      <c r="A1384" t="inlineStr">
        <is>
          <t>US-E-039</t>
        </is>
      </c>
      <c r="B1384" t="n">
        <v>1755</v>
      </c>
      <c r="C1384" t="inlineStr">
        <is>
          <t>Story</t>
        </is>
      </c>
      <c r="D1384" s="5" t="inlineStr">
        <is>
          <t xml:space="preserve">        Internal applicant’s test result goes only to the new hiring team</t>
        </is>
      </c>
      <c r="E1384" t="inlineStr">
        <is>
          <t>ATS: internal hiring, staffing desk and vendor portal</t>
        </is>
      </c>
      <c r="F1384" t="inlineStr">
        <is>
          <t>Offers and hand-off to HR</t>
        </is>
      </c>
      <c r="G1384" t="inlineStr">
        <is>
          <t>New</t>
        </is>
      </c>
      <c r="I1384">
        <f>IF(H1384&lt;&gt;"",H1384,G1384)</f>
        <v/>
      </c>
      <c r="J1384" t="inlineStr">
        <is>
          <t>Step 7 · ATS pass-3 additions</t>
        </is>
      </c>
      <c r="K1384" t="n">
        <v>3</v>
      </c>
      <c r="L1384" t="n">
        <v>1</v>
      </c>
      <c r="M1384" s="5" t="inlineStr">
        <is>
          <t>As an employee applying internally, I want my test result hidden from my current manager so that I can apply safely.</t>
        </is>
      </c>
      <c r="N1384" s="5" t="inlineStr">
        <is>
          <t>• Given an invitation from an internal application, when created, then it carries the application id (YX-DLV-23, YX-ATS-42).
• Given a result, when released, then only the new hiring manager, HR and I (per release settings) can see it (YX-ATS-42).
• Given my current manager chain, when they search or open reports, then the result, report and integrity flags are never visible (YX-DLV-23).</t>
        </is>
      </c>
      <c r="O1384" s="5" t="inlineStr">
        <is>
          <t>YX-ATS-42, YX-DLV-23</t>
        </is>
      </c>
      <c r="P1384" t="inlineStr">
        <is>
          <t>M10 §5, M10 §6</t>
        </is>
      </c>
      <c r="Q1384" t="inlineStr">
        <is>
          <t>US-E-038, US-E-130</t>
        </is>
      </c>
      <c r="R1384" s="5" t="inlineStr"/>
    </row>
    <row r="1385">
      <c r="A1385" s="9" t="inlineStr">
        <is>
          <t>FT-E-07</t>
        </is>
      </c>
      <c r="B1385" s="9" t="n">
        <v>1535</v>
      </c>
      <c r="C1385" s="9" t="inlineStr">
        <is>
          <t>Feature</t>
        </is>
      </c>
      <c r="D1385" s="10" t="inlineStr">
        <is>
          <t xml:space="preserve">    Checks, privacy and retention</t>
        </is>
      </c>
      <c r="E1385" s="9" t="inlineStr">
        <is>
          <t>ATS: internal hiring, staffing desk and vendor portal</t>
        </is>
      </c>
      <c r="F1385" s="9" t="inlineStr">
        <is>
          <t>Checks, privacy and retention</t>
        </is>
      </c>
      <c r="G1385" s="9" t="inlineStr">
        <is>
          <t>New</t>
        </is>
      </c>
      <c r="H1385" s="9" t="n"/>
      <c r="I1385" s="9">
        <f>IF(H1385&lt;&gt;"",H1385,G1385)</f>
        <v/>
      </c>
      <c r="J1385" s="9" t="inlineStr">
        <is>
          <t>Step 7 · ATS core</t>
        </is>
      </c>
      <c r="K1385" s="9" t="n"/>
      <c r="L1385" s="9" t="n"/>
      <c r="M1385" s="10" t="inlineStr"/>
      <c r="N1385" s="10" t="inlineStr"/>
      <c r="O1385" s="10" t="inlineStr">
        <is>
          <t>YX-ATS-08, YX-ATS-09, YX-ATS-19, YX-ATS-38, YX-MET-14</t>
        </is>
      </c>
      <c r="P1385" s="9" t="inlineStr">
        <is>
          <t>M10 §5</t>
        </is>
      </c>
      <c r="Q1385" s="9" t="inlineStr"/>
      <c r="R1385" s="10" t="inlineStr"/>
      <c r="S1385" s="9" t="n"/>
    </row>
    <row r="1386">
      <c r="A1386" t="inlineStr">
        <is>
          <t>US-E-044</t>
        </is>
      </c>
      <c r="B1386" t="n">
        <v>1535</v>
      </c>
      <c r="C1386" t="inlineStr">
        <is>
          <t>Story</t>
        </is>
      </c>
      <c r="D1386" s="5" t="inlineStr">
        <is>
          <t xml:space="preserve">        Background verification only after consent</t>
        </is>
      </c>
      <c r="E1386" t="inlineStr">
        <is>
          <t>ATS: internal hiring, staffing desk and vendor portal</t>
        </is>
      </c>
      <c r="F1386" t="inlineStr">
        <is>
          <t>Checks, privacy and retention</t>
        </is>
      </c>
      <c r="G1386" t="inlineStr">
        <is>
          <t>New</t>
        </is>
      </c>
      <c r="I1386">
        <f>IF(H1386&lt;&gt;"",H1386,G1386)</f>
        <v/>
      </c>
      <c r="J1386" t="inlineStr">
        <is>
          <t>Step 7 · ATS core</t>
        </is>
      </c>
      <c r="K1386" t="n">
        <v>5</v>
      </c>
      <c r="L1386" t="n">
        <v>1</v>
      </c>
      <c r="M1386" s="5" t="inlineStr">
        <is>
          <t>As HR, I want to start a background check only after the candidate consents so that we follow the law.</t>
        </is>
      </c>
      <c r="N1386" s="5" t="inlineStr">
        <is>
          <t>• Given no BGV consent, when I try to start BGV, then it is blocked (YX-ATS-08).
• Given consent, when BGV runs through the partner, then results are stored on the candidate (YX-ATS-08).
• Given BGV results, when someone outside HR or the scoped recruiters opens the candidate, then results are hidden (YX-ATS-08).</t>
        </is>
      </c>
      <c r="O1386" s="5" t="inlineStr">
        <is>
          <t>YX-ATS-08</t>
        </is>
      </c>
      <c r="P1386" t="inlineStr">
        <is>
          <t>M10 §5</t>
        </is>
      </c>
      <c r="Q1386" t="inlineStr"/>
      <c r="R1386" s="5" t="inlineStr"/>
    </row>
    <row r="1387">
      <c r="A1387" t="inlineStr">
        <is>
          <t>US-E-045</t>
        </is>
      </c>
      <c r="B1387" t="n">
        <v>1535</v>
      </c>
      <c r="C1387" t="inlineStr">
        <is>
          <t>Story</t>
        </is>
      </c>
      <c r="D1387" s="5" t="inlineStr">
        <is>
          <t xml:space="preserve">        Automatic retention and anonymisation of candidates not hired</t>
        </is>
      </c>
      <c r="E1387" t="inlineStr">
        <is>
          <t>ATS: internal hiring, staffing desk and vendor portal</t>
        </is>
      </c>
      <c r="F1387" t="inlineStr">
        <is>
          <t>Checks, privacy and retention</t>
        </is>
      </c>
      <c r="G1387" t="inlineStr">
        <is>
          <t>New</t>
        </is>
      </c>
      <c r="I1387">
        <f>IF(H1387&lt;&gt;"",H1387,G1387)</f>
        <v/>
      </c>
      <c r="J1387" t="inlineStr">
        <is>
          <t>Step 7 · ATS core</t>
        </is>
      </c>
      <c r="K1387" t="n">
        <v>3</v>
      </c>
      <c r="L1387" t="n">
        <v>1</v>
      </c>
      <c r="M1387" s="5" t="inlineStr">
        <is>
          <t>As a DPO, I want candidates not hired anonymised at the end of retention so that we do not keep data too long.</t>
        </is>
      </c>
      <c r="N1387" s="5" t="inlineStr">
        <is>
          <t>• Given a retention period ends, when the nightly job runs, then candidates not hired are anonymised unless they renewed consent (YX-ATS-09).
• Given the end is near, when the renewal email is sent and accepted, then retention is renewed (YX-ATS-09).
• Given an erase request, when received, then it is completed within the legal limit and logged (YX-ATS-09).</t>
        </is>
      </c>
      <c r="O1387" s="5" t="inlineStr">
        <is>
          <t>YX-ATS-09</t>
        </is>
      </c>
      <c r="P1387" t="inlineStr">
        <is>
          <t>M10 §5</t>
        </is>
      </c>
      <c r="Q1387" t="inlineStr">
        <is>
          <t>US-E-010</t>
        </is>
      </c>
      <c r="R1387" s="5" t="inlineStr"/>
    </row>
    <row r="1388">
      <c r="A1388" t="inlineStr">
        <is>
          <t>US-E-046</t>
        </is>
      </c>
      <c r="B1388" t="n">
        <v>1535</v>
      </c>
      <c r="C1388" t="inlineStr">
        <is>
          <t>Story</t>
        </is>
      </c>
      <c r="D1388" s="5" t="inlineStr">
        <is>
          <t xml:space="preserve">        Under-18 candidates need guardian consent and get no profiling</t>
        </is>
      </c>
      <c r="E1388" t="inlineStr">
        <is>
          <t>ATS: internal hiring, staffing desk and vendor portal</t>
        </is>
      </c>
      <c r="F1388" t="inlineStr">
        <is>
          <t>Checks, privacy and retention</t>
        </is>
      </c>
      <c r="G1388" t="inlineStr">
        <is>
          <t>New</t>
        </is>
      </c>
      <c r="I1388">
        <f>IF(H1388&lt;&gt;"",H1388,G1388)</f>
        <v/>
      </c>
      <c r="J1388" t="inlineStr">
        <is>
          <t>Step 7 · ATS core</t>
        </is>
      </c>
      <c r="K1388" t="n">
        <v>3</v>
      </c>
      <c r="L1388" t="n">
        <v>1</v>
      </c>
      <c r="M1388" s="5" t="inlineStr">
        <is>
          <t>As a recruiter, I want minors handled by law so that we never profile a child.</t>
        </is>
      </c>
      <c r="N1388" s="5" t="inlineStr">
        <is>
          <t>• Given every application, when submitted, then date of birth is required (YX-ATS-19).
• Given an under-18 candidate, when the application is saved, then processing waits for verifiable guardian consent (YX-ATS-19).
• Given an under-18 candidate, when screening runs, then no AI interview, AI fit score, semantic ranking or behavioural signals are used (YX-ATS-19).</t>
        </is>
      </c>
      <c r="O1388" s="5" t="inlineStr">
        <is>
          <t>YX-ATS-19</t>
        </is>
      </c>
      <c r="P1388" t="inlineStr">
        <is>
          <t>M10 §5</t>
        </is>
      </c>
      <c r="Q1388" t="inlineStr"/>
      <c r="R1388" s="5" t="inlineStr"/>
    </row>
    <row r="1389">
      <c r="A1389" t="inlineStr">
        <is>
          <t>US-E-047</t>
        </is>
      </c>
      <c r="B1389" t="n">
        <v>1535</v>
      </c>
      <c r="C1389" t="inlineStr">
        <is>
          <t>Story</t>
        </is>
      </c>
      <c r="D1389" s="5" t="inlineStr">
        <is>
          <t xml:space="preserve">        Automated reference checks</t>
        </is>
      </c>
      <c r="E1389" t="inlineStr">
        <is>
          <t>ATS: internal hiring, staffing desk and vendor portal</t>
        </is>
      </c>
      <c r="F1389" t="inlineStr">
        <is>
          <t>Checks, privacy and retention</t>
        </is>
      </c>
      <c r="G1389" t="inlineStr">
        <is>
          <t>New</t>
        </is>
      </c>
      <c r="I1389">
        <f>IF(H1389&lt;&gt;"",H1389,G1389)</f>
        <v/>
      </c>
      <c r="J1389" t="inlineStr">
        <is>
          <t>Step 7 · ATS pass-3 additions</t>
        </is>
      </c>
      <c r="K1389" t="n">
        <v>3</v>
      </c>
      <c r="L1389" t="n">
        <v>2</v>
      </c>
      <c r="M1389" s="5" t="inlineStr">
        <is>
          <t>As a recruiter, I want referees to answer a structured questionnaire online so that reference checks are fast.</t>
        </is>
      </c>
      <c r="N1389" s="5" t="inlineStr">
        <is>
          <t>• Given the candidate added referees and consented, when I trigger requests, then each referee gets a secure link (YX-ATS-38).
• Given responses, when saved, then only the recruiter and hiring panel can see them (YX-ATS-38).
• Given the referee email domain equals the candidate’s or the same device is used, when detected, then it is flagged for review, never auto-decided (YX-ATS-38).
• Given no response, when the template schedule runs, then reminders go and the request expires.</t>
        </is>
      </c>
      <c r="O1389" s="5" t="inlineStr">
        <is>
          <t>YX-ATS-38</t>
        </is>
      </c>
      <c r="P1389" t="inlineStr">
        <is>
          <t>M10 §5</t>
        </is>
      </c>
      <c r="Q1389" t="inlineStr"/>
      <c r="R1389" s="5" t="inlineStr"/>
    </row>
    <row r="1390">
      <c r="A1390" t="inlineStr">
        <is>
          <t>US-E-048</t>
        </is>
      </c>
      <c r="B1390" t="n">
        <v>1535</v>
      </c>
      <c r="C1390" t="inlineStr">
        <is>
          <t>Story</t>
        </is>
      </c>
      <c r="D1390" s="5" t="inlineStr">
        <is>
          <t xml:space="preserve">        Voluntary diversity self-ID kept away from recruiters</t>
        </is>
      </c>
      <c r="E1390" t="inlineStr">
        <is>
          <t>ATS: internal hiring, staffing desk and vendor portal</t>
        </is>
      </c>
      <c r="F1390" t="inlineStr">
        <is>
          <t>Checks, privacy and retention</t>
        </is>
      </c>
      <c r="G1390" t="inlineStr">
        <is>
          <t>New</t>
        </is>
      </c>
      <c r="I1390">
        <f>IF(H1390&lt;&gt;"",H1390,G1390)</f>
        <v/>
      </c>
      <c r="J1390" t="inlineStr">
        <is>
          <t>Step 7 · ATS core</t>
        </is>
      </c>
      <c r="K1390" t="n">
        <v>3</v>
      </c>
      <c r="L1390" t="n">
        <v>2</v>
      </c>
      <c r="M1390" s="5" t="inlineStr">
        <is>
          <t>As a candidate, I want to share diversity data only if I choose so that it never affects my application.</t>
        </is>
      </c>
      <c r="N1390" s="5" t="inlineStr">
        <is>
          <t>• Given the application, when I reach self-ID, then every question has "prefer not to say" (YX-MET-14).
• Given self-ID data, when stored, then it is held apart from the application and never shown to recruiters, interviewers or hiring managers (YX-MET-14).
• Given a DEI breakdown, when any viewer opens it, then the small-group threshold applies (YX-MET-14).</t>
        </is>
      </c>
      <c r="O1390" s="5" t="inlineStr">
        <is>
          <t>YX-MET-14</t>
        </is>
      </c>
      <c r="P1390" t="inlineStr">
        <is>
          <t>P09 §4.9, M10</t>
        </is>
      </c>
      <c r="Q1390" t="inlineStr"/>
      <c r="R1390" s="5" t="inlineStr"/>
    </row>
    <row r="1391">
      <c r="A1391" s="9" t="inlineStr">
        <is>
          <t>FT-E-08</t>
        </is>
      </c>
      <c r="B1391" s="9" t="n">
        <v>1560</v>
      </c>
      <c r="C1391" s="9" t="inlineStr">
        <is>
          <t>Feature</t>
        </is>
      </c>
      <c r="D1391" s="10" t="inlineStr">
        <is>
          <t xml:space="preserve">    Staffing desk: clients, placements and billing</t>
        </is>
      </c>
      <c r="E1391" s="9" t="inlineStr">
        <is>
          <t>ATS: internal hiring, staffing desk and vendor portal</t>
        </is>
      </c>
      <c r="F1391" s="9" t="inlineStr">
        <is>
          <t>Staffing desk: clients, placements and billing</t>
        </is>
      </c>
      <c r="G1391" s="9" t="inlineStr">
        <is>
          <t>New</t>
        </is>
      </c>
      <c r="H1391" s="9" t="n"/>
      <c r="I1391" s="9">
        <f>IF(H1391&lt;&gt;"",H1391,G1391)</f>
        <v/>
      </c>
      <c r="J1391" s="9" t="inlineStr">
        <is>
          <t>Step 7 · Staffing desk</t>
        </is>
      </c>
      <c r="K1391" s="9" t="n"/>
      <c r="L1391" s="9" t="n"/>
      <c r="M1391" s="10" t="inlineStr"/>
      <c r="N1391" s="10" t="inlineStr"/>
      <c r="O1391" s="10" t="inlineStr">
        <is>
          <t>YX-ATS-10, YX-ATS-11, YX-ATS-15, YX-ATS-16, YX-ATS-43, YX-ATS-44</t>
        </is>
      </c>
      <c r="P1391" s="9" t="inlineStr">
        <is>
          <t>M10 §3, M10 §5, M10 §11 E17</t>
        </is>
      </c>
      <c r="Q1391" s="9" t="inlineStr"/>
      <c r="R1391" s="10" t="inlineStr"/>
      <c r="S1391" s="9" t="n"/>
    </row>
    <row r="1392">
      <c r="A1392" t="inlineStr">
        <is>
          <t>US-E-049</t>
        </is>
      </c>
      <c r="B1392" t="n">
        <v>1560</v>
      </c>
      <c r="C1392" t="inlineStr">
        <is>
          <t>Story</t>
        </is>
      </c>
      <c r="D1392" s="5" t="inlineStr">
        <is>
          <t xml:space="preserve">        Clients, contracts and rate cards</t>
        </is>
      </c>
      <c r="E1392" t="inlineStr">
        <is>
          <t>ATS: internal hiring, staffing desk and vendor portal</t>
        </is>
      </c>
      <c r="F1392" t="inlineStr">
        <is>
          <t>Staffing desk: clients, placements and billing</t>
        </is>
      </c>
      <c r="G1392" t="inlineStr">
        <is>
          <t>New</t>
        </is>
      </c>
      <c r="I1392">
        <f>IF(H1392&lt;&gt;"",H1392,G1392)</f>
        <v/>
      </c>
      <c r="J1392" t="inlineStr">
        <is>
          <t>Step 7 · Staffing desk</t>
        </is>
      </c>
      <c r="K1392" t="n">
        <v>3</v>
      </c>
      <c r="L1392" t="n">
        <v>1</v>
      </c>
      <c r="M1392" s="5" t="inlineStr">
        <is>
          <t>As an account manager, I want each client with its contract and rate card so that bill rates are right.</t>
        </is>
      </c>
      <c r="N1392" s="5" t="inlineStr">
        <is>
          <t>• Given a new client, when I save it, then billing contacts, contract dates and GST details are stored.
• Given a rate card, when I add a role, then bill rate, OT and holiday multipliers are dated values (P06).
• Given a contract end, when it is near, then the account team is alerted.</t>
        </is>
      </c>
      <c r="O1392" s="5" t="inlineStr"/>
      <c r="P1392" t="inlineStr">
        <is>
          <t>M10 §3, M10 §5, M10 §11 E17</t>
        </is>
      </c>
      <c r="Q1392" t="inlineStr"/>
      <c r="R1392" s="5" t="inlineStr"/>
    </row>
    <row r="1393">
      <c r="A1393" t="inlineStr">
        <is>
          <t>US-E-050</t>
        </is>
      </c>
      <c r="B1393" t="n">
        <v>1560</v>
      </c>
      <c r="C1393" t="inlineStr">
        <is>
          <t>Story</t>
        </is>
      </c>
      <c r="D1393" s="5" t="inlineStr">
        <is>
          <t xml:space="preserve">        Placement creates a deployed-contractor employment</t>
        </is>
      </c>
      <c r="E1393" t="inlineStr">
        <is>
          <t>ATS: internal hiring, staffing desk and vendor portal</t>
        </is>
      </c>
      <c r="F1393" t="inlineStr">
        <is>
          <t>Staffing desk: clients, placements and billing</t>
        </is>
      </c>
      <c r="G1393" t="inlineStr">
        <is>
          <t>New</t>
        </is>
      </c>
      <c r="I1393">
        <f>IF(H1393&lt;&gt;"",H1393,G1393)</f>
        <v/>
      </c>
      <c r="J1393" t="inlineStr">
        <is>
          <t>Step 7 · Staffing desk</t>
        </is>
      </c>
      <c r="K1393" t="n">
        <v>5</v>
      </c>
      <c r="L1393" t="n">
        <v>1</v>
      </c>
      <c r="M1393" s="5" t="inlineStr">
        <is>
          <t>As an account manager, I want a placement to create the contractor’s employment so that time, billing and pay link up.</t>
        </is>
      </c>
      <c r="N1393" s="5" t="inlineStr">
        <is>
          <t>• Given a candidate placed at a client, when I confirm the placement, then a deployed-contractor employment is created (YX-ATS-10).
• Given the placement, when saved, then bill rate and pay rate come from the rate card as dated values (YX-ATS-10).
• Given a placement, when it starts, then the contractor can log time for that client.</t>
        </is>
      </c>
      <c r="O1393" s="5" t="inlineStr">
        <is>
          <t>YX-ATS-10</t>
        </is>
      </c>
      <c r="P1393" t="inlineStr">
        <is>
          <t>M10 §3, M10 §5, M10 §11 E17</t>
        </is>
      </c>
      <c r="Q1393" t="inlineStr">
        <is>
          <t>US-E-049, US-E-037</t>
        </is>
      </c>
      <c r="R1393" s="5" t="inlineStr"/>
    </row>
    <row r="1394">
      <c r="A1394" t="inlineStr">
        <is>
          <t>US-E-051</t>
        </is>
      </c>
      <c r="B1394" t="n">
        <v>1560</v>
      </c>
      <c r="C1394" t="inlineStr">
        <is>
          <t>Story</t>
        </is>
      </c>
      <c r="D1394" s="5" t="inlineStr">
        <is>
          <t xml:space="preserve">        Client-approved timesheets become invoice lines</t>
        </is>
      </c>
      <c r="E1394" t="inlineStr">
        <is>
          <t>ATS: internal hiring, staffing desk and vendor portal</t>
        </is>
      </c>
      <c r="F1394" t="inlineStr">
        <is>
          <t>Staffing desk: clients, placements and billing</t>
        </is>
      </c>
      <c r="G1394" t="inlineStr">
        <is>
          <t>New</t>
        </is>
      </c>
      <c r="I1394">
        <f>IF(H1394&lt;&gt;"",H1394,G1394)</f>
        <v/>
      </c>
      <c r="J1394" t="inlineStr">
        <is>
          <t>Step 7 · Staffing desk</t>
        </is>
      </c>
      <c r="K1394" t="n">
        <v>5</v>
      </c>
      <c r="L1394" t="n">
        <v>1</v>
      </c>
      <c r="M1394" s="5" t="inlineStr">
        <is>
          <t>As a billing user, I want approved hours turned into invoice lines so that we bill clients correctly.</t>
        </is>
      </c>
      <c r="N1394" s="5" t="inlineStr">
        <is>
          <t>• Given client-approved timesheets, when the period closes, then invoice lines are made at the bill rate (YX-ATS-10).
• Given OT or holiday hours, when lines are made, then rate-card multipliers apply (YX-ATS-10).
• Given the invoice, when issued, then it uses the locked GST tax invoice template (APX-F §3.2, YX-DOC-22).</t>
        </is>
      </c>
      <c r="O1394" s="5" t="inlineStr">
        <is>
          <t>YX-ATS-10</t>
        </is>
      </c>
      <c r="P1394" t="inlineStr">
        <is>
          <t>M10 §3, M10 §5, M10 §11 E17</t>
        </is>
      </c>
      <c r="Q1394" t="inlineStr">
        <is>
          <t>US-E-050</t>
        </is>
      </c>
      <c r="R1394" s="5" t="inlineStr"/>
    </row>
    <row r="1395">
      <c r="A1395" t="inlineStr">
        <is>
          <t>US-E-052</t>
        </is>
      </c>
      <c r="B1395" t="n">
        <v>1560</v>
      </c>
      <c r="C1395" t="inlineStr">
        <is>
          <t>Story</t>
        </is>
      </c>
      <c r="D1395" s="5" t="inlineStr">
        <is>
          <t xml:space="preserve">        Contractors paid through rate-based compensation</t>
        </is>
      </c>
      <c r="E1395" t="inlineStr">
        <is>
          <t>ATS: internal hiring, staffing desk and vendor portal</t>
        </is>
      </c>
      <c r="F1395" t="inlineStr">
        <is>
          <t>Staffing desk: clients, placements and billing</t>
        </is>
      </c>
      <c r="G1395" t="inlineStr">
        <is>
          <t>New</t>
        </is>
      </c>
      <c r="I1395">
        <f>IF(H1395&lt;&gt;"",H1395,G1395)</f>
        <v/>
      </c>
      <c r="J1395" t="inlineStr">
        <is>
          <t>Step 7 · Staffing desk</t>
        </is>
      </c>
      <c r="K1395" t="n">
        <v>5</v>
      </c>
      <c r="L1395" t="n">
        <v>1</v>
      </c>
      <c r="M1395" s="5" t="inlineStr">
        <is>
          <t>As a payroll admin, I want contractors paid from the same approved hours so that pay and billing always match.</t>
        </is>
      </c>
      <c r="N1395" s="5" t="inlineStr">
        <is>
          <t>• Given client-approved hours, when payroll runs, then M03 rate-based pay uses the placement hourly / day rate (YX-ATS-10).
• Given OT or holidays, when pay is computed, then rate-card multipliers apply (YX-ATS-10).
• Given hours not yet approved by the client, when payroll runs, then they are not paid and are listed as pending.</t>
        </is>
      </c>
      <c r="O1395" s="5" t="inlineStr">
        <is>
          <t>YX-ATS-10</t>
        </is>
      </c>
      <c r="P1395" t="inlineStr">
        <is>
          <t>M10 §3, M10 §5, M10 §11 E17</t>
        </is>
      </c>
      <c r="Q1395" t="inlineStr">
        <is>
          <t>US-E-051</t>
        </is>
      </c>
      <c r="R1395" s="5" t="inlineStr"/>
    </row>
    <row r="1396">
      <c r="A1396" t="inlineStr">
        <is>
          <t>US-E-053</t>
        </is>
      </c>
      <c r="B1396" t="n">
        <v>1560</v>
      </c>
      <c r="C1396" t="inlineStr">
        <is>
          <t>Story</t>
        </is>
      </c>
      <c r="D1396" s="5" t="inlineStr">
        <is>
          <t xml:space="preserve">        Client portal limited to the client’s own data</t>
        </is>
      </c>
      <c r="E1396" t="inlineStr">
        <is>
          <t>ATS: internal hiring, staffing desk and vendor portal</t>
        </is>
      </c>
      <c r="F1396" t="inlineStr">
        <is>
          <t>Staffing desk: clients, placements and billing</t>
        </is>
      </c>
      <c r="G1396" t="inlineStr">
        <is>
          <t>New</t>
        </is>
      </c>
      <c r="I1396">
        <f>IF(H1396&lt;&gt;"",H1396,G1396)</f>
        <v/>
      </c>
      <c r="J1396" t="inlineStr">
        <is>
          <t>Step 7 · Staffing desk</t>
        </is>
      </c>
      <c r="K1396" t="n">
        <v>5</v>
      </c>
      <c r="L1396" t="n">
        <v>1</v>
      </c>
      <c r="M1396" s="5" t="inlineStr">
        <is>
          <t>As a client contact, I want to see my jobs, submissions, placements and invoices so that I can work with the agency online.</t>
        </is>
      </c>
      <c r="N1396" s="5" t="inlineStr">
        <is>
          <t>• Given I log in as a client contact, when I open the portal, then I see only my client’s jobs, submissions, placements, invoices and tickets (YX-ATS-11).
• Given another client’s record id, when I request it, then it is not found (YX-ATS-11).
• Given a submission, when I approve or reject it, then the recruiter sees my decision.</t>
        </is>
      </c>
      <c r="O1396" s="5" t="inlineStr">
        <is>
          <t>YX-ATS-11</t>
        </is>
      </c>
      <c r="P1396" t="inlineStr">
        <is>
          <t>M10 §3, M10 §5, M10 §11 E17</t>
        </is>
      </c>
      <c r="Q1396" t="inlineStr">
        <is>
          <t>US-E-050</t>
        </is>
      </c>
      <c r="R1396" s="5" t="inlineStr"/>
    </row>
    <row r="1397">
      <c r="A1397" t="inlineStr">
        <is>
          <t>US-E-054</t>
        </is>
      </c>
      <c r="B1397" t="n">
        <v>1560</v>
      </c>
      <c r="C1397" t="inlineStr">
        <is>
          <t>Story</t>
        </is>
      </c>
      <c r="D1397" s="5" t="inlineStr">
        <is>
          <t xml:space="preserve">        Client helpdesk tickets</t>
        </is>
      </c>
      <c r="E1397" t="inlineStr">
        <is>
          <t>ATS: internal hiring, staffing desk and vendor portal</t>
        </is>
      </c>
      <c r="F1397" t="inlineStr">
        <is>
          <t>Staffing desk: clients, placements and billing</t>
        </is>
      </c>
      <c r="G1397" t="inlineStr">
        <is>
          <t>New</t>
        </is>
      </c>
      <c r="I1397">
        <f>IF(H1397&lt;&gt;"",H1397,G1397)</f>
        <v/>
      </c>
      <c r="J1397" t="inlineStr">
        <is>
          <t>Step 7 · Staffing desk</t>
        </is>
      </c>
      <c r="K1397" t="n">
        <v>3</v>
      </c>
      <c r="L1397" t="n">
        <v>2</v>
      </c>
      <c r="M1397" s="5" t="inlineStr">
        <is>
          <t>As a client contact, I want to raise tickets about placements and invoices so that issues are tracked to closure.</t>
        </is>
      </c>
      <c r="N1397" s="5" t="inlineStr">
        <is>
          <t>• Given the client portal, when I raise a ticket, then it lands in the staffing desk queue on the M14 engine.
• Given a ticket, when I view it, then only my client’s tickets are visible (YX-ATS-11).
• Given an SLA, when it is near breach, then the account team is alerted.</t>
        </is>
      </c>
      <c r="O1397" s="5" t="inlineStr">
        <is>
          <t>YX-ATS-11</t>
        </is>
      </c>
      <c r="P1397" t="inlineStr">
        <is>
          <t>M10 §1.2.4, M14</t>
        </is>
      </c>
      <c r="Q1397" t="inlineStr">
        <is>
          <t>US-E-053</t>
        </is>
      </c>
      <c r="R1397" s="5" t="inlineStr"/>
    </row>
    <row r="1398">
      <c r="A1398" t="inlineStr">
        <is>
          <t>US-E-055</t>
        </is>
      </c>
      <c r="B1398" t="n">
        <v>1560</v>
      </c>
      <c r="C1398" t="inlineStr">
        <is>
          <t>Story</t>
        </is>
      </c>
      <c r="D1398" s="5" t="inlineStr">
        <is>
          <t xml:space="preserve">        Placement extension, early end and client notice</t>
        </is>
      </c>
      <c r="E1398" t="inlineStr">
        <is>
          <t>ATS: internal hiring, staffing desk and vendor portal</t>
        </is>
      </c>
      <c r="F1398" t="inlineStr">
        <is>
          <t>Staffing desk: clients, placements and billing</t>
        </is>
      </c>
      <c r="G1398" t="inlineStr">
        <is>
          <t>New</t>
        </is>
      </c>
      <c r="I1398">
        <f>IF(H1398&lt;&gt;"",H1398,G1398)</f>
        <v/>
      </c>
      <c r="J1398" t="inlineStr">
        <is>
          <t>Step 7 · Staffing desk</t>
        </is>
      </c>
      <c r="K1398" t="n">
        <v>3</v>
      </c>
      <c r="L1398" t="n">
        <v>1</v>
      </c>
      <c r="M1398" s="5" t="inlineStr">
        <is>
          <t>As an account manager, I want to extend or end placements with a reason so that contract changes are tracked.</t>
        </is>
      </c>
      <c r="N1398" s="5" t="inlineStr">
        <is>
          <t>• Given an extension or early end, when I save it, then it is a dated change with a reason (YX-ATS-15).
• Given a client contract-end notice, when recorded, then date received and notice days are stored (YX-ATS-15).
• Given a placement end date, when N days remain, then the account team is alerted (YX-ATS-15).
• Given the end, when it is reached, then ats.placement.ended fires and the contractor moves to bench or exit (YX-ATS-15).</t>
        </is>
      </c>
      <c r="O1398" s="5" t="inlineStr">
        <is>
          <t>YX-ATS-15</t>
        </is>
      </c>
      <c r="P1398" t="inlineStr">
        <is>
          <t>M10 §3, M10 §5, M10 §11 E17</t>
        </is>
      </c>
      <c r="Q1398" t="inlineStr">
        <is>
          <t>US-E-050</t>
        </is>
      </c>
      <c r="R1398" s="5" t="inlineStr"/>
    </row>
    <row r="1399">
      <c r="A1399" t="inlineStr">
        <is>
          <t>US-E-056</t>
        </is>
      </c>
      <c r="B1399" t="n">
        <v>1560</v>
      </c>
      <c r="C1399" t="inlineStr">
        <is>
          <t>Story</t>
        </is>
      </c>
      <c r="D1399" s="5" t="inlineStr">
        <is>
          <t xml:space="preserve">        Receivables ledger, dunning and client TDS</t>
        </is>
      </c>
      <c r="E1399" t="inlineStr">
        <is>
          <t>ATS: internal hiring, staffing desk and vendor portal</t>
        </is>
      </c>
      <c r="F1399" t="inlineStr">
        <is>
          <t>Staffing desk: clients, placements and billing</t>
        </is>
      </c>
      <c r="G1399" t="inlineStr">
        <is>
          <t>New</t>
        </is>
      </c>
      <c r="I1399">
        <f>IF(H1399&lt;&gt;"",H1399,G1399)</f>
        <v/>
      </c>
      <c r="J1399" t="inlineStr">
        <is>
          <t>Step 7 · Staffing desk</t>
        </is>
      </c>
      <c r="K1399" t="n">
        <v>5</v>
      </c>
      <c r="L1399" t="n">
        <v>1</v>
      </c>
      <c r="M1399" s="5" t="inlineStr">
        <is>
          <t>As a finance user, I want ageing, reminders and part payments per client so that we collect on time.</t>
        </is>
      </c>
      <c r="N1399" s="5" t="inlineStr">
        <is>
          <t>• Given client invoices, when I open the ledger, then balances show in company-set ageing buckets (starter 0–30 / 31–60 / 61–90 / 90+) (YX-ATS-16).
• Given an overdue invoice, when the dunning schedule runs, then billing contacts get a reminder (YX-ATS-16).
• Given a receipt, when recorded, then it can be part-paid across invoices (YX-ATS-16).
• Given client-side TDS, when a receipt is short by TDS, then it is recorded as TDS receivable (YX-ATS-16).</t>
        </is>
      </c>
      <c r="O1399" s="5" t="inlineStr">
        <is>
          <t>YX-ATS-16</t>
        </is>
      </c>
      <c r="P1399" t="inlineStr">
        <is>
          <t>M10 §3, M10 §5, M10 §11 E17</t>
        </is>
      </c>
      <c r="Q1399" t="inlineStr">
        <is>
          <t>US-E-051</t>
        </is>
      </c>
      <c r="R1399" s="5" t="inlineStr"/>
    </row>
    <row r="1400">
      <c r="A1400" t="inlineStr">
        <is>
          <t>US-E-057</t>
        </is>
      </c>
      <c r="B1400" t="n">
        <v>1560</v>
      </c>
      <c r="C1400" t="inlineStr">
        <is>
          <t>Story</t>
        </is>
      </c>
      <c r="D1400" s="5" t="inlineStr">
        <is>
          <t xml:space="preserve">        Placement fees, conversion fees and replacement guarantee</t>
        </is>
      </c>
      <c r="E1400" t="inlineStr">
        <is>
          <t>ATS: internal hiring, staffing desk and vendor portal</t>
        </is>
      </c>
      <c r="F1400" t="inlineStr">
        <is>
          <t>Staffing desk: clients, placements and billing</t>
        </is>
      </c>
      <c r="G1400" t="inlineStr">
        <is>
          <t>New</t>
        </is>
      </c>
      <c r="I1400">
        <f>IF(H1400&lt;&gt;"",H1400,G1400)</f>
        <v/>
      </c>
      <c r="J1400" t="inlineStr">
        <is>
          <t>Step 7 · ATS pass-3 additions</t>
        </is>
      </c>
      <c r="K1400" t="n">
        <v>5</v>
      </c>
      <c r="L1400" t="n">
        <v>2</v>
      </c>
      <c r="M1400" s="5" t="inlineStr">
        <is>
          <t>As an account manager, I want permanent and conversion fees and guarantees per contract so that all deal types are billed.</t>
        </is>
      </c>
      <c r="N1400" s="5" t="inlineStr">
        <is>
          <t>• Given a permanent placement, when it joins, then a fee (fixed or % of CTC) is invoiced (YX-ATS-43).
• Given contract-to-hire, when the client converts, then a conversion fee tapering by months served is invoiced (YX-ATS-43).
• Given the placed person leaves inside the guarantee, when recorded, then a free replacement or a pro-rated credit note is offered per contract (YX-ATS-43).</t>
        </is>
      </c>
      <c r="O1400" s="5" t="inlineStr">
        <is>
          <t>YX-ATS-43</t>
        </is>
      </c>
      <c r="P1400" t="inlineStr">
        <is>
          <t>M10 §3, M10 §5, M10 §11 E17</t>
        </is>
      </c>
      <c r="Q1400" t="inlineStr">
        <is>
          <t>US-E-051</t>
        </is>
      </c>
      <c r="R1400" s="5" t="inlineStr"/>
    </row>
    <row r="1401">
      <c r="A1401" t="inlineStr">
        <is>
          <t>US-E-058</t>
        </is>
      </c>
      <c r="B1401" t="n">
        <v>1560</v>
      </c>
      <c r="C1401" t="inlineStr">
        <is>
          <t>Story</t>
        </is>
      </c>
      <c r="D1401" s="5" t="inlineStr">
        <is>
          <t xml:space="preserve">        E-invoice 30-day IRN guard for staffing invoices</t>
        </is>
      </c>
      <c r="E1401" t="inlineStr">
        <is>
          <t>ATS: internal hiring, staffing desk and vendor portal</t>
        </is>
      </c>
      <c r="F1401" t="inlineStr">
        <is>
          <t>Staffing desk: clients, placements and billing</t>
        </is>
      </c>
      <c r="G1401" t="inlineStr">
        <is>
          <t>New</t>
        </is>
      </c>
      <c r="I1401">
        <f>IF(H1401&lt;&gt;"",H1401,G1401)</f>
        <v/>
      </c>
      <c r="J1401" t="inlineStr">
        <is>
          <t>Step 7 · ATS pass-3 additions</t>
        </is>
      </c>
      <c r="K1401" t="n">
        <v>2</v>
      </c>
      <c r="L1401" t="n">
        <v>1</v>
      </c>
      <c r="M1401" s="5" t="inlineStr">
        <is>
          <t>As a finance user, I want a warning before an invoice gets too old for IRN so that we do not lose GST compliance.</t>
        </is>
      </c>
      <c r="N1401" s="5" t="inlineStr">
        <is>
          <t>• Given an entity at or above the AATO threshold (P07 data), when an invoice is 25 days old and not sent for IRN, then a warning shows (YX-ATS-44).
• Given the invoice is more than 30 days old, when I try to send it for IRN, then it is blocked and the fix path is shown (YX-ATS-44).
• Given an entity below the threshold, when invoices are sent, then no guard applies.</t>
        </is>
      </c>
      <c r="O1401" s="5" t="inlineStr">
        <is>
          <t>YX-ATS-44</t>
        </is>
      </c>
      <c r="P1401" t="inlineStr">
        <is>
          <t>M10 §3, M10 §5, M10 §11 E17</t>
        </is>
      </c>
      <c r="Q1401" t="inlineStr">
        <is>
          <t>US-E-051</t>
        </is>
      </c>
      <c r="R1401" s="5" t="inlineStr"/>
    </row>
    <row r="1402">
      <c r="A1402" s="9" t="inlineStr">
        <is>
          <t>FT-E-09</t>
        </is>
      </c>
      <c r="B1402" s="9" t="n">
        <v>1580</v>
      </c>
      <c r="C1402" s="9" t="inlineStr">
        <is>
          <t>Feature</t>
        </is>
      </c>
      <c r="D1402" s="10" t="inlineStr">
        <is>
          <t xml:space="preserve">    Vendor and sub-vendor portal</t>
        </is>
      </c>
      <c r="E1402" s="9" t="inlineStr">
        <is>
          <t>ATS: internal hiring, staffing desk and vendor portal</t>
        </is>
      </c>
      <c r="F1402" s="9" t="inlineStr">
        <is>
          <t>Vendor and sub-vendor portal</t>
        </is>
      </c>
      <c r="G1402" s="9" t="inlineStr">
        <is>
          <t>New</t>
        </is>
      </c>
      <c r="H1402" s="9" t="n"/>
      <c r="I1402" s="9">
        <f>IF(H1402&lt;&gt;"",H1402,G1402)</f>
        <v/>
      </c>
      <c r="J1402" s="9" t="inlineStr">
        <is>
          <t>Step 7 · Vendor portal</t>
        </is>
      </c>
      <c r="K1402" s="9" t="n"/>
      <c r="L1402" s="9" t="n"/>
      <c r="M1402" s="10" t="inlineStr"/>
      <c r="N1402" s="10" t="inlineStr"/>
      <c r="O1402" s="10" t="inlineStr">
        <is>
          <t>YX-ATS-25, YX-ATS-26, YX-ATS-27, YX-ATS-28, YX-ATS-29, YX-ATS-30</t>
        </is>
      </c>
      <c r="P1402" s="9" t="inlineStr">
        <is>
          <t>M10 §11 C7</t>
        </is>
      </c>
      <c r="Q1402" s="9" t="inlineStr"/>
      <c r="R1402" s="10" t="inlineStr"/>
      <c r="S1402" s="9" t="n"/>
    </row>
    <row r="1403">
      <c r="A1403" t="inlineStr">
        <is>
          <t>US-E-059</t>
        </is>
      </c>
      <c r="B1403" t="n">
        <v>1580</v>
      </c>
      <c r="C1403" t="inlineStr">
        <is>
          <t>Story</t>
        </is>
      </c>
      <c r="D1403" s="5" t="inlineStr">
        <is>
          <t xml:space="preserve">        Vendor register with agreement, PAN, bank and TDS</t>
        </is>
      </c>
      <c r="E1403" t="inlineStr">
        <is>
          <t>ATS: internal hiring, staffing desk and vendor portal</t>
        </is>
      </c>
      <c r="F1403" t="inlineStr">
        <is>
          <t>Vendor and sub-vendor portal</t>
        </is>
      </c>
      <c r="G1403" t="inlineStr">
        <is>
          <t>Active</t>
        </is>
      </c>
      <c r="I1403">
        <f>IF(H1403&lt;&gt;"",H1403,G1403)</f>
        <v/>
      </c>
      <c r="J1403" t="inlineStr">
        <is>
          <t>Step 7 · Vendor portal</t>
        </is>
      </c>
      <c r="K1403" t="n">
        <v>5</v>
      </c>
      <c r="L1403" t="n">
        <v>1</v>
      </c>
      <c r="M1403" s="5" t="inlineStr">
        <is>
          <t>As a vendor manager, I want vendors activated only when complete so that we pay only verified firms.</t>
        </is>
      </c>
      <c r="N1403" s="5" t="inlineStr">
        <is>
          <t>• Given a vendor, when agreement, PAN, verified bank account and TDS section are not all present, then it cannot be activated (YX-ATS-25).
• Given an active vendor, when saved, then it is held once in the M03 consultant register as a firm (YX-ATS-25).
• Given vendor contacts, when they log in, then they use the limited external login (P02) (YX-ATS-25).</t>
        </is>
      </c>
      <c r="O1403" s="5" t="inlineStr">
        <is>
          <t>YX-ATS-25</t>
        </is>
      </c>
      <c r="P1403" t="inlineStr">
        <is>
          <t>M10 §11 C7</t>
        </is>
      </c>
      <c r="Q1403" t="inlineStr"/>
      <c r="R1403" s="5" t="inlineStr">
        <is>
          <t>apps/api/src/agencies · apps/api/src/agency-portal (Agency, portal token) — basic agency exists; register checks and external login are new</t>
        </is>
      </c>
    </row>
    <row r="1404">
      <c r="A1404" t="inlineStr">
        <is>
          <t>US-E-060</t>
        </is>
      </c>
      <c r="B1404" t="n">
        <v>1580</v>
      </c>
      <c r="C1404" t="inlineStr">
        <is>
          <t>Story</t>
        </is>
      </c>
      <c r="D1404" s="5" t="inlineStr">
        <is>
          <t xml:space="preserve">        Share a job with vendors under a rate cap</t>
        </is>
      </c>
      <c r="E1404" t="inlineStr">
        <is>
          <t>ATS: internal hiring, staffing desk and vendor portal</t>
        </is>
      </c>
      <c r="F1404" t="inlineStr">
        <is>
          <t>Vendor and sub-vendor portal</t>
        </is>
      </c>
      <c r="G1404" t="inlineStr">
        <is>
          <t>Active</t>
        </is>
      </c>
      <c r="I1404">
        <f>IF(H1404&lt;&gt;"",H1404,G1404)</f>
        <v/>
      </c>
      <c r="J1404" t="inlineStr">
        <is>
          <t>Step 7 · Vendor portal</t>
        </is>
      </c>
      <c r="K1404" t="n">
        <v>3</v>
      </c>
      <c r="L1404" t="n">
        <v>1</v>
      </c>
      <c r="M1404" s="5" t="inlineStr">
        <is>
          <t>As a recruiter, I want to share a job with named vendors with a rate cap so that vendor costs stay within margin.</t>
        </is>
      </c>
      <c r="N1404" s="5" t="inlineStr">
        <is>
          <t>• Given a job, when I share it with a vendor, then I set a rate cap, a submission limit and an expiry (YX-ATS-26).
• Given the margin policy, when I set the cap, then a suggested cap = bill rate − target margin is shown (YX-ATS-26).
• Given the vendor portal, when the vendor views the job, then only shared fields show (YX-ATS-26).</t>
        </is>
      </c>
      <c r="O1404" s="5" t="inlineStr">
        <is>
          <t>YX-ATS-26</t>
        </is>
      </c>
      <c r="P1404" t="inlineStr">
        <is>
          <t>M10 §11 C7</t>
        </is>
      </c>
      <c r="Q1404" t="inlineStr">
        <is>
          <t>US-E-059</t>
        </is>
      </c>
      <c r="R1404" s="5" t="inlineStr">
        <is>
          <t>apps/api/prisma/schema.prisma (AgencyJob) · apps/api/src/agencies — sharing exists; rate cap / limit / expiry are new</t>
        </is>
      </c>
    </row>
    <row r="1405">
      <c r="A1405" t="inlineStr">
        <is>
          <t>US-E-061</t>
        </is>
      </c>
      <c r="B1405" t="n">
        <v>1580</v>
      </c>
      <c r="C1405" t="inlineStr">
        <is>
          <t>Story</t>
        </is>
      </c>
      <c r="D1405" s="5" t="inlineStr">
        <is>
          <t xml:space="preserve">        Vendor submissions with right-to-represent and duplicate check</t>
        </is>
      </c>
      <c r="E1405" t="inlineStr">
        <is>
          <t>ATS: internal hiring, staffing desk and vendor portal</t>
        </is>
      </c>
      <c r="F1405" t="inlineStr">
        <is>
          <t>Vendor and sub-vendor portal</t>
        </is>
      </c>
      <c r="G1405" t="inlineStr">
        <is>
          <t>Active</t>
        </is>
      </c>
      <c r="I1405">
        <f>IF(H1405&lt;&gt;"",H1405,G1405)</f>
        <v/>
      </c>
      <c r="J1405" t="inlineStr">
        <is>
          <t>Step 7 · Vendor portal</t>
        </is>
      </c>
      <c r="K1405" t="n">
        <v>5</v>
      </c>
      <c r="L1405" t="n">
        <v>1</v>
      </c>
      <c r="M1405" s="5" t="inlineStr">
        <is>
          <t>As a vendor, I want to submit candidates for shared jobs so that I can earn placements, under fair rules.</t>
        </is>
      </c>
      <c r="N1405" s="5" t="inlineStr">
        <is>
          <t>• Given a submission, when I submit, then right-to-represent confirmation and candidate consent (by candidate link) are required (YX-ATS-27).
• Given a submission, when checked, then it is matched on email, phone and embedding similarity against all candidates (YX-ATS-27).
• Given the candidate already exists, when the duplicate is found, then the submission is marked duplicate and ownership rules apply (YX-ATS-27).</t>
        </is>
      </c>
      <c r="O1405" s="5" t="inlineStr">
        <is>
          <t>YX-ATS-27</t>
        </is>
      </c>
      <c r="P1405" t="inlineStr">
        <is>
          <t>M10 §11 C7</t>
        </is>
      </c>
      <c r="Q1405" t="inlineStr">
        <is>
          <t>US-E-060</t>
        </is>
      </c>
      <c r="R1405" s="5" t="inlineStr">
        <is>
          <t>apps/api/src/agency-submissions · AgencySubmission.isDuplicate · apps/web/app/agency/[token] — submissions + duplicate flag exist; consent and right-to-represent are new</t>
        </is>
      </c>
    </row>
    <row r="1406">
      <c r="A1406" t="inlineStr">
        <is>
          <t>US-E-062</t>
        </is>
      </c>
      <c r="B1406" t="n">
        <v>1580</v>
      </c>
      <c r="C1406" t="inlineStr">
        <is>
          <t>Story</t>
        </is>
      </c>
      <c r="D1406" s="5" t="inlineStr">
        <is>
          <t xml:space="preserve">        Vendor rate cards and vendor workers</t>
        </is>
      </c>
      <c r="E1406" t="inlineStr">
        <is>
          <t>ATS: internal hiring, staffing desk and vendor portal</t>
        </is>
      </c>
      <c r="F1406" t="inlineStr">
        <is>
          <t>Vendor and sub-vendor portal</t>
        </is>
      </c>
      <c r="G1406" t="inlineStr">
        <is>
          <t>New</t>
        </is>
      </c>
      <c r="I1406">
        <f>IF(H1406&lt;&gt;"",H1406,G1406)</f>
        <v/>
      </c>
      <c r="J1406" t="inlineStr">
        <is>
          <t>Step 7 · Vendor portal</t>
        </is>
      </c>
      <c r="K1406" t="n">
        <v>5</v>
      </c>
      <c r="L1406" t="n">
        <v>1</v>
      </c>
      <c r="M1406" s="5" t="inlineStr">
        <is>
          <t>As a vendor manager, I want vendor-supplied placements to use the vendor rate card so that margins are tracked.</t>
        </is>
      </c>
      <c r="N1406" s="5" t="inlineStr">
        <is>
          <t>• Given a vendor placement, when created, then the vendor rate comes from the rate card or the accepted quote within the cap, as a dated value (YX-ATS-28).
• Given a vendor placement, when created, then no HRMS employment and no payroll are made (YX-ATS-28).
• Given the worker, when they log time, then they use a limited vendor_worker timesheet login (YX-ATS-28).</t>
        </is>
      </c>
      <c r="O1406" s="5" t="inlineStr">
        <is>
          <t>YX-ATS-28</t>
        </is>
      </c>
      <c r="P1406" t="inlineStr">
        <is>
          <t>M10 §11 C7</t>
        </is>
      </c>
      <c r="Q1406" t="inlineStr">
        <is>
          <t>US-E-061, US-E-050</t>
        </is>
      </c>
      <c r="R1406" s="5" t="inlineStr"/>
    </row>
    <row r="1407">
      <c r="A1407" t="inlineStr">
        <is>
          <t>US-E-063</t>
        </is>
      </c>
      <c r="B1407" t="n">
        <v>1580</v>
      </c>
      <c r="C1407" t="inlineStr">
        <is>
          <t>Story</t>
        </is>
      </c>
      <c r="D1407" s="5" t="inlineStr">
        <is>
          <t xml:space="preserve">        Vendor invoices and payouts from approved hours</t>
        </is>
      </c>
      <c r="E1407" t="inlineStr">
        <is>
          <t>ATS: internal hiring, staffing desk and vendor portal</t>
        </is>
      </c>
      <c r="F1407" t="inlineStr">
        <is>
          <t>Vendor and sub-vendor portal</t>
        </is>
      </c>
      <c r="G1407" t="inlineStr">
        <is>
          <t>New</t>
        </is>
      </c>
      <c r="I1407">
        <f>IF(H1407&lt;&gt;"",H1407,G1407)</f>
        <v/>
      </c>
      <c r="J1407" t="inlineStr">
        <is>
          <t>Step 7 · Vendor portal</t>
        </is>
      </c>
      <c r="K1407" t="n">
        <v>5</v>
      </c>
      <c r="L1407" t="n">
        <v>1</v>
      </c>
      <c r="M1407" s="5" t="inlineStr">
        <is>
          <t>As a finance user, I want vendor invoices proposed from approved hours so that we never overpay a vendor.</t>
        </is>
      </c>
      <c r="N1407" s="5" t="inlineStr">
        <is>
          <t>• Given a period, when it closes, then a vendor invoice is proposed from client-approved hours × vendor rate (YX-ATS-29).
• Given the proposal, when the vendor confirms, then they add invoice number and GST details in the portal (YX-ATS-29).
• Given an uploaded vendor invoice above the approved amount, when submitted, then it is blocked without a reconciliation (YX-ATS-29).
• Given an approved vendor invoice, when paid, then the payout reuses the M03 consultant payout with TDS (YX-ATS-29).</t>
        </is>
      </c>
      <c r="O1407" s="5" t="inlineStr">
        <is>
          <t>YX-ATS-29</t>
        </is>
      </c>
      <c r="P1407" t="inlineStr">
        <is>
          <t>M10 §11 C7</t>
        </is>
      </c>
      <c r="Q1407" t="inlineStr">
        <is>
          <t>US-E-062</t>
        </is>
      </c>
      <c r="R1407" s="5" t="inlineStr"/>
    </row>
    <row r="1408">
      <c r="A1408" t="inlineStr">
        <is>
          <t>US-E-064</t>
        </is>
      </c>
      <c r="B1408" t="n">
        <v>1580</v>
      </c>
      <c r="C1408" t="inlineStr">
        <is>
          <t>Story</t>
        </is>
      </c>
      <c r="D1408" s="5" t="inlineStr">
        <is>
          <t xml:space="preserve">        Vendor performance scorecards</t>
        </is>
      </c>
      <c r="E1408" t="inlineStr">
        <is>
          <t>ATS: internal hiring, staffing desk and vendor portal</t>
        </is>
      </c>
      <c r="F1408" t="inlineStr">
        <is>
          <t>Vendor and sub-vendor portal</t>
        </is>
      </c>
      <c r="G1408" t="inlineStr">
        <is>
          <t>New</t>
        </is>
      </c>
      <c r="I1408">
        <f>IF(H1408&lt;&gt;"",H1408,G1408)</f>
        <v/>
      </c>
      <c r="J1408" t="inlineStr">
        <is>
          <t>Step 7 · Vendor portal</t>
        </is>
      </c>
      <c r="K1408" t="n">
        <v>3</v>
      </c>
      <c r="L1408" t="n">
        <v>2</v>
      </c>
      <c r="M1408" s="5" t="inlineStr">
        <is>
          <t>As a vendor manager, I want a scorecard per vendor so that I keep the best vendors.</t>
        </is>
      </c>
      <c r="N1408" s="5" t="inlineStr">
        <is>
          <t>• Given a vendor and period, when I open the scorecard, then submissions, duplicate rate, conversion rates, placements and time to first submission show (YX-ATS-30).
• Given placements ended inside the company window, when computed, then they count as early exits (YX-ATS-30).
• Given the numbers, when shown, then they come from P09 metrics.</t>
        </is>
      </c>
      <c r="O1408" s="5" t="inlineStr">
        <is>
          <t>YX-ATS-30</t>
        </is>
      </c>
      <c r="P1408" t="inlineStr">
        <is>
          <t>M10 §11 C7</t>
        </is>
      </c>
      <c r="Q1408" t="inlineStr">
        <is>
          <t>US-E-063</t>
        </is>
      </c>
      <c r="R1408" s="5" t="inlineStr"/>
    </row>
    <row r="1409">
      <c r="A1409" s="9" t="inlineStr">
        <is>
          <t>FT-E-10</t>
        </is>
      </c>
      <c r="B1409" s="9" t="n">
        <v>1590</v>
      </c>
      <c r="C1409" s="9" t="inlineStr">
        <is>
          <t>Feature</t>
        </is>
      </c>
      <c r="D1409" s="10" t="inlineStr">
        <is>
          <t xml:space="preserve">    Hiring notifications, reports and data migration</t>
        </is>
      </c>
      <c r="E1409" s="9" t="inlineStr">
        <is>
          <t>ATS: internal hiring, staffing desk and vendor portal</t>
        </is>
      </c>
      <c r="F1409" s="9" t="inlineStr">
        <is>
          <t>Hiring notifications, reports and data migration</t>
        </is>
      </c>
      <c r="G1409" s="9" t="inlineStr">
        <is>
          <t>New</t>
        </is>
      </c>
      <c r="H1409" s="9" t="n"/>
      <c r="I1409" s="9">
        <f>IF(H1409&lt;&gt;"",H1409,G1409)</f>
        <v/>
      </c>
      <c r="J1409" s="9" t="inlineStr">
        <is>
          <t>Step 7 · ATS core</t>
        </is>
      </c>
      <c r="K1409" s="9" t="n"/>
      <c r="L1409" s="9" t="n"/>
      <c r="M1409" s="10" t="inlineStr"/>
      <c r="N1409" s="10" t="inlineStr"/>
      <c r="O1409" s="10" t="inlineStr">
        <is>
          <t>YX-API-10, YX-MET-05, YX-MET-13, YX-MIG-14</t>
        </is>
      </c>
      <c r="P1409" s="9" t="inlineStr">
        <is>
          <t>APX-A §2.17, APX-B §2.18, APX-C §1.10–1.11, APX-D §2.11, P15</t>
        </is>
      </c>
      <c r="Q1409" s="9" t="inlineStr"/>
      <c r="R1409" s="10" t="inlineStr"/>
      <c r="S1409" s="9" t="n"/>
    </row>
    <row r="1410">
      <c r="A1410" t="inlineStr">
        <is>
          <t>US-E-065</t>
        </is>
      </c>
      <c r="B1410" t="n">
        <v>1590</v>
      </c>
      <c r="C1410" t="inlineStr">
        <is>
          <t>Story</t>
        </is>
      </c>
      <c r="D1410" s="5" t="inlineStr">
        <is>
          <t xml:space="preserve">        Hiring and staffing notifications from the catalogue</t>
        </is>
      </c>
      <c r="E1410" t="inlineStr">
        <is>
          <t>ATS: internal hiring, staffing desk and vendor portal</t>
        </is>
      </c>
      <c r="F1410" t="inlineStr">
        <is>
          <t>Hiring notifications, reports and data migration</t>
        </is>
      </c>
      <c r="G1410" t="inlineStr">
        <is>
          <t>New</t>
        </is>
      </c>
      <c r="I1410">
        <f>IF(H1410&lt;&gt;"",H1410,G1410)</f>
        <v/>
      </c>
      <c r="J1410" t="inlineStr">
        <is>
          <t>Step 7 · ATS core</t>
        </is>
      </c>
      <c r="K1410" t="n">
        <v>3</v>
      </c>
      <c r="L1410" t="n">
        <v>1</v>
      </c>
      <c r="M1410" s="5" t="inlineStr">
        <is>
          <t>As a recruiter, I want every hiring notification in APX-A §2.17 sent by the notification engine so that people get the right alerts.</t>
        </is>
      </c>
      <c r="N1410" s="5" t="inlineStr">
        <is>
          <t>• Given each APX-A §2.17 row, when its trigger happens, then the message goes to the listed audience on the listed channels.
• Given a notification key, when it is not in the catalogue registry, then CI fails.
• Given a candidate message, when sent, then it uses the company sender and respects opt-out.</t>
        </is>
      </c>
      <c r="O1410" s="5" t="inlineStr"/>
      <c r="P1410" t="inlineStr">
        <is>
          <t>APX-A §2.17, APX-B §2.18, APX-C §1.10–1.11, APX-D §2.11, P15</t>
        </is>
      </c>
      <c r="Q1410" t="inlineStr">
        <is>
          <t>US-E-228</t>
        </is>
      </c>
      <c r="R1410" s="5" t="inlineStr"/>
    </row>
    <row r="1411">
      <c r="A1411" t="inlineStr">
        <is>
          <t>US-E-066</t>
        </is>
      </c>
      <c r="B1411" t="n">
        <v>1590</v>
      </c>
      <c r="C1411" t="inlineStr">
        <is>
          <t>Story</t>
        </is>
      </c>
      <c r="D1411" s="5" t="inlineStr">
        <is>
          <t xml:space="preserve">        Hiring and staffing events published per APX-B §2.18</t>
        </is>
      </c>
      <c r="E1411" t="inlineStr">
        <is>
          <t>ATS: internal hiring, staffing desk and vendor portal</t>
        </is>
      </c>
      <c r="F1411" t="inlineStr">
        <is>
          <t>Hiring notifications, reports and data migration</t>
        </is>
      </c>
      <c r="G1411" t="inlineStr">
        <is>
          <t>New</t>
        </is>
      </c>
      <c r="I1411">
        <f>IF(H1411&lt;&gt;"",H1411,G1411)</f>
        <v/>
      </c>
      <c r="J1411" t="inlineStr">
        <is>
          <t>Step 7 · ATS core</t>
        </is>
      </c>
      <c r="K1411" t="n">
        <v>3</v>
      </c>
      <c r="L1411" t="n">
        <v>1</v>
      </c>
      <c r="M1411" s="5" t="inlineStr">
        <is>
          <t>As an integration owner, I want hiring events like ats.offer.accepted and ats.placement.ended published so that other modules and webhooks react.</t>
        </is>
      </c>
      <c r="N1411" s="5" t="inlineStr">
        <is>
          <t>• Given each APX-B §2.18 event, when its trigger happens, then it is written to the outbox after commit.
• Given an event with Confidential data, when sent to a webhook, then the payload carries ids only (YX-API-10).
• Given an event key, when it is not in the event registry, then CI fails.</t>
        </is>
      </c>
      <c r="O1411" s="5" t="inlineStr">
        <is>
          <t>YX-API-10</t>
        </is>
      </c>
      <c r="P1411" t="inlineStr">
        <is>
          <t>APX-A §2.17, APX-B §2.18, APX-C §1.10–1.11, APX-D §2.11, P15</t>
        </is>
      </c>
      <c r="Q1411" t="inlineStr">
        <is>
          <t>US-E-229</t>
        </is>
      </c>
      <c r="R1411" s="5" t="inlineStr"/>
    </row>
    <row r="1412">
      <c r="A1412" t="inlineStr">
        <is>
          <t>US-E-067</t>
        </is>
      </c>
      <c r="B1412" t="n">
        <v>1590</v>
      </c>
      <c r="C1412" t="inlineStr">
        <is>
          <t>Story</t>
        </is>
      </c>
      <c r="D1412" s="5" t="inlineStr">
        <is>
          <t xml:space="preserve">        Recruitment and staffing standard reports on the metric layer</t>
        </is>
      </c>
      <c r="E1412" t="inlineStr">
        <is>
          <t>ATS: internal hiring, staffing desk and vendor portal</t>
        </is>
      </c>
      <c r="F1412" t="inlineStr">
        <is>
          <t>Hiring notifications, reports and data migration</t>
        </is>
      </c>
      <c r="G1412" t="inlineStr">
        <is>
          <t>New</t>
        </is>
      </c>
      <c r="I1412">
        <f>IF(H1412&lt;&gt;"",H1412,G1412)</f>
        <v/>
      </c>
      <c r="J1412" t="inlineStr">
        <is>
          <t>Step 7 · ATS core</t>
        </is>
      </c>
      <c r="K1412" t="n">
        <v>5</v>
      </c>
      <c r="L1412" t="n">
        <v>1</v>
      </c>
      <c r="M1412" s="5" t="inlineStr">
        <is>
          <t>As a hiring manager, I want the APX-C recruitment and staffing reports so that I can track hiring and margins.</t>
        </is>
      </c>
      <c r="N1412" s="5" t="inlineStr">
        <is>
          <t>• Given APX-C §1.10 and §1.11 reports, when shipped, then each is built on registered metrics with its catalogue row (YX-MET-13).
• Given the existing pipeline analytics, when re-expressed, then numbers match the old screens in a golden test.
• Given a report, when opened, then scope and data freshness are shown (YX-MET-05).</t>
        </is>
      </c>
      <c r="O1412" s="5" t="inlineStr">
        <is>
          <t>YX-MET-13, YX-MET-05</t>
        </is>
      </c>
      <c r="P1412" t="inlineStr">
        <is>
          <t>APX-A §2.17, APX-B §2.18, APX-C §1.10–1.11, APX-D §2.11, P15</t>
        </is>
      </c>
      <c r="Q1412" t="inlineStr">
        <is>
          <t>US-E-012, US-E-298</t>
        </is>
      </c>
      <c r="R1412" s="5" t="inlineStr"/>
    </row>
    <row r="1413">
      <c r="A1413" t="inlineStr">
        <is>
          <t>US-E-068</t>
        </is>
      </c>
      <c r="B1413" t="n">
        <v>1590</v>
      </c>
      <c r="C1413" t="inlineStr">
        <is>
          <t>Story</t>
        </is>
      </c>
      <c r="D1413" s="5" t="inlineStr">
        <is>
          <t xml:space="preserve">        Import ATS data from Freshteam, OrangeHRM, Horilla or a generic CSV</t>
        </is>
      </c>
      <c r="E1413" t="inlineStr">
        <is>
          <t>ATS: internal hiring, staffing desk and vendor portal</t>
        </is>
      </c>
      <c r="F1413" t="inlineStr">
        <is>
          <t>Hiring notifications, reports and data migration</t>
        </is>
      </c>
      <c r="G1413" t="inlineStr">
        <is>
          <t>New</t>
        </is>
      </c>
      <c r="I1413">
        <f>IF(H1413&lt;&gt;"",H1413,G1413)</f>
        <v/>
      </c>
      <c r="J1413" t="inlineStr">
        <is>
          <t>Step 7 · ATS core</t>
        </is>
      </c>
      <c r="K1413" t="n">
        <v>5</v>
      </c>
      <c r="L1413" t="n">
        <v>2</v>
      </c>
      <c r="M1413" s="5" t="inlineStr">
        <is>
          <t>As an implementation consultant, I want ready mappers for common ATS exports so that customers move their hiring data quickly.</t>
        </is>
      </c>
      <c r="N1413" s="5" t="inlineStr">
        <is>
          <t>• Given a Freshteam, OrangeHRM or Horilla export, when uploaded, then the ready mapper maps candidates, jobs, stages, notes and attachments (YX-MIG-14).
• Given pipeline stages, when mapped, then they map to the M10 stage set (YX-MIG-14).
• Given the import, when it runs, then it follows upload → map → validate → preview → commit (YX-MIG-01).</t>
        </is>
      </c>
      <c r="O1413" s="5" t="inlineStr">
        <is>
          <t>YX-MIG-14</t>
        </is>
      </c>
      <c r="P1413" t="inlineStr">
        <is>
          <t>P15</t>
        </is>
      </c>
      <c r="Q1413" t="inlineStr">
        <is>
          <t>US-E-246</t>
        </is>
      </c>
      <c r="R1413" s="5" t="inlineStr"/>
    </row>
    <row r="1414">
      <c r="A1414" s="7" t="inlineStr">
        <is>
          <t>EP-E-02</t>
        </is>
      </c>
      <c r="B1414" s="7" t="n">
        <v>1700</v>
      </c>
      <c r="C1414" s="7" t="inlineStr">
        <is>
          <t>Epic</t>
        </is>
      </c>
      <c r="D1414" s="8" t="inlineStr">
        <is>
          <t>Assessments &amp; proctoring</t>
        </is>
      </c>
      <c r="E1414" s="7" t="inlineStr">
        <is>
          <t>Assessments &amp; proctoring</t>
        </is>
      </c>
      <c r="F1414" s="7" t="inlineStr"/>
      <c r="G1414" s="7" t="inlineStr">
        <is>
          <t>New</t>
        </is>
      </c>
      <c r="H1414" s="7" t="n"/>
      <c r="I1414" s="7">
        <f>IF(H1414&lt;&gt;"",H1414,G1414)</f>
        <v/>
      </c>
      <c r="J1414" s="7" t="inlineStr">
        <is>
          <t>Proctoring track</t>
        </is>
      </c>
      <c r="K1414" s="7" t="n"/>
      <c r="L1414" s="7" t="n"/>
      <c r="M1414" s="8" t="inlineStr"/>
      <c r="N1414" s="8" t="inlineStr"/>
      <c r="O1414" s="8" t="inlineStr"/>
      <c r="P1414" s="7" t="inlineStr">
        <is>
          <t>T01, T02, T03, T04, T05, T06, T07, T08</t>
        </is>
      </c>
      <c r="Q1414" s="7" t="inlineStr"/>
      <c r="R1414" s="8" t="inlineStr"/>
      <c r="S1414" s="7" t="n"/>
    </row>
    <row r="1415">
      <c r="A1415" s="9" t="inlineStr">
        <is>
          <t>FT-E-11</t>
        </is>
      </c>
      <c r="B1415" s="9" t="n">
        <v>1700</v>
      </c>
      <c r="C1415" s="9" t="inlineStr">
        <is>
          <t>Feature</t>
        </is>
      </c>
      <c r="D1415" s="10" t="inlineStr">
        <is>
          <t xml:space="preserve">    Existing exam-app assessment engine kept as the base</t>
        </is>
      </c>
      <c r="E1415" s="9" t="inlineStr">
        <is>
          <t>Assessments &amp; proctoring</t>
        </is>
      </c>
      <c r="F1415" s="9" t="inlineStr">
        <is>
          <t>Existing exam-app assessment engine kept as the base</t>
        </is>
      </c>
      <c r="G1415" s="9" t="inlineStr">
        <is>
          <t>Done</t>
        </is>
      </c>
      <c r="H1415" s="9" t="n"/>
      <c r="I1415" s="9">
        <f>IF(H1415&lt;&gt;"",H1415,G1415)</f>
        <v/>
      </c>
      <c r="J1415" s="9" t="inlineStr">
        <is>
          <t>Exam app (existing)</t>
        </is>
      </c>
      <c r="K1415" s="9" t="n"/>
      <c r="L1415" s="9" t="n"/>
      <c r="M1415" s="10" t="inlineStr"/>
      <c r="N1415" s="10" t="inlineStr"/>
      <c r="O1415" s="10" t="inlineStr"/>
      <c r="P1415" s="9" t="inlineStr">
        <is>
          <t>T01 §2, T02 §2, T03 §2, T04 §2, T05 §2</t>
        </is>
      </c>
      <c r="Q1415" s="9" t="inlineStr"/>
      <c r="R1415" s="10" t="inlineStr">
        <is>
          <t>apps/api/src/{questions,exams,invitations,drives,result-release,certificates} · apps/exam-runtime/src/{attempts,face,integrity,monitoring,code-execution,grading}</t>
        </is>
      </c>
      <c r="S1415" s="9" t="n"/>
    </row>
    <row r="1416">
      <c r="A1416" t="inlineStr">
        <is>
          <t>US-E-069</t>
        </is>
      </c>
      <c r="B1416" t="n">
        <v>1700</v>
      </c>
      <c r="C1416" t="inlineStr">
        <is>
          <t>Story</t>
        </is>
      </c>
      <c r="D1416" s="5" t="inlineStr">
        <is>
          <t xml:space="preserve">        Question bank with types, marks, tags and bulk import</t>
        </is>
      </c>
      <c r="E1416" t="inlineStr">
        <is>
          <t>Assessments &amp; proctoring</t>
        </is>
      </c>
      <c r="F1416" t="inlineStr">
        <is>
          <t>Existing exam-app assessment engine kept as the base</t>
        </is>
      </c>
      <c r="G1416" t="inlineStr">
        <is>
          <t>Done</t>
        </is>
      </c>
      <c r="I1416">
        <f>IF(H1416&lt;&gt;"",H1416,G1416)</f>
        <v/>
      </c>
      <c r="J1416" t="inlineStr">
        <is>
          <t>Exam app (existing)</t>
        </is>
      </c>
      <c r="K1416" t="n">
        <v>5</v>
      </c>
      <c r="L1416" t="n">
        <v>1</v>
      </c>
      <c r="M1416" s="5" t="inlineStr">
        <is>
          <t>As a test author, I want a bank of questions of many types so that I can build tests.</t>
        </is>
      </c>
      <c r="N1416" s="5" t="inlineStr">
        <is>
          <t>• Given MCQ, multi-MCQ, true/false, code, essay, file upload or spoken, when I create a question, then it is saved with marks and negative marks.
• Given an Excel template, when I bulk upload, then valid rows are imported and errors are listed.
• Given tags, topics and categories, when I filter, then matching questions show.</t>
        </is>
      </c>
      <c r="O1416" s="5" t="inlineStr"/>
      <c r="P1416" t="inlineStr">
        <is>
          <t>T01 §2</t>
        </is>
      </c>
      <c r="Q1416" t="inlineStr"/>
      <c r="R1416" s="5" t="inlineStr">
        <is>
          <t>apps/api/src/questions (bulk-upload-parser.ts, tags.service.ts)</t>
        </is>
      </c>
    </row>
    <row r="1417">
      <c r="A1417" t="inlineStr">
        <is>
          <t>US-E-070</t>
        </is>
      </c>
      <c r="B1417" t="n">
        <v>1700</v>
      </c>
      <c r="C1417" t="inlineStr">
        <is>
          <t>Story</t>
        </is>
      </c>
      <c r="D1417" s="5" t="inlineStr">
        <is>
          <t xml:space="preserve">        AI drafts questions, distractors and tags</t>
        </is>
      </c>
      <c r="E1417" t="inlineStr">
        <is>
          <t>Assessments &amp; proctoring</t>
        </is>
      </c>
      <c r="F1417" t="inlineStr">
        <is>
          <t>Existing exam-app assessment engine kept as the base</t>
        </is>
      </c>
      <c r="G1417" t="inlineStr">
        <is>
          <t>Done</t>
        </is>
      </c>
      <c r="I1417">
        <f>IF(H1417&lt;&gt;"",H1417,G1417)</f>
        <v/>
      </c>
      <c r="J1417" t="inlineStr">
        <is>
          <t>Exam app (existing)</t>
        </is>
      </c>
      <c r="K1417" t="n">
        <v>3</v>
      </c>
      <c r="L1417" t="n">
        <v>1</v>
      </c>
      <c r="M1417" s="5" t="inlineStr">
        <is>
          <t>As a test author, I want AI to draft questions so that I build banks faster.</t>
        </is>
      </c>
      <c r="N1417" s="5" t="inlineStr">
        <is>
          <t>• Given a topic, when I ask AI, then draft questions are created and marked AI-generated.
• Given an MCQ, when I ask for distractors, then AI suggests wrong options.
• Given AI use, when it runs, then credits are metered per organisation.</t>
        </is>
      </c>
      <c r="O1417" s="5" t="inlineStr"/>
      <c r="P1417" t="inlineStr">
        <is>
          <t>T01 §2</t>
        </is>
      </c>
      <c r="Q1417" t="inlineStr"/>
      <c r="R1417" s="5" t="inlineStr">
        <is>
          <t>apps/api/src/ai/question-ai.service.ts · apps/api/src/ai/clients/question-distractors.client.ts · AiCreditUsage</t>
        </is>
      </c>
    </row>
    <row r="1418">
      <c r="A1418" t="inlineStr">
        <is>
          <t>US-E-071</t>
        </is>
      </c>
      <c r="B1418" t="n">
        <v>1700</v>
      </c>
      <c r="C1418" t="inlineStr">
        <is>
          <t>Story</t>
        </is>
      </c>
      <c r="D1418" s="5" t="inlineStr">
        <is>
          <t xml:space="preserve">        Item analytics: difficulty, discrimination, distractors</t>
        </is>
      </c>
      <c r="E1418" t="inlineStr">
        <is>
          <t>Assessments &amp; proctoring</t>
        </is>
      </c>
      <c r="F1418" t="inlineStr">
        <is>
          <t>Existing exam-app assessment engine kept as the base</t>
        </is>
      </c>
      <c r="G1418" t="inlineStr">
        <is>
          <t>Done</t>
        </is>
      </c>
      <c r="I1418">
        <f>IF(H1418&lt;&gt;"",H1418,G1418)</f>
        <v/>
      </c>
      <c r="J1418" t="inlineStr">
        <is>
          <t>Exam app (existing)</t>
        </is>
      </c>
      <c r="K1418" t="n">
        <v>3</v>
      </c>
      <c r="L1418" t="n">
        <v>1</v>
      </c>
      <c r="M1418" s="5" t="inlineStr">
        <is>
          <t>As a test author, I want statistics per question so that I can fix weak items.</t>
        </is>
      </c>
      <c r="N1418" s="5" t="inlineStr">
        <is>
          <t>• Given attempts, when I open item analytics, then p-value and point-biserial show per question.
• Given an MCQ, when I open it, then distractor choice counts show.
• Given an answer key change, when it happened, then the item shows when the key changed.</t>
        </is>
      </c>
      <c r="O1418" s="5" t="inlineStr"/>
      <c r="P1418" t="inlineStr">
        <is>
          <t>T02 §2</t>
        </is>
      </c>
      <c r="Q1418" t="inlineStr"/>
      <c r="R1418" s="5" t="inlineStr">
        <is>
          <t>apps/api/src/analytics/item-analytics.service.ts</t>
        </is>
      </c>
    </row>
    <row r="1419">
      <c r="A1419" t="inlineStr">
        <is>
          <t>US-E-072</t>
        </is>
      </c>
      <c r="B1419" t="n">
        <v>1700</v>
      </c>
      <c r="C1419" t="inlineStr">
        <is>
          <t>Story</t>
        </is>
      </c>
      <c r="D1419" s="5" t="inlineStr">
        <is>
          <t xml:space="preserve">        Fixed and random-pool tests with sections, weights and pass mark</t>
        </is>
      </c>
      <c r="E1419" t="inlineStr">
        <is>
          <t>Assessments &amp; proctoring</t>
        </is>
      </c>
      <c r="F1419" t="inlineStr">
        <is>
          <t>Existing exam-app assessment engine kept as the base</t>
        </is>
      </c>
      <c r="G1419" t="inlineStr">
        <is>
          <t>Done</t>
        </is>
      </c>
      <c r="I1419">
        <f>IF(H1419&lt;&gt;"",H1419,G1419)</f>
        <v/>
      </c>
      <c r="J1419" t="inlineStr">
        <is>
          <t>Exam app (existing)</t>
        </is>
      </c>
      <c r="K1419" t="n">
        <v>5</v>
      </c>
      <c r="L1419" t="n">
        <v>1</v>
      </c>
      <c r="M1419" s="5" t="inlineStr">
        <is>
          <t>As a test author, I want fixed or random tests with section weights and a pass mark so that each test fits its purpose.</t>
        </is>
      </c>
      <c r="N1419" s="5" t="inlineStr">
        <is>
          <t>• Given a section in pool mode, when a candidate starts, then questions are drawn from the pool by tags and difficulty.
• Given section weights and a pass mark, when the attempt is graded, then pass / fail follows them.
• Given "answer any N", when the candidate answers more, then only the best N count.</t>
        </is>
      </c>
      <c r="O1419" s="5" t="inlineStr"/>
      <c r="P1419" t="inlineStr">
        <is>
          <t>T02 §2</t>
        </is>
      </c>
      <c r="Q1419" t="inlineStr"/>
      <c r="R1419" s="5" t="inlineStr">
        <is>
          <t>apps/api/src/exams (section-weight-defaults.ts) · apps/exam-runtime/src/attempts/shuffle.ts</t>
        </is>
      </c>
    </row>
    <row r="1420">
      <c r="A1420" t="inlineStr">
        <is>
          <t>US-E-073</t>
        </is>
      </c>
      <c r="B1420" t="n">
        <v>1700</v>
      </c>
      <c r="C1420" t="inlineStr">
        <is>
          <t>Story</t>
        </is>
      </c>
      <c r="D1420" s="5" t="inlineStr">
        <is>
          <t xml:space="preserve">        Coding questions on Piston with hidden tests and AI review</t>
        </is>
      </c>
      <c r="E1420" t="inlineStr">
        <is>
          <t>Assessments &amp; proctoring</t>
        </is>
      </c>
      <c r="F1420" t="inlineStr">
        <is>
          <t>Existing exam-app assessment engine kept as the base</t>
        </is>
      </c>
      <c r="G1420" t="inlineStr">
        <is>
          <t>Done</t>
        </is>
      </c>
      <c r="I1420">
        <f>IF(H1420&lt;&gt;"",H1420,G1420)</f>
        <v/>
      </c>
      <c r="J1420" t="inlineStr">
        <is>
          <t>Exam app (existing)</t>
        </is>
      </c>
      <c r="K1420" t="n">
        <v>5</v>
      </c>
      <c r="L1420" t="n">
        <v>1</v>
      </c>
      <c r="M1420" s="5" t="inlineStr">
        <is>
          <t>As a test author, I want coding questions with hidden tests and partial scoring so that coding skill is measured.</t>
        </is>
      </c>
      <c r="N1420" s="5" t="inlineStr">
        <is>
          <t>• Given visible and hidden test cases, when the candidate runs code, then only visible results are shown.
• Given submission, when graded, then weighted partial scores come from all test cases.
• Given AI code review is on, when graded, then a review note is attached as advice.</t>
        </is>
      </c>
      <c r="O1420" s="5" t="inlineStr"/>
      <c r="P1420" t="inlineStr">
        <is>
          <t>T02 §2, T07 §2</t>
        </is>
      </c>
      <c r="Q1420" t="inlineStr"/>
      <c r="R1420" s="5" t="inlineStr">
        <is>
          <t>apps/exam-runtime/src/code-execution/piston-client.ts · apps/exam-runtime/src/grading/code-autograde.service.ts · apps/exam-runtime/src/code-review</t>
        </is>
      </c>
    </row>
    <row r="1421">
      <c r="A1421" t="inlineStr">
        <is>
          <t>US-E-074</t>
        </is>
      </c>
      <c r="B1421" t="n">
        <v>1700</v>
      </c>
      <c r="C1421" t="inlineStr">
        <is>
          <t>Story</t>
        </is>
      </c>
      <c r="D1421" s="5" t="inlineStr">
        <is>
          <t xml:space="preserve">        Auto-scoring, percentile and result release modes</t>
        </is>
      </c>
      <c r="E1421" t="inlineStr">
        <is>
          <t>Assessments &amp; proctoring</t>
        </is>
      </c>
      <c r="F1421" t="inlineStr">
        <is>
          <t>Existing exam-app assessment engine kept as the base</t>
        </is>
      </c>
      <c r="G1421" t="inlineStr">
        <is>
          <t>Done</t>
        </is>
      </c>
      <c r="I1421">
        <f>IF(H1421&lt;&gt;"",H1421,G1421)</f>
        <v/>
      </c>
      <c r="J1421" t="inlineStr">
        <is>
          <t>Exam app (existing)</t>
        </is>
      </c>
      <c r="K1421" t="n">
        <v>3</v>
      </c>
      <c r="L1421" t="n">
        <v>1</v>
      </c>
      <c r="M1421" s="5" t="inlineStr">
        <is>
          <t>As a recruiter, I want results scored and released by the test setting so that candidates see results at the right time.</t>
        </is>
      </c>
      <c r="N1421" s="5" t="inlineStr">
        <is>
          <t>• Given a submitted attempt, when graded, then score, percentage and pass / fail are stored.
• Given a release mode, when results are ready, then they are released immediately, manually or on a date.
• Given a cohort, when I open the leaderboard, then percentile ranks show.</t>
        </is>
      </c>
      <c r="O1421" s="5" t="inlineStr"/>
      <c r="P1421" t="inlineStr">
        <is>
          <t>T02 §2, T05 §2</t>
        </is>
      </c>
      <c r="Q1421" t="inlineStr"/>
      <c r="R1421" s="5" t="inlineStr">
        <is>
          <t>apps/exam-runtime/src/grading · apps/exam-runtime/src/leaderboard · apps/api/src/result-release</t>
        </is>
      </c>
    </row>
    <row r="1422">
      <c r="A1422" t="inlineStr">
        <is>
          <t>US-E-075</t>
        </is>
      </c>
      <c r="B1422" t="n">
        <v>1700</v>
      </c>
      <c r="C1422" t="inlineStr">
        <is>
          <t>Story</t>
        </is>
      </c>
      <c r="D1422" s="5" t="inlineStr">
        <is>
          <t xml:space="preserve">        Individual and bulk invites with access windows</t>
        </is>
      </c>
      <c r="E1422" t="inlineStr">
        <is>
          <t>Assessments &amp; proctoring</t>
        </is>
      </c>
      <c r="F1422" t="inlineStr">
        <is>
          <t>Existing exam-app assessment engine kept as the base</t>
        </is>
      </c>
      <c r="G1422" t="inlineStr">
        <is>
          <t>Done</t>
        </is>
      </c>
      <c r="I1422">
        <f>IF(H1422&lt;&gt;"",H1422,G1422)</f>
        <v/>
      </c>
      <c r="J1422" t="inlineStr">
        <is>
          <t>Exam app (existing)</t>
        </is>
      </c>
      <c r="K1422" t="n">
        <v>3</v>
      </c>
      <c r="L1422" t="n">
        <v>1</v>
      </c>
      <c r="M1422" s="5" t="inlineStr">
        <is>
          <t>As a recruiter, I want to invite one or many candidates with a time window so that they take the test on time.</t>
        </is>
      </c>
      <c r="N1422" s="5" t="inlineStr">
        <is>
          <t>• Given a CSV of candidates, when I bulk invite, then each gets a unique link.
• Given an access window, when a candidate opens the link outside it, then they cannot start.
• Given an invite, when I resend or revoke it, then the count and status update.</t>
        </is>
      </c>
      <c r="O1422" s="5" t="inlineStr"/>
      <c r="P1422" t="inlineStr">
        <is>
          <t>T03 §2</t>
        </is>
      </c>
      <c r="Q1422" t="inlineStr"/>
      <c r="R1422" s="5" t="inlineStr">
        <is>
          <t>apps/api/src/invitations · apps/api/src/candidates/bulk-invite-parser.ts</t>
        </is>
      </c>
    </row>
    <row r="1423">
      <c r="A1423" t="inlineStr">
        <is>
          <t>US-E-076</t>
        </is>
      </c>
      <c r="B1423" t="n">
        <v>1700</v>
      </c>
      <c r="C1423" t="inlineStr">
        <is>
          <t>Story</t>
        </is>
      </c>
      <c r="D1423" s="5" t="inlineStr">
        <is>
          <t xml:space="preserve">        Practice question, instructions acknowledgement and consent</t>
        </is>
      </c>
      <c r="E1423" t="inlineStr">
        <is>
          <t>Assessments &amp; proctoring</t>
        </is>
      </c>
      <c r="F1423" t="inlineStr">
        <is>
          <t>Existing exam-app assessment engine kept as the base</t>
        </is>
      </c>
      <c r="G1423" t="inlineStr">
        <is>
          <t>Done</t>
        </is>
      </c>
      <c r="I1423">
        <f>IF(H1423&lt;&gt;"",H1423,G1423)</f>
        <v/>
      </c>
      <c r="J1423" t="inlineStr">
        <is>
          <t>Exam app (existing)</t>
        </is>
      </c>
      <c r="K1423" t="n">
        <v>2</v>
      </c>
      <c r="L1423" t="n">
        <v>1</v>
      </c>
      <c r="M1423" s="5" t="inlineStr">
        <is>
          <t>As a candidate, I want a practice step and clear instructions so that I am ready before the real test.</t>
        </is>
      </c>
      <c r="N1423" s="5" t="inlineStr">
        <is>
          <t>• Given the welcome page, when I open it, then instructions are shown and I must acknowledge them.
• Given a practice step, when I try it, then it is not scored.
• Given consent, when I accept, then the consent time is stored on the attempt.</t>
        </is>
      </c>
      <c r="O1423" s="5" t="inlineStr"/>
      <c r="P1423" t="inlineStr">
        <is>
          <t>T03 §2</t>
        </is>
      </c>
      <c r="Q1423" t="inlineStr"/>
      <c r="R1423" s="5" t="inlineStr">
        <is>
          <t>apps/web/app/(candidate)/components/PracticeStep.tsx · apps/web/app/(candidate)/welcome · Attempt.consentAt</t>
        </is>
      </c>
    </row>
    <row r="1424">
      <c r="A1424" t="inlineStr">
        <is>
          <t>US-E-077</t>
        </is>
      </c>
      <c r="B1424" t="n">
        <v>1700</v>
      </c>
      <c r="C1424" t="inlineStr">
        <is>
          <t>Story</t>
        </is>
      </c>
      <c r="D1424" s="5" t="inlineStr">
        <is>
          <t xml:space="preserve">        Auto-save and resume after power or network loss</t>
        </is>
      </c>
      <c r="E1424" t="inlineStr">
        <is>
          <t>Assessments &amp; proctoring</t>
        </is>
      </c>
      <c r="F1424" t="inlineStr">
        <is>
          <t>Existing exam-app assessment engine kept as the base</t>
        </is>
      </c>
      <c r="G1424" t="inlineStr">
        <is>
          <t>Done</t>
        </is>
      </c>
      <c r="I1424">
        <f>IF(H1424&lt;&gt;"",H1424,G1424)</f>
        <v/>
      </c>
      <c r="J1424" t="inlineStr">
        <is>
          <t>Exam app (existing)</t>
        </is>
      </c>
      <c r="K1424" t="n">
        <v>3</v>
      </c>
      <c r="L1424" t="n">
        <v>1</v>
      </c>
      <c r="M1424" s="5" t="inlineStr">
        <is>
          <t>As a candidate, I want my answers saved as I go so that a lost connection does not lose my work.</t>
        </is>
      </c>
      <c r="N1424" s="5" t="inlineStr">
        <is>
          <t>• Given I answer a question, when I change it, then it is saved on the server.
• Given my connection drops, when I return within the window, then I resume where I stopped.
• Given a proctoring pause, when the test is paused, then the timer is frozen.</t>
        </is>
      </c>
      <c r="O1424" s="5" t="inlineStr"/>
      <c r="P1424" t="inlineStr">
        <is>
          <t>T03 §2</t>
        </is>
      </c>
      <c r="Q1424" t="inlineStr"/>
      <c r="R1424" s="5" t="inlineStr">
        <is>
          <t>apps/exam-runtime/src/attempts/attempt.service.ts · apps/exam-runtime/src/attempts/last-seen.interceptor.ts</t>
        </is>
      </c>
    </row>
    <row r="1425">
      <c r="A1425" t="inlineStr">
        <is>
          <t>US-E-078</t>
        </is>
      </c>
      <c r="B1425" t="n">
        <v>1700</v>
      </c>
      <c r="C1425" t="inlineStr">
        <is>
          <t>Story</t>
        </is>
      </c>
      <c r="D1425" s="5" t="inlineStr">
        <is>
          <t xml:space="preserve">        Drives with sessions and a live drive view</t>
        </is>
      </c>
      <c r="E1425" t="inlineStr">
        <is>
          <t>Assessments &amp; proctoring</t>
        </is>
      </c>
      <c r="F1425" t="inlineStr">
        <is>
          <t>Existing exam-app assessment engine kept as the base</t>
        </is>
      </c>
      <c r="G1425" t="inlineStr">
        <is>
          <t>Done</t>
        </is>
      </c>
      <c r="I1425">
        <f>IF(H1425&lt;&gt;"",H1425,G1425)</f>
        <v/>
      </c>
      <c r="J1425" t="inlineStr">
        <is>
          <t>Exam app (existing)</t>
        </is>
      </c>
      <c r="K1425" t="n">
        <v>3</v>
      </c>
      <c r="L1425" t="n">
        <v>1</v>
      </c>
      <c r="M1425" s="5" t="inlineStr">
        <is>
          <t>As a drive coordinator, I want drive sessions with a live view so that I run large drives.</t>
        </is>
      </c>
      <c r="N1425" s="5" t="inlineStr">
        <is>
          <t>• Given a walk-in group, when I add sessions, then invites are tied to a session.
• Given a live drive, when I open the drive view, then I see who started, is active and submitted.
• Given a spike test, when run with k6, then the platform handles the scripted load.</t>
        </is>
      </c>
      <c r="O1425" s="5" t="inlineStr"/>
      <c r="P1425" t="inlineStr">
        <is>
          <t>T03 §2</t>
        </is>
      </c>
      <c r="Q1425" t="inlineStr"/>
      <c r="R1425" s="5" t="inlineStr">
        <is>
          <t>apps/api/src/drives (derive-drive-state.ts) · DriveSession · load/spike.js</t>
        </is>
      </c>
    </row>
    <row r="1426">
      <c r="A1426" t="inlineStr">
        <is>
          <t>US-E-079</t>
        </is>
      </c>
      <c r="B1426" t="n">
        <v>1700</v>
      </c>
      <c r="C1426" t="inlineStr">
        <is>
          <t>Story</t>
        </is>
      </c>
      <c r="D1426" s="5" t="inlineStr">
        <is>
          <t xml:space="preserve">        Selfie enrolment and periodic face re-verification</t>
        </is>
      </c>
      <c r="E1426" t="inlineStr">
        <is>
          <t>Assessments &amp; proctoring</t>
        </is>
      </c>
      <c r="F1426" t="inlineStr">
        <is>
          <t>Existing exam-app assessment engine kept as the base</t>
        </is>
      </c>
      <c r="G1426" t="inlineStr">
        <is>
          <t>Done</t>
        </is>
      </c>
      <c r="I1426">
        <f>IF(H1426&lt;&gt;"",H1426,G1426)</f>
        <v/>
      </c>
      <c r="J1426" t="inlineStr">
        <is>
          <t>Exam app (existing)</t>
        </is>
      </c>
      <c r="K1426" t="n">
        <v>5</v>
      </c>
      <c r="L1426" t="n">
        <v>1</v>
      </c>
      <c r="M1426" s="5" t="inlineStr">
        <is>
          <t>As a proctor, I want the candidate’s face checked during the test so that the right person takes it.</t>
        </is>
      </c>
      <c r="N1426" s="5" t="inlineStr">
        <is>
          <t>• Given consent, when the candidate enrols, then a liveness-checked selfie is stored.
• Given the test runs, when re-verification happens, then a mismatch voter decides on a flag and the configured action.
• Given a failed face detection, when it happens, then the candidate is routed to manual review, not failed.</t>
        </is>
      </c>
      <c r="O1426" s="5" t="inlineStr"/>
      <c r="P1426" t="inlineStr">
        <is>
          <t>T04 §2</t>
        </is>
      </c>
      <c r="Q1426" t="inlineStr"/>
      <c r="R1426" s="5" t="inlineStr">
        <is>
          <t>apps/exam-runtime/src/face/mismatch-voter.ts · apps/exam-runtime/src/face/face-verification.service.ts · commit eda3c179</t>
        </is>
      </c>
    </row>
    <row r="1427">
      <c r="A1427" t="inlineStr">
        <is>
          <t>US-E-080</t>
        </is>
      </c>
      <c r="B1427" t="n">
        <v>1700</v>
      </c>
      <c r="C1427" t="inlineStr">
        <is>
          <t>Story</t>
        </is>
      </c>
      <c r="D1427" s="5" t="inlineStr">
        <is>
          <t xml:space="preserve">        Browser detections and Safe Exam Browser support</t>
        </is>
      </c>
      <c r="E1427" t="inlineStr">
        <is>
          <t>Assessments &amp; proctoring</t>
        </is>
      </c>
      <c r="F1427" t="inlineStr">
        <is>
          <t>Existing exam-app assessment engine kept as the base</t>
        </is>
      </c>
      <c r="G1427" t="inlineStr">
        <is>
          <t>Done</t>
        </is>
      </c>
      <c r="I1427">
        <f>IF(H1427&lt;&gt;"",H1427,G1427)</f>
        <v/>
      </c>
      <c r="J1427" t="inlineStr">
        <is>
          <t>Exam app (existing)</t>
        </is>
      </c>
      <c r="K1427" t="n">
        <v>3</v>
      </c>
      <c r="L1427" t="n">
        <v>1</v>
      </c>
      <c r="M1427" s="5" t="inlineStr">
        <is>
          <t>As a proctor, I want tab switch, fullscreen exit, devtools and multi-monitor detected so that cheating is flagged.</t>
        </is>
      </c>
      <c r="N1427" s="5" t="inlineStr">
        <is>
          <t>• Given proctoring is on, when the candidate switches tab or leaves fullscreen, then an event with severity is logged.
• Given Safe Exam Browser is required, when the ConfigKey does not match, then the start is refused.
• Given an allowed IP range, when the candidate is outside it, then the start is refused.</t>
        </is>
      </c>
      <c r="O1427" s="5" t="inlineStr"/>
      <c r="P1427" t="inlineStr">
        <is>
          <t>T04 §2, T08 §2</t>
        </is>
      </c>
      <c r="Q1427" t="inlineStr"/>
      <c r="R1427" s="5" t="inlineStr">
        <is>
          <t>apps/exam-runtime/src/attempts/proctoring-config.ts · apps/exam-runtime/src/attempts/attempt.service.ts</t>
        </is>
      </c>
    </row>
    <row r="1428">
      <c r="A1428" t="inlineStr">
        <is>
          <t>US-E-081</t>
        </is>
      </c>
      <c r="B1428" t="n">
        <v>1700</v>
      </c>
      <c r="C1428" t="inlineStr">
        <is>
          <t>Story</t>
        </is>
      </c>
      <c r="D1428" s="5" t="inlineStr">
        <is>
          <t xml:space="preserve">        Live monitoring dashboard with chat, force-submit and unblock</t>
        </is>
      </c>
      <c r="E1428" t="inlineStr">
        <is>
          <t>Assessments &amp; proctoring</t>
        </is>
      </c>
      <c r="F1428" t="inlineStr">
        <is>
          <t>Existing exam-app assessment engine kept as the base</t>
        </is>
      </c>
      <c r="G1428" t="inlineStr">
        <is>
          <t>Done</t>
        </is>
      </c>
      <c r="I1428">
        <f>IF(H1428&lt;&gt;"",H1428,G1428)</f>
        <v/>
      </c>
      <c r="J1428" t="inlineStr">
        <is>
          <t>Exam app (existing)</t>
        </is>
      </c>
      <c r="K1428" t="n">
        <v>3</v>
      </c>
      <c r="L1428" t="n">
        <v>1</v>
      </c>
      <c r="M1428" s="5" t="inlineStr">
        <is>
          <t>As a proctor, I want a live dashboard so that I can watch and act on attempts in real time.</t>
        </is>
      </c>
      <c r="N1428" s="5" t="inlineStr">
        <is>
          <t>• Given live attempts, when I open the dashboard, then status updates arrive over WebSocket.
• Given a candidate, when I send a chat message, then they see it in the runner.
• Given a blocked attempt, when I unblock or force-submit, then the action is applied and logged.</t>
        </is>
      </c>
      <c r="O1428" s="5" t="inlineStr"/>
      <c r="P1428" t="inlineStr">
        <is>
          <t>T04 §2</t>
        </is>
      </c>
      <c r="Q1428" t="inlineStr"/>
      <c r="R1428" s="5" t="inlineStr">
        <is>
          <t>apps/exam-runtime/src/monitoring/monitoring.gateway.ts</t>
        </is>
      </c>
    </row>
    <row r="1429">
      <c r="A1429" t="inlineStr">
        <is>
          <t>US-E-082</t>
        </is>
      </c>
      <c r="B1429" t="n">
        <v>1700</v>
      </c>
      <c r="C1429" t="inlineStr">
        <is>
          <t>Story</t>
        </is>
      </c>
      <c r="D1429" s="5" t="inlineStr">
        <is>
          <t xml:space="preserve">        Weighted integrity flags, typing / paste analysis and code similarity</t>
        </is>
      </c>
      <c r="E1429" t="inlineStr">
        <is>
          <t>Assessments &amp; proctoring</t>
        </is>
      </c>
      <c r="F1429" t="inlineStr">
        <is>
          <t>Existing exam-app assessment engine kept as the base</t>
        </is>
      </c>
      <c r="G1429" t="inlineStr">
        <is>
          <t>Done</t>
        </is>
      </c>
      <c r="I1429">
        <f>IF(H1429&lt;&gt;"",H1429,G1429)</f>
        <v/>
      </c>
      <c r="J1429" t="inlineStr">
        <is>
          <t>Exam app (existing)</t>
        </is>
      </c>
      <c r="K1429" t="n">
        <v>3</v>
      </c>
      <c r="L1429" t="n">
        <v>1</v>
      </c>
      <c r="M1429" s="5" t="inlineStr">
        <is>
          <t>As a reviewer, I want flags combined into a level and code compared across attempts so that I review the right attempts.</t>
        </is>
      </c>
      <c r="N1429" s="5" t="inlineStr">
        <is>
          <t>• Given proctoring events, when analysed, then the attempt gets clear / review / high concern with reasons.
• Given typing and paste data, when analysed, then paste bursts are flagged.
• Given code answers, when compared, then 5-gram Jaccard similarity across attempts is shown.</t>
        </is>
      </c>
      <c r="O1429" s="5" t="inlineStr"/>
      <c r="P1429" t="inlineStr">
        <is>
          <t>T04 §2, T05 §2</t>
        </is>
      </c>
      <c r="Q1429" t="inlineStr"/>
      <c r="R1429" s="5" t="inlineStr">
        <is>
          <t>apps/exam-runtime/src/integrity/integrity-rules.ts · apps/exam-runtime/src/integrity/similarity.ts (commit dbd43906)</t>
        </is>
      </c>
    </row>
    <row r="1430">
      <c r="A1430" t="inlineStr">
        <is>
          <t>US-E-083</t>
        </is>
      </c>
      <c r="B1430" t="n">
        <v>1700</v>
      </c>
      <c r="C1430" t="inlineStr">
        <is>
          <t>Story</t>
        </is>
      </c>
      <c r="D1430" s="5" t="inlineStr">
        <is>
          <t xml:space="preserve">        Certificates with templates, PDF and public verify page</t>
        </is>
      </c>
      <c r="E1430" t="inlineStr">
        <is>
          <t>Assessments &amp; proctoring</t>
        </is>
      </c>
      <c r="F1430" t="inlineStr">
        <is>
          <t>Existing exam-app assessment engine kept as the base</t>
        </is>
      </c>
      <c r="G1430" t="inlineStr">
        <is>
          <t>Done</t>
        </is>
      </c>
      <c r="I1430">
        <f>IF(H1430&lt;&gt;"",H1430,G1430)</f>
        <v/>
      </c>
      <c r="J1430" t="inlineStr">
        <is>
          <t>Exam app (existing)</t>
        </is>
      </c>
      <c r="K1430" t="n">
        <v>2</v>
      </c>
      <c r="L1430" t="n">
        <v>1</v>
      </c>
      <c r="M1430" s="5" t="inlineStr">
        <is>
          <t>As a candidate, I want a certificate I can share and others can verify so that my result is trusted.</t>
        </is>
      </c>
      <c r="N1430" s="5" t="inlineStr">
        <is>
          <t>• Given a passed attempt on a certificate test, when released, then a PDF certificate is made from the template.
• Given the verify link, when anyone opens it, then the certificate details are shown.
• Given a disabled template, when an attempt passes, then no certificate is made.</t>
        </is>
      </c>
      <c r="O1430" s="5" t="inlineStr"/>
      <c r="P1430" t="inlineStr">
        <is>
          <t>T05 §2</t>
        </is>
      </c>
      <c r="Q1430" t="inlineStr"/>
      <c r="R1430" s="5" t="inlineStr">
        <is>
          <t>apps/api/src/certificates · apps/web/app/verify/[id]</t>
        </is>
      </c>
    </row>
    <row r="1431">
      <c r="A1431" t="inlineStr">
        <is>
          <t>US-E-084</t>
        </is>
      </c>
      <c r="B1431" t="n">
        <v>1700</v>
      </c>
      <c r="C1431" t="inlineStr">
        <is>
          <t>Story</t>
        </is>
      </c>
      <c r="D1431" s="5" t="inlineStr">
        <is>
          <t xml:space="preserve">        Nightly retention sweeps for proctoring and face data</t>
        </is>
      </c>
      <c r="E1431" t="inlineStr">
        <is>
          <t>Assessments &amp; proctoring</t>
        </is>
      </c>
      <c r="F1431" t="inlineStr">
        <is>
          <t>Existing exam-app assessment engine kept as the base</t>
        </is>
      </c>
      <c r="G1431" t="inlineStr">
        <is>
          <t>Done</t>
        </is>
      </c>
      <c r="I1431">
        <f>IF(H1431&lt;&gt;"",H1431,G1431)</f>
        <v/>
      </c>
      <c r="J1431" t="inlineStr">
        <is>
          <t>Exam app (existing)</t>
        </is>
      </c>
      <c r="K1431" t="n">
        <v>2</v>
      </c>
      <c r="L1431" t="n">
        <v>1</v>
      </c>
      <c r="M1431" s="5" t="inlineStr">
        <is>
          <t>As a DPO, I want proctoring evidence and face data deleted after retention so that we keep data only as long as needed.</t>
        </is>
      </c>
      <c r="N1431" s="5" t="inlineStr">
        <is>
          <t>• Given proctoring evidence older than the retention period, when the nightly sweep runs, then it is deleted.
• Given face enrolment data, when its retention ends, then it is deleted.
• Given a sweep, when it runs, then it is recorded in system events.</t>
        </is>
      </c>
      <c r="O1431" s="5" t="inlineStr"/>
      <c r="P1431" t="inlineStr">
        <is>
          <t>T05 §2</t>
        </is>
      </c>
      <c r="Q1431" t="inlineStr"/>
      <c r="R1431" s="5" t="inlineStr">
        <is>
          <t>apps/api/src/proctoring-retention · apps/api/src/face-enrolment/face-retention.service.ts</t>
        </is>
      </c>
    </row>
    <row r="1432">
      <c r="A1432" s="9" t="inlineStr">
        <is>
          <t>FT-E-12</t>
        </is>
      </c>
      <c r="B1432" s="9" t="n">
        <v>1710</v>
      </c>
      <c r="C1432" s="9" t="inlineStr">
        <is>
          <t>Feature</t>
        </is>
      </c>
      <c r="D1432" s="10" t="inlineStr">
        <is>
          <t xml:space="preserve">    Question bank and content</t>
        </is>
      </c>
      <c r="E1432" s="9" t="inlineStr">
        <is>
          <t>Assessments &amp; proctoring</t>
        </is>
      </c>
      <c r="F1432" s="9" t="inlineStr">
        <is>
          <t>Question bank and content</t>
        </is>
      </c>
      <c r="G1432" s="9" t="inlineStr">
        <is>
          <t>New</t>
        </is>
      </c>
      <c r="H1432" s="9" t="n"/>
      <c r="I1432" s="9">
        <f>IF(H1432&lt;&gt;"",H1432,G1432)</f>
        <v/>
      </c>
      <c r="J1432" s="9" t="inlineStr">
        <is>
          <t>Proctoring track · phase 1</t>
        </is>
      </c>
      <c r="K1432" s="9" t="n"/>
      <c r="L1432" s="9" t="n"/>
      <c r="M1432" s="10" t="inlineStr"/>
      <c r="N1432" s="10" t="inlineStr"/>
      <c r="O1432" s="10" t="inlineStr">
        <is>
          <t>YX-QB-01, YX-QB-02, YX-QB-03, YX-QB-04, YX-QB-05, YX-QB-06, YX-QB-07, YX-QB-08, YX-QB-09, YX-QB-10, YX-QB-11, YX-QB-12, YX-QB-13, YX-QB-14, YX-QB-15, YX-QB-16, YX-QB-17</t>
        </is>
      </c>
      <c r="P1432" s="9" t="inlineStr">
        <is>
          <t>T01</t>
        </is>
      </c>
      <c r="Q1432" s="9" t="inlineStr"/>
      <c r="R1432" s="10" t="inlineStr"/>
      <c r="S1432" s="9" t="n"/>
    </row>
    <row r="1433">
      <c r="A1433" t="inlineStr">
        <is>
          <t>US-E-085</t>
        </is>
      </c>
      <c r="B1433" t="n">
        <v>1710</v>
      </c>
      <c r="C1433" t="inlineStr">
        <is>
          <t>Story</t>
        </is>
      </c>
      <c r="D1433" s="5" t="inlineStr">
        <is>
          <t xml:space="preserve">        Question review workflow: draft, in review, approved, retired</t>
        </is>
      </c>
      <c r="E1433" t="inlineStr">
        <is>
          <t>Assessments &amp; proctoring</t>
        </is>
      </c>
      <c r="F1433" t="inlineStr">
        <is>
          <t>Question bank and content</t>
        </is>
      </c>
      <c r="G1433" t="inlineStr">
        <is>
          <t>New</t>
        </is>
      </c>
      <c r="I1433">
        <f>IF(H1433&lt;&gt;"",H1433,G1433)</f>
        <v/>
      </c>
      <c r="J1433" t="inlineStr">
        <is>
          <t>Proctoring track · phase 1</t>
        </is>
      </c>
      <c r="K1433" t="n">
        <v>5</v>
      </c>
      <c r="L1433" t="n">
        <v>1</v>
      </c>
      <c r="M1433" s="5" t="inlineStr">
        <is>
          <t>As a reviewer, I want questions approved before use so that only checked content reaches candidates.</t>
        </is>
      </c>
      <c r="N1433" s="5" t="inlineStr">
        <is>
          <t>• Given a draft or in-review question, when a test is published, then it cannot be included; it can only be previewed (YX-QB-01).
• Given a question without a taxonomy skill, when I approve it, then approval is blocked (YX-QB-05).
• Given a retired question, when tests are built, then it is not offered, but past attempts and stats stay intact (YX-QB-06).
• Given review, when routed, then it uses a P03 approval chain.</t>
        </is>
      </c>
      <c r="O1433" s="5" t="inlineStr">
        <is>
          <t>YX-QB-01, YX-QB-05, YX-QB-06</t>
        </is>
      </c>
      <c r="P1433" t="inlineStr">
        <is>
          <t>T01</t>
        </is>
      </c>
      <c r="Q1433" t="inlineStr">
        <is>
          <t>US-E-069</t>
        </is>
      </c>
      <c r="R1433" s="5" t="inlineStr"/>
    </row>
    <row r="1434">
      <c r="A1434" t="inlineStr">
        <is>
          <t>US-E-086</t>
        </is>
      </c>
      <c r="B1434" t="n">
        <v>1710</v>
      </c>
      <c r="C1434" t="inlineStr">
        <is>
          <t>Story</t>
        </is>
      </c>
      <c r="D1434" s="5" t="inlineStr">
        <is>
          <t xml:space="preserve">        Question versions pinned by tests and snapshotted by attempts</t>
        </is>
      </c>
      <c r="E1434" t="inlineStr">
        <is>
          <t>Assessments &amp; proctoring</t>
        </is>
      </c>
      <c r="F1434" t="inlineStr">
        <is>
          <t>Question bank and content</t>
        </is>
      </c>
      <c r="G1434" t="inlineStr">
        <is>
          <t>Active</t>
        </is>
      </c>
      <c r="I1434">
        <f>IF(H1434&lt;&gt;"",H1434,G1434)</f>
        <v/>
      </c>
      <c r="J1434" t="inlineStr">
        <is>
          <t>Proctoring track · phase 1</t>
        </is>
      </c>
      <c r="K1434" t="n">
        <v>5</v>
      </c>
      <c r="L1434" t="n">
        <v>1</v>
      </c>
      <c r="M1434" s="5" t="inlineStr">
        <is>
          <t>As a test owner, I want edits to create new versions so that published tests do not change under candidates.</t>
        </is>
      </c>
      <c r="N1434" s="5" t="inlineStr">
        <is>
          <t>• Given a major change, when saved, then a new version is created (YX-QB-02).
• Given a published test, when a newer version exists, then the test keeps its version until the owner upgrades (YX-QB-02).
• Given an attempt, when served, then it keeps a snapshot of the exact version (YX-QB-02).</t>
        </is>
      </c>
      <c r="O1434" s="5" t="inlineStr">
        <is>
          <t>YX-QB-02</t>
        </is>
      </c>
      <c r="P1434" t="inlineStr">
        <is>
          <t>T01</t>
        </is>
      </c>
      <c r="Q1434" t="inlineStr">
        <is>
          <t>US-E-085</t>
        </is>
      </c>
      <c r="R1434" s="5" t="inlineStr">
        <is>
          <t>Attempt.sectionSnapshotJson (apps/api/prisma/schema.prisma) — attempt snapshots exist; question versions are new</t>
        </is>
      </c>
    </row>
    <row r="1435">
      <c r="A1435" t="inlineStr">
        <is>
          <t>US-E-087</t>
        </is>
      </c>
      <c r="B1435" t="n">
        <v>1710</v>
      </c>
      <c r="C1435" t="inlineStr">
        <is>
          <t>Story</t>
        </is>
      </c>
      <c r="D1435" s="5" t="inlineStr">
        <is>
          <t xml:space="preserve">        Answer-key change offers a re-grade</t>
        </is>
      </c>
      <c r="E1435" t="inlineStr">
        <is>
          <t>Assessments &amp; proctoring</t>
        </is>
      </c>
      <c r="F1435" t="inlineStr">
        <is>
          <t>Question bank and content</t>
        </is>
      </c>
      <c r="G1435" t="inlineStr">
        <is>
          <t>Active</t>
        </is>
      </c>
      <c r="I1435">
        <f>IF(H1435&lt;&gt;"",H1435,G1435)</f>
        <v/>
      </c>
      <c r="J1435" t="inlineStr">
        <is>
          <t>Proctoring track · phase 1</t>
        </is>
      </c>
      <c r="K1435" t="n">
        <v>3</v>
      </c>
      <c r="L1435" t="n">
        <v>1</v>
      </c>
      <c r="M1435" s="5" t="inlineStr">
        <is>
          <t>As a test owner, I want to re-grade affected attempts after a key fix so that scores are right.</t>
        </is>
      </c>
      <c r="N1435" s="5" t="inlineStr">
        <is>
          <t>• Given a key change on a served version, when saved, then a re-grade of affected attempts is offered (YX-QB-03).
• Given a re-grade, when run, then it is audited (YX-QB-03).
• Given released results, when re-graded, then they follow T05 release rules and never change silently (YX-QB-03, YX-TB-12).</t>
        </is>
      </c>
      <c r="O1435" s="5" t="inlineStr">
        <is>
          <t>YX-QB-03</t>
        </is>
      </c>
      <c r="P1435" t="inlineStr">
        <is>
          <t>T01</t>
        </is>
      </c>
      <c r="Q1435" t="inlineStr">
        <is>
          <t>US-E-086</t>
        </is>
      </c>
      <c r="R1435" s="5" t="inlineStr">
        <is>
          <t>Question.answerKeyChangedAt · apps/api/src/analytics/item-analytics.service.ts — key change is tracked; re-grade offer is new</t>
        </is>
      </c>
    </row>
    <row r="1436">
      <c r="A1436" t="inlineStr">
        <is>
          <t>US-E-088</t>
        </is>
      </c>
      <c r="B1436" t="n">
        <v>1710</v>
      </c>
      <c r="C1436" t="inlineStr">
        <is>
          <t>Story</t>
        </is>
      </c>
      <c r="D1436" s="5" t="inlineStr">
        <is>
          <t xml:space="preserve">        Five-level difficulty, separate from marks, with calibrated value</t>
        </is>
      </c>
      <c r="E1436" t="inlineStr">
        <is>
          <t>Assessments &amp; proctoring</t>
        </is>
      </c>
      <c r="F1436" t="inlineStr">
        <is>
          <t>Question bank and content</t>
        </is>
      </c>
      <c r="G1436" t="inlineStr">
        <is>
          <t>New</t>
        </is>
      </c>
      <c r="I1436">
        <f>IF(H1436&lt;&gt;"",H1436,G1436)</f>
        <v/>
      </c>
      <c r="J1436" t="inlineStr">
        <is>
          <t>Proctoring track · phase 1</t>
        </is>
      </c>
      <c r="K1436" t="n">
        <v>2</v>
      </c>
      <c r="L1436" t="n">
        <v>1</v>
      </c>
      <c r="M1436" s="5" t="inlineStr">
        <is>
          <t>As a test author, I want difficulty on a clear scale apart from marks so that blueprints are accurate.</t>
        </is>
      </c>
      <c r="N1436" s="5" t="inlineStr">
        <is>
          <t>• Given a question, when I set difficulty, then I pick from the Q1 five-level scale (YX-QB-04).
• Given marks, when I change them, then difficulty is unchanged (YX-QB-04).
• Given T02 calibration, when it runs, then calibrated difficulty is stored beside the authored value, never over it (YX-QB-04).</t>
        </is>
      </c>
      <c r="O1436" s="5" t="inlineStr">
        <is>
          <t>YX-QB-04</t>
        </is>
      </c>
      <c r="P1436" t="inlineStr">
        <is>
          <t>T01</t>
        </is>
      </c>
      <c r="Q1436" t="inlineStr"/>
      <c r="R1436" s="5" t="inlineStr"/>
    </row>
    <row r="1437">
      <c r="A1437" t="inlineStr">
        <is>
          <t>US-E-089</t>
        </is>
      </c>
      <c r="B1437" t="n">
        <v>1710</v>
      </c>
      <c r="C1437" t="inlineStr">
        <is>
          <t>Story</t>
        </is>
      </c>
      <c r="D1437" s="5" t="inlineStr">
        <is>
          <t xml:space="preserve">        Skill tags from the company skills library</t>
        </is>
      </c>
      <c r="E1437" t="inlineStr">
        <is>
          <t>Assessments &amp; proctoring</t>
        </is>
      </c>
      <c r="F1437" t="inlineStr">
        <is>
          <t>Question bank and content</t>
        </is>
      </c>
      <c r="G1437" t="inlineStr">
        <is>
          <t>New</t>
        </is>
      </c>
      <c r="I1437">
        <f>IF(H1437&lt;&gt;"",H1437,G1437)</f>
        <v/>
      </c>
      <c r="J1437" t="inlineStr">
        <is>
          <t>Proctoring track · phase 1</t>
        </is>
      </c>
      <c r="K1437" t="n">
        <v>3</v>
      </c>
      <c r="L1437" t="n">
        <v>1</v>
      </c>
      <c r="M1437" s="5" t="inlineStr">
        <is>
          <t>As a test author, I want question skills mapped to the company skills library so that results feed performance and learning.</t>
        </is>
      </c>
      <c r="N1437" s="5" t="inlineStr">
        <is>
          <t>• Given a question, when I tag skills, then they come from the M06 skills library (YX-QB-16).
• Given a tenant domain label, when saved, then it maps to exactly one library skill (YX-QB-16).
• Given starter taxonomy tags, when imported, then they map automatically; unmapped tags are listed for fixing (YX-QB-16).</t>
        </is>
      </c>
      <c r="O1437" s="5" t="inlineStr">
        <is>
          <t>YX-QB-16</t>
        </is>
      </c>
      <c r="P1437" t="inlineStr">
        <is>
          <t>T01</t>
        </is>
      </c>
      <c r="Q1437" t="inlineStr">
        <is>
          <t>US-E-085</t>
        </is>
      </c>
      <c r="R1437" s="5" t="inlineStr"/>
    </row>
    <row r="1438">
      <c r="A1438" t="inlineStr">
        <is>
          <t>US-E-090</t>
        </is>
      </c>
      <c r="B1438" t="n">
        <v>1710</v>
      </c>
      <c r="C1438" t="inlineStr">
        <is>
          <t>Story</t>
        </is>
      </c>
      <c r="D1438" s="5" t="inlineStr">
        <is>
          <t xml:space="preserve">        Duplicate question check on save</t>
        </is>
      </c>
      <c r="E1438" t="inlineStr">
        <is>
          <t>Assessments &amp; proctoring</t>
        </is>
      </c>
      <c r="F1438" t="inlineStr">
        <is>
          <t>Question bank and content</t>
        </is>
      </c>
      <c r="G1438" t="inlineStr">
        <is>
          <t>New</t>
        </is>
      </c>
      <c r="I1438">
        <f>IF(H1438&lt;&gt;"",H1438,G1438)</f>
        <v/>
      </c>
      <c r="J1438" t="inlineStr">
        <is>
          <t>Proctoring track · phase 1</t>
        </is>
      </c>
      <c r="K1438" t="n">
        <v>3</v>
      </c>
      <c r="L1438" t="n">
        <v>1</v>
      </c>
      <c r="M1438" s="5" t="inlineStr">
        <is>
          <t>As a reviewer, I want near-duplicate questions found so that the bank stays clean.</t>
        </is>
      </c>
      <c r="N1438" s="5" t="inlineStr">
        <is>
          <t>• Given a question, when saved, then text and embedding similarity are checked against the tenant bank (YX-QB-07).
• Given a near-duplicate above the threshold, when I approve, then I must confirm "not duplicate" first (YX-QB-07).
• Given the check, when it finds matches, then the matches are shown side by side.</t>
        </is>
      </c>
      <c r="O1438" s="5" t="inlineStr">
        <is>
          <t>YX-QB-07</t>
        </is>
      </c>
      <c r="P1438" t="inlineStr">
        <is>
          <t>T01</t>
        </is>
      </c>
      <c r="Q1438" t="inlineStr">
        <is>
          <t>US-E-085</t>
        </is>
      </c>
      <c r="R1438" s="5" t="inlineStr"/>
    </row>
    <row r="1439">
      <c r="A1439" t="inlineStr">
        <is>
          <t>US-E-091</t>
        </is>
      </c>
      <c r="B1439" t="n">
        <v>1710</v>
      </c>
      <c r="C1439" t="inlineStr">
        <is>
          <t>Story</t>
        </is>
      </c>
      <c r="D1439" s="5" t="inlineStr">
        <is>
          <t xml:space="preserve">        Question translations</t>
        </is>
      </c>
      <c r="E1439" t="inlineStr">
        <is>
          <t>Assessments &amp; proctoring</t>
        </is>
      </c>
      <c r="F1439" t="inlineStr">
        <is>
          <t>Question bank and content</t>
        </is>
      </c>
      <c r="G1439" t="inlineStr">
        <is>
          <t>New</t>
        </is>
      </c>
      <c r="I1439">
        <f>IF(H1439&lt;&gt;"",H1439,G1439)</f>
        <v/>
      </c>
      <c r="J1439" t="inlineStr">
        <is>
          <t>Proctoring track · phase 1</t>
        </is>
      </c>
      <c r="K1439" t="n">
        <v>5</v>
      </c>
      <c r="L1439" t="n">
        <v>2</v>
      </c>
      <c r="M1439" s="5" t="inlineStr">
        <is>
          <t>As a candidate, I want to take a test in my language so that language is not a barrier.</t>
        </is>
      </c>
      <c r="N1439" s="5" t="inlineStr">
        <is>
          <t>• Given a translation, when it is not approved, then it is never served (YX-QB-08).
• Given I choose a language, when I start, then it applies to the whole attempt (YX-QB-08).
• Given translations, when served, then code, formulas and option order stay the same as the source (YX-QB-08).</t>
        </is>
      </c>
      <c r="O1439" s="5" t="inlineStr">
        <is>
          <t>YX-QB-08</t>
        </is>
      </c>
      <c r="P1439" t="inlineStr">
        <is>
          <t>T01</t>
        </is>
      </c>
      <c r="Q1439" t="inlineStr">
        <is>
          <t>US-E-086</t>
        </is>
      </c>
      <c r="R1439" s="5" t="inlineStr"/>
    </row>
    <row r="1440">
      <c r="A1440" t="inlineStr">
        <is>
          <t>US-E-092</t>
        </is>
      </c>
      <c r="B1440" t="n">
        <v>1710</v>
      </c>
      <c r="C1440" t="inlineStr">
        <is>
          <t>Story</t>
        </is>
      </c>
      <c r="D1440" s="5" t="inlineStr">
        <is>
          <t xml:space="preserve">        Answer keys and hidden tests never reach the browser</t>
        </is>
      </c>
      <c r="E1440" t="inlineStr">
        <is>
          <t>Assessments &amp; proctoring</t>
        </is>
      </c>
      <c r="F1440" t="inlineStr">
        <is>
          <t>Question bank and content</t>
        </is>
      </c>
      <c r="G1440" t="inlineStr">
        <is>
          <t>New</t>
        </is>
      </c>
      <c r="I1440">
        <f>IF(H1440&lt;&gt;"",H1440,G1440)</f>
        <v/>
      </c>
      <c r="J1440" t="inlineStr">
        <is>
          <t>Proctoring track · phase 1</t>
        </is>
      </c>
      <c r="K1440" t="n">
        <v>2</v>
      </c>
      <c r="L1440" t="n">
        <v>1</v>
      </c>
      <c r="M1440" s="5" t="inlineStr">
        <is>
          <t>As a security owner, I want keys kept on the server so that candidates cannot read answers.</t>
        </is>
      </c>
      <c r="N1440" s="5" t="inlineStr">
        <is>
          <t>• Given an attempt in progress, when the runtime sends a question, then no answer key, test case or model answer is included (YX-QB-09).
• Given an automated test, when it inspects runtime responses, then it fails on any key field.
• Given submission, when results are released, then model answers may be shown per release settings.</t>
        </is>
      </c>
      <c r="O1440" s="5" t="inlineStr">
        <is>
          <t>YX-QB-09</t>
        </is>
      </c>
      <c r="P1440" t="inlineStr">
        <is>
          <t>T01</t>
        </is>
      </c>
      <c r="Q1440" t="inlineStr">
        <is>
          <t>US-E-073</t>
        </is>
      </c>
      <c r="R1440" s="5" t="inlineStr"/>
    </row>
    <row r="1441">
      <c r="A1441" t="inlineStr">
        <is>
          <t>US-E-093</t>
        </is>
      </c>
      <c r="B1441" t="n">
        <v>1710</v>
      </c>
      <c r="C1441" t="inlineStr">
        <is>
          <t>Story</t>
        </is>
      </c>
      <c r="D1441" s="5" t="inlineStr">
        <is>
          <t xml:space="preserve">        AI-generated questions are labelled and start as drafts</t>
        </is>
      </c>
      <c r="E1441" t="inlineStr">
        <is>
          <t>Assessments &amp; proctoring</t>
        </is>
      </c>
      <c r="F1441" t="inlineStr">
        <is>
          <t>Question bank and content</t>
        </is>
      </c>
      <c r="G1441" t="inlineStr">
        <is>
          <t>Active</t>
        </is>
      </c>
      <c r="I1441">
        <f>IF(H1441&lt;&gt;"",H1441,G1441)</f>
        <v/>
      </c>
      <c r="J1441" t="inlineStr">
        <is>
          <t>Proctoring track · phase 1</t>
        </is>
      </c>
      <c r="K1441" t="n">
        <v>2</v>
      </c>
      <c r="L1441" t="n">
        <v>1</v>
      </c>
      <c r="M1441" s="5" t="inlineStr">
        <is>
          <t>As a reviewer, I want AI questions labelled and reviewed so that they meet the same bar.</t>
        </is>
      </c>
      <c r="N1441" s="5" t="inlineStr">
        <is>
          <t>• Given an AI-generated question, when created, then it is labelled with its source (YX-QB-10).
• Given an AI-generated question, when created, then it is a draft (YX-QB-10).
• Given an AI draft, when approved, then it passed the same review as any question (YX-QB-10).</t>
        </is>
      </c>
      <c r="O1441" s="5" t="inlineStr">
        <is>
          <t>YX-QB-10</t>
        </is>
      </c>
      <c r="P1441" t="inlineStr">
        <is>
          <t>T01</t>
        </is>
      </c>
      <c r="Q1441" t="inlineStr">
        <is>
          <t>US-E-085</t>
        </is>
      </c>
      <c r="R1441" s="5" t="inlineStr">
        <is>
          <t>Question.aiGenerated, aiJobId · apps/api/src/ai/question-ai.service.ts — label exists; draft + review gate is new</t>
        </is>
      </c>
    </row>
    <row r="1442">
      <c r="A1442" t="inlineStr">
        <is>
          <t>US-E-094</t>
        </is>
      </c>
      <c r="B1442" t="n">
        <v>1710</v>
      </c>
      <c r="C1442" t="inlineStr">
        <is>
          <t>Story</t>
        </is>
      </c>
      <c r="D1442" s="5" t="inlineStr">
        <is>
          <t xml:space="preserve">        Rich media questions with alt text and transcripts</t>
        </is>
      </c>
      <c r="E1442" t="inlineStr">
        <is>
          <t>Assessments &amp; proctoring</t>
        </is>
      </c>
      <c r="F1442" t="inlineStr">
        <is>
          <t>Question bank and content</t>
        </is>
      </c>
      <c r="G1442" t="inlineStr">
        <is>
          <t>New</t>
        </is>
      </c>
      <c r="I1442">
        <f>IF(H1442&lt;&gt;"",H1442,G1442)</f>
        <v/>
      </c>
      <c r="J1442" t="inlineStr">
        <is>
          <t>Proctoring track · phase 1</t>
        </is>
      </c>
      <c r="K1442" t="n">
        <v>3</v>
      </c>
      <c r="L1442" t="n">
        <v>2</v>
      </c>
      <c r="M1442" s="5" t="inlineStr">
        <is>
          <t>As a test author, I want audio, video, LaTeX and attachments in questions so that I can test more skills, accessibly.</t>
        </is>
      </c>
      <c r="N1442" s="5" t="inlineStr">
        <is>
          <t>• Given an image, when I approve the question, then alt text is required (YX-QB-11).
• Given audio or video, when I approve, then captions or a transcript are required (YX-QB-11).
• Given LaTeX, when shown, then it renders with KaTeX.</t>
        </is>
      </c>
      <c r="O1442" s="5" t="inlineStr">
        <is>
          <t>YX-QB-11</t>
        </is>
      </c>
      <c r="P1442" t="inlineStr">
        <is>
          <t>T01</t>
        </is>
      </c>
      <c r="Q1442" t="inlineStr">
        <is>
          <t>US-E-085</t>
        </is>
      </c>
      <c r="R1442" s="5" t="inlineStr"/>
    </row>
    <row r="1443">
      <c r="A1443" t="inlineStr">
        <is>
          <t>US-E-095</t>
        </is>
      </c>
      <c r="B1443" t="n">
        <v>1710</v>
      </c>
      <c r="C1443" t="inlineStr">
        <is>
          <t>Story</t>
        </is>
      </c>
      <c r="D1443" s="5" t="inlineStr">
        <is>
          <t xml:space="preserve">        New item types: video answer, fill-blank, ordering, matching and SQL</t>
        </is>
      </c>
      <c r="E1443" t="inlineStr">
        <is>
          <t>Assessments &amp; proctoring</t>
        </is>
      </c>
      <c r="F1443" t="inlineStr">
        <is>
          <t>Question bank and content</t>
        </is>
      </c>
      <c r="G1443" t="inlineStr">
        <is>
          <t>New</t>
        </is>
      </c>
      <c r="I1443">
        <f>IF(H1443&lt;&gt;"",H1443,G1443)</f>
        <v/>
      </c>
      <c r="J1443" t="inlineStr">
        <is>
          <t>Proctoring track · phase 1</t>
        </is>
      </c>
      <c r="K1443" t="n">
        <v>5</v>
      </c>
      <c r="L1443" t="n">
        <v>2</v>
      </c>
      <c r="M1443" s="5" t="inlineStr">
        <is>
          <t>As a test author, I want more item types so that I can test more skills.</t>
        </is>
      </c>
      <c r="N1443" s="5" t="inlineStr">
        <is>
          <t>• Given each new type, when I create it, then the editor validates its fields.
• Given a candidate, when they answer, then the runner renders the type accessibly.
• Given SQL items, when graded, then they run in the T02 coding sandbox.</t>
        </is>
      </c>
      <c r="O1443" s="5" t="inlineStr"/>
      <c r="P1443" t="inlineStr">
        <is>
          <t>T01</t>
        </is>
      </c>
      <c r="Q1443" t="inlineStr">
        <is>
          <t>US-E-086</t>
        </is>
      </c>
      <c r="R1443" s="5" t="inlineStr"/>
    </row>
    <row r="1444">
      <c r="A1444" t="inlineStr">
        <is>
          <t>US-E-096</t>
        </is>
      </c>
      <c r="B1444" t="n">
        <v>1710</v>
      </c>
      <c r="C1444" t="inlineStr">
        <is>
          <t>Story</t>
        </is>
      </c>
      <c r="D1444" s="5" t="inlineStr">
        <is>
          <t xml:space="preserve">        Export questions as CSV, XLSX or QTI 2.1</t>
        </is>
      </c>
      <c r="E1444" t="inlineStr">
        <is>
          <t>Assessments &amp; proctoring</t>
        </is>
      </c>
      <c r="F1444" t="inlineStr">
        <is>
          <t>Question bank and content</t>
        </is>
      </c>
      <c r="G1444" t="inlineStr">
        <is>
          <t>New</t>
        </is>
      </c>
      <c r="I1444">
        <f>IF(H1444&lt;&gt;"",H1444,G1444)</f>
        <v/>
      </c>
      <c r="J1444" t="inlineStr">
        <is>
          <t>Proctoring track · phase 1</t>
        </is>
      </c>
      <c r="K1444" t="n">
        <v>3</v>
      </c>
      <c r="L1444" t="n">
        <v>2</v>
      </c>
      <c r="M1444" s="5" t="inlineStr">
        <is>
          <t>As a test author, I want to export the bank so that our content is portable.</t>
        </is>
      </c>
      <c r="N1444" s="5" t="inlineStr">
        <is>
          <t>• Given an export, when run, then versions, translations, skills and media references are included (YX-QB-12).
• Given QTI 2.1, when chosen, then the file validates against QTI (YX-QB-12).
• Given I lack the answer-key permission, when I export, then keys are left out (YX-QB-12).</t>
        </is>
      </c>
      <c r="O1444" s="5" t="inlineStr">
        <is>
          <t>YX-QB-12</t>
        </is>
      </c>
      <c r="P1444" t="inlineStr">
        <is>
          <t>T01</t>
        </is>
      </c>
      <c r="Q1444" t="inlineStr">
        <is>
          <t>US-E-086</t>
        </is>
      </c>
      <c r="R1444" s="5" t="inlineStr"/>
    </row>
    <row r="1445">
      <c r="A1445" t="inlineStr">
        <is>
          <t>US-E-097</t>
        </is>
      </c>
      <c r="B1445" t="n">
        <v>1710</v>
      </c>
      <c r="C1445" t="inlineStr">
        <is>
          <t>Story</t>
        </is>
      </c>
      <c r="D1445" s="5" t="inlineStr">
        <is>
          <t xml:space="preserve">        Job-role profiles for starter tests</t>
        </is>
      </c>
      <c r="E1445" t="inlineStr">
        <is>
          <t>Assessments &amp; proctoring</t>
        </is>
      </c>
      <c r="F1445" t="inlineStr">
        <is>
          <t>Question bank and content</t>
        </is>
      </c>
      <c r="G1445" t="inlineStr">
        <is>
          <t>New</t>
        </is>
      </c>
      <c r="I1445">
        <f>IF(H1445&lt;&gt;"",H1445,G1445)</f>
        <v/>
      </c>
      <c r="J1445" t="inlineStr">
        <is>
          <t>Proctoring track · phase 2</t>
        </is>
      </c>
      <c r="K1445" t="n">
        <v>3</v>
      </c>
      <c r="L1445" t="n">
        <v>2</v>
      </c>
      <c r="M1445" s="5" t="inlineStr">
        <is>
          <t>As a recruiter, I want role profiles that list skills for a job so that I can build a test from a role.</t>
        </is>
      </c>
      <c r="N1445" s="5" t="inlineStr">
        <is>
          <t>• Given a YukthiX starter profile, when I view it, then it is read-only and labelled "YukthiX starter" with a version (YX-QB-13).
• Given I copy it, when I edit, then only my copy changes (YX-QB-13).
• Given a newer starter version, when published, then my copy shows "newer starter version" and nothing changes automatically (YX-QB-13).</t>
        </is>
      </c>
      <c r="O1445" s="5" t="inlineStr">
        <is>
          <t>YX-QB-13</t>
        </is>
      </c>
      <c r="P1445" t="inlineStr">
        <is>
          <t>T01</t>
        </is>
      </c>
      <c r="Q1445" t="inlineStr">
        <is>
          <t>US-E-089</t>
        </is>
      </c>
      <c r="R1445" s="5" t="inlineStr"/>
    </row>
    <row r="1446">
      <c r="A1446" t="inlineStr">
        <is>
          <t>US-E-098</t>
        </is>
      </c>
      <c r="B1446" t="n">
        <v>1710</v>
      </c>
      <c r="C1446" t="inlineStr">
        <is>
          <t>Story</t>
        </is>
      </c>
      <c r="D1446" s="5" t="inlineStr">
        <is>
          <t xml:space="preserve">        Language speaking and writing items with CEFR rubrics</t>
        </is>
      </c>
      <c r="E1446" t="inlineStr">
        <is>
          <t>Assessments &amp; proctoring</t>
        </is>
      </c>
      <c r="F1446" t="inlineStr">
        <is>
          <t>Question bank and content</t>
        </is>
      </c>
      <c r="G1446" t="inlineStr">
        <is>
          <t>New</t>
        </is>
      </c>
      <c r="I1446">
        <f>IF(H1446&lt;&gt;"",H1446,G1446)</f>
        <v/>
      </c>
      <c r="J1446" t="inlineStr">
        <is>
          <t>Proctoring track · phase 2</t>
        </is>
      </c>
      <c r="K1446" t="n">
        <v>5</v>
      </c>
      <c r="L1446" t="n">
        <v>2</v>
      </c>
      <c r="M1446" s="5" t="inlineStr">
        <is>
          <t>As a test author, I want speaking and writing items scored against CEFR so that we test language skill.</t>
        </is>
      </c>
      <c r="N1446" s="5" t="inlineStr">
        <is>
          <t>• Given a speaking or writing item, when I approve it, then a CEFR rubric and target level are required (YX-QB-14).
• Given recordings, when stored, then they stay in-region; only transcripts or text may go to external AI (YX-QB-14).
• Given a target language without validated AI scoring, when set up, then AI scoring is not offered (YX-QB-14).</t>
        </is>
      </c>
      <c r="O1446" s="5" t="inlineStr">
        <is>
          <t>YX-QB-14</t>
        </is>
      </c>
      <c r="P1446" t="inlineStr">
        <is>
          <t>T01</t>
        </is>
      </c>
      <c r="Q1446" t="inlineStr">
        <is>
          <t>US-E-095</t>
        </is>
      </c>
      <c r="R1446" s="5" t="inlineStr"/>
    </row>
    <row r="1447">
      <c r="A1447" t="inlineStr">
        <is>
          <t>US-E-099</t>
        </is>
      </c>
      <c r="B1447" t="n">
        <v>1710</v>
      </c>
      <c r="C1447" t="inlineStr">
        <is>
          <t>Story</t>
        </is>
      </c>
      <c r="D1447" s="5" t="inlineStr">
        <is>
          <t xml:space="preserve">        Typing test items</t>
        </is>
      </c>
      <c r="E1447" t="inlineStr">
        <is>
          <t>Assessments &amp; proctoring</t>
        </is>
      </c>
      <c r="F1447" t="inlineStr">
        <is>
          <t>Question bank and content</t>
        </is>
      </c>
      <c r="G1447" t="inlineStr">
        <is>
          <t>New</t>
        </is>
      </c>
      <c r="I1447">
        <f>IF(H1447&lt;&gt;"",H1447,G1447)</f>
        <v/>
      </c>
      <c r="J1447" t="inlineStr">
        <is>
          <t>Proctoring track · phase 2</t>
        </is>
      </c>
      <c r="K1447" t="n">
        <v>3</v>
      </c>
      <c r="L1447" t="n">
        <v>2</v>
      </c>
      <c r="M1447" s="5" t="inlineStr">
        <is>
          <t>As a recruiter, I want typing tests so that I can hire for data-entry roles.</t>
        </is>
      </c>
      <c r="N1447" s="5" t="inlineStr">
        <is>
          <t>• Given a typing passage, when shown, then it cannot be copied into the answer (paste off, text not selectable) (YX-QB-15).
• Given typing, when it happens, then per-keystroke timings are captured only for scoring and integrity (YX-QB-15).
• Given keystroke dynamics is enabled, when data is kept, then biometric-class retention applies (YX-QB-15).</t>
        </is>
      </c>
      <c r="O1447" s="5" t="inlineStr">
        <is>
          <t>YX-QB-15</t>
        </is>
      </c>
      <c r="P1447" t="inlineStr">
        <is>
          <t>T01</t>
        </is>
      </c>
      <c r="Q1447" t="inlineStr">
        <is>
          <t>US-E-095</t>
        </is>
      </c>
      <c r="R1447" s="5" t="inlineStr"/>
    </row>
    <row r="1448">
      <c r="A1448" t="inlineStr">
        <is>
          <t>US-E-100</t>
        </is>
      </c>
      <c r="B1448" t="n">
        <v>1710</v>
      </c>
      <c r="C1448" t="inlineStr">
        <is>
          <t>Story</t>
        </is>
      </c>
      <c r="D1448" s="5" t="inlineStr">
        <is>
          <t xml:space="preserve">        Simulation and AI role-play items</t>
        </is>
      </c>
      <c r="E1448" t="inlineStr">
        <is>
          <t>Assessments &amp; proctoring</t>
        </is>
      </c>
      <c r="F1448" t="inlineStr">
        <is>
          <t>Question bank and content</t>
        </is>
      </c>
      <c r="G1448" t="inlineStr">
        <is>
          <t>New</t>
        </is>
      </c>
      <c r="I1448">
        <f>IF(H1448&lt;&gt;"",H1448,G1448)</f>
        <v/>
      </c>
      <c r="J1448" t="inlineStr">
        <is>
          <t>Proctoring track · phase 2</t>
        </is>
      </c>
      <c r="K1448" t="n">
        <v>5</v>
      </c>
      <c r="L1448" t="n">
        <v>3</v>
      </c>
      <c r="M1448" s="5" t="inlineStr">
        <is>
          <t>As a test author, I want in-tray, chat / email simulation and AI role-play items so that I test real job tasks.</t>
        </is>
      </c>
      <c r="N1448" s="5" t="inlineStr">
        <is>
          <t>• Given an in_tray, sim_chat_email or ai_role_play item, when I approve it, then a rubric with criteria, levels and anchors is required (YX-QB-17).
• Given a role-play, when I approve it, then a human-reviewed persona script with topics, max turns and ending conditions is required (YX-QB-17).
• Given the AI persona, when it runs, then it sees only the script and the conversation (YX-QB-17).</t>
        </is>
      </c>
      <c r="O1448" s="5" t="inlineStr">
        <is>
          <t>YX-QB-17</t>
        </is>
      </c>
      <c r="P1448" t="inlineStr">
        <is>
          <t>T01</t>
        </is>
      </c>
      <c r="Q1448" t="inlineStr">
        <is>
          <t>US-E-095</t>
        </is>
      </c>
      <c r="R1448" s="5" t="inlineStr"/>
    </row>
    <row r="1449">
      <c r="A1449" s="9" t="inlineStr">
        <is>
          <t>FT-E-13</t>
        </is>
      </c>
      <c r="B1449" s="9" t="n">
        <v>1730</v>
      </c>
      <c r="C1449" s="9" t="inlineStr">
        <is>
          <t>Feature</t>
        </is>
      </c>
      <c r="D1449" s="10" t="inlineStr">
        <is>
          <t xml:space="preserve">    Test builder, adaptive testing and scoring</t>
        </is>
      </c>
      <c r="E1449" s="9" t="inlineStr">
        <is>
          <t>Assessments &amp; proctoring</t>
        </is>
      </c>
      <c r="F1449" s="9" t="inlineStr">
        <is>
          <t>Test builder, adaptive testing and scoring</t>
        </is>
      </c>
      <c r="G1449" s="9" t="inlineStr">
        <is>
          <t>New</t>
        </is>
      </c>
      <c r="H1449" s="9" t="n"/>
      <c r="I1449" s="9">
        <f>IF(H1449&lt;&gt;"",H1449,G1449)</f>
        <v/>
      </c>
      <c r="J1449" s="9" t="inlineStr">
        <is>
          <t>Proctoring track · phase 1</t>
        </is>
      </c>
      <c r="K1449" s="9" t="n"/>
      <c r="L1449" s="9" t="n"/>
      <c r="M1449" s="10" t="inlineStr"/>
      <c r="N1449" s="10" t="inlineStr"/>
      <c r="O1449" s="10" t="inlineStr">
        <is>
          <t>YX-EVAL-26, YX-TB-01, YX-TB-02, YX-TB-03, YX-TB-04, YX-TB-05, YX-TB-06, YX-TB-07, YX-TB-08, YX-TB-09, YX-TB-10, YX-TB-11, YX-TB-12, YX-TB-13, YX-TB-14, YX-TB-15, YX-TB-16, YX-TB-17, YX-TB-18, YX-TB-19</t>
        </is>
      </c>
      <c r="P1449" s="9" t="inlineStr">
        <is>
          <t>T02</t>
        </is>
      </c>
      <c r="Q1449" s="9" t="inlineStr"/>
      <c r="R1449" s="10" t="inlineStr"/>
      <c r="S1449" s="9" t="n"/>
    </row>
    <row r="1450">
      <c r="A1450" t="inlineStr">
        <is>
          <t>US-E-101</t>
        </is>
      </c>
      <c r="B1450" t="n">
        <v>1730</v>
      </c>
      <c r="C1450" t="inlineStr">
        <is>
          <t>Story</t>
        </is>
      </c>
      <c r="D1450" s="5" t="inlineStr">
        <is>
          <t xml:space="preserve">        Publish gate and immutable test versions</t>
        </is>
      </c>
      <c r="E1450" t="inlineStr">
        <is>
          <t>Assessments &amp; proctoring</t>
        </is>
      </c>
      <c r="F1450" t="inlineStr">
        <is>
          <t>Test builder, adaptive testing and scoring</t>
        </is>
      </c>
      <c r="G1450" t="inlineStr">
        <is>
          <t>New</t>
        </is>
      </c>
      <c r="I1450">
        <f>IF(H1450&lt;&gt;"",H1450,G1450)</f>
        <v/>
      </c>
      <c r="J1450" t="inlineStr">
        <is>
          <t>Proctoring track · phase 1</t>
        </is>
      </c>
      <c r="K1450" t="n">
        <v>5</v>
      </c>
      <c r="L1450" t="n">
        <v>1</v>
      </c>
      <c r="M1450" s="5" t="inlineStr">
        <is>
          <t>As a test owner, I want publishing to check the test and lock a version so that candidates get a valid, stable test.</t>
        </is>
      </c>
      <c r="N1450" s="5" t="inlineStr">
        <is>
          <t>• Given a test, when any question version is not approved, then publish is blocked (YX-TB-01).
• Given section weights not totalling 100 % or a blueprint cell below pool depth, when I publish, then it is blocked (YX-TB-01).
• Given a published test, when I edit it, then a new draft version is created (YX-TB-02).
• Given invited candidates, when a new version publishes, then they keep their version unless an admin migrates them before start (YX-TB-02).</t>
        </is>
      </c>
      <c r="O1450" s="5" t="inlineStr">
        <is>
          <t>YX-TB-01, YX-TB-02</t>
        </is>
      </c>
      <c r="P1450" t="inlineStr">
        <is>
          <t>T02</t>
        </is>
      </c>
      <c r="Q1450" t="inlineStr">
        <is>
          <t>US-E-086, US-E-072</t>
        </is>
      </c>
      <c r="R1450" s="5" t="inlineStr"/>
    </row>
    <row r="1451">
      <c r="A1451" t="inlineStr">
        <is>
          <t>US-E-102</t>
        </is>
      </c>
      <c r="B1451" t="n">
        <v>1730</v>
      </c>
      <c r="C1451" t="inlineStr">
        <is>
          <t>Story</t>
        </is>
      </c>
      <c r="D1451" s="5" t="inlineStr">
        <is>
          <t xml:space="preserve">        Blueprint draws that are seeded and reproducible</t>
        </is>
      </c>
      <c r="E1451" t="inlineStr">
        <is>
          <t>Assessments &amp; proctoring</t>
        </is>
      </c>
      <c r="F1451" t="inlineStr">
        <is>
          <t>Test builder, adaptive testing and scoring</t>
        </is>
      </c>
      <c r="G1451" t="inlineStr">
        <is>
          <t>Active</t>
        </is>
      </c>
      <c r="I1451">
        <f>IF(H1451&lt;&gt;"",H1451,G1451)</f>
        <v/>
      </c>
      <c r="J1451" t="inlineStr">
        <is>
          <t>Proctoring track · phase 1</t>
        </is>
      </c>
      <c r="K1451" t="n">
        <v>3</v>
      </c>
      <c r="L1451" t="n">
        <v>1</v>
      </c>
      <c r="M1451" s="5" t="inlineStr">
        <is>
          <t>As a test owner, I want random draws to match the blueprint exactly so that every form is fair.</t>
        </is>
      </c>
      <c r="N1451" s="5" t="inlineStr">
        <is>
          <t>• Given a blueprint of skill × difficulty counts, when a draw runs, then it matches the counts exactly (YX-TB-03).
• Given a draw, when made, then its seed is stored on the attempt (YX-TB-03).
• Given a stored seed, when re-run, then the same form is produced (YX-TB-03).</t>
        </is>
      </c>
      <c r="O1451" s="5" t="inlineStr">
        <is>
          <t>YX-TB-03</t>
        </is>
      </c>
      <c r="P1451" t="inlineStr">
        <is>
          <t>T02</t>
        </is>
      </c>
      <c r="Q1451" t="inlineStr">
        <is>
          <t>US-E-101</t>
        </is>
      </c>
      <c r="R1451" s="5" t="inlineStr">
        <is>
          <t>apps/exam-runtime/src/attempts/shuffle.ts · ExamSectionPoolTag — pool draws exist; blueprint and stored seed are new</t>
        </is>
      </c>
    </row>
    <row r="1452">
      <c r="A1452" t="inlineStr">
        <is>
          <t>US-E-103</t>
        </is>
      </c>
      <c r="B1452" t="n">
        <v>1730</v>
      </c>
      <c r="C1452" t="inlineStr">
        <is>
          <t>Story</t>
        </is>
      </c>
      <c r="D1452" s="5" t="inlineStr">
        <is>
          <t xml:space="preserve">        Adaptive tests with IRT</t>
        </is>
      </c>
      <c r="E1452" t="inlineStr">
        <is>
          <t>Assessments &amp; proctoring</t>
        </is>
      </c>
      <c r="F1452" t="inlineStr">
        <is>
          <t>Test builder, adaptive testing and scoring</t>
        </is>
      </c>
      <c r="G1452" t="inlineStr">
        <is>
          <t>New</t>
        </is>
      </c>
      <c r="I1452">
        <f>IF(H1452&lt;&gt;"",H1452,G1452)</f>
        <v/>
      </c>
      <c r="J1452" t="inlineStr">
        <is>
          <t>Proctoring track · phase 1</t>
        </is>
      </c>
      <c r="K1452" t="n">
        <v>8</v>
      </c>
      <c r="L1452" t="n">
        <v>1</v>
      </c>
      <c r="M1452" s="5" t="inlineStr">
        <is>
          <t>As a test owner, I want adaptive tests so that each candidate gets a shorter, accurate test.</t>
        </is>
      </c>
      <c r="N1452" s="5" t="inlineStr">
        <is>
          <t>• Given an adaptive test, when it runs, then step, floor / ceiling and termination rules are stored with the attempt (YX-TB-04).
• Given each item, when answered, then the item, answer and estimate are logged for review and appeals (YX-TB-04).
• Given an item below the calibration minimum, when served, then it is an unscored pilot or scored by authored difficulty as configured (YX-TB-08).</t>
        </is>
      </c>
      <c r="O1452" s="5" t="inlineStr">
        <is>
          <t>YX-TB-04, YX-TB-08</t>
        </is>
      </c>
      <c r="P1452" t="inlineStr">
        <is>
          <t>T02</t>
        </is>
      </c>
      <c r="Q1452" t="inlineStr">
        <is>
          <t>US-E-102</t>
        </is>
      </c>
      <c r="R1452" s="5" t="inlineStr"/>
    </row>
    <row r="1453">
      <c r="A1453" t="inlineStr">
        <is>
          <t>US-E-104</t>
        </is>
      </c>
      <c r="B1453" t="n">
        <v>1730</v>
      </c>
      <c r="C1453" t="inlineStr">
        <is>
          <t>Story</t>
        </is>
      </c>
      <c r="D1453" s="5" t="inlineStr">
        <is>
          <t xml:space="preserve">        Scaled score for tests with different forms</t>
        </is>
      </c>
      <c r="E1453" t="inlineStr">
        <is>
          <t>Assessments &amp; proctoring</t>
        </is>
      </c>
      <c r="F1453" t="inlineStr">
        <is>
          <t>Test builder, adaptive testing and scoring</t>
        </is>
      </c>
      <c r="G1453" t="inlineStr">
        <is>
          <t>New</t>
        </is>
      </c>
      <c r="I1453">
        <f>IF(H1453&lt;&gt;"",H1453,G1453)</f>
        <v/>
      </c>
      <c r="J1453" t="inlineStr">
        <is>
          <t>Proctoring track · phase 1</t>
        </is>
      </c>
      <c r="K1453" t="n">
        <v>3</v>
      </c>
      <c r="L1453" t="n">
        <v>1</v>
      </c>
      <c r="M1453" s="5" t="inlineStr">
        <is>
          <t>As a recruiter, I want a comparable scaled score so that candidates on different forms are ranked fairly.</t>
        </is>
      </c>
      <c r="N1453" s="5" t="inlineStr">
        <is>
          <t>• Given an adaptive test or different forms, when scored, then a scaled score is reported (YX-TB-05).
• Given ranking across forms, when shown, then raw totals are never used (YX-TB-05).
• Given the score, when shown, then a skill breakdown is included.</t>
        </is>
      </c>
      <c r="O1453" s="5" t="inlineStr">
        <is>
          <t>YX-TB-05</t>
        </is>
      </c>
      <c r="P1453" t="inlineStr">
        <is>
          <t>T02</t>
        </is>
      </c>
      <c r="Q1453" t="inlineStr">
        <is>
          <t>US-E-103</t>
        </is>
      </c>
      <c r="R1453" s="5" t="inlineStr"/>
    </row>
    <row r="1454">
      <c r="A1454" t="inlineStr">
        <is>
          <t>US-E-105</t>
        </is>
      </c>
      <c r="B1454" t="n">
        <v>1730</v>
      </c>
      <c r="C1454" t="inlineStr">
        <is>
          <t>Story</t>
        </is>
      </c>
      <c r="D1454" s="5" t="inlineStr">
        <is>
          <t xml:space="preserve">        Enforced section timers and forward-only sections</t>
        </is>
      </c>
      <c r="E1454" t="inlineStr">
        <is>
          <t>Assessments &amp; proctoring</t>
        </is>
      </c>
      <c r="F1454" t="inlineStr">
        <is>
          <t>Test builder, adaptive testing and scoring</t>
        </is>
      </c>
      <c r="G1454" t="inlineStr">
        <is>
          <t>New</t>
        </is>
      </c>
      <c r="I1454">
        <f>IF(H1454&lt;&gt;"",H1454,G1454)</f>
        <v/>
      </c>
      <c r="J1454" t="inlineStr">
        <is>
          <t>Proctoring track · phase 1</t>
        </is>
      </c>
      <c r="K1454" t="n">
        <v>3</v>
      </c>
      <c r="L1454" t="n">
        <v>1</v>
      </c>
      <c r="M1454" s="5" t="inlineStr">
        <is>
          <t>As a test owner, I want strict section timing and no going back where needed so that sections are secure.</t>
        </is>
      </c>
      <c r="N1454" s="5" t="inlineStr">
        <is>
          <t>• Given an enforced timer, when it reaches zero, then the section is auto-submitted (YX-TB-06).
• Given an advisory timer, when time is up, then the candidate is only warned (YX-TB-06).
• Given a forward-only section, when the candidate tries to go back, then it is not allowed (YX-TB-06).</t>
        </is>
      </c>
      <c r="O1454" s="5" t="inlineStr">
        <is>
          <t>YX-TB-06</t>
        </is>
      </c>
      <c r="P1454" t="inlineStr">
        <is>
          <t>T02</t>
        </is>
      </c>
      <c r="Q1454" t="inlineStr">
        <is>
          <t>US-E-101</t>
        </is>
      </c>
      <c r="R1454" s="5" t="inlineStr"/>
    </row>
    <row r="1455">
      <c r="A1455" t="inlineStr">
        <is>
          <t>US-E-106</t>
        </is>
      </c>
      <c r="B1455" t="n">
        <v>1730</v>
      </c>
      <c r="C1455" t="inlineStr">
        <is>
          <t>Story</t>
        </is>
      </c>
      <c r="D1455" s="5" t="inlineStr">
        <is>
          <t xml:space="preserve">        Retake policy with a known score rule</t>
        </is>
      </c>
      <c r="E1455" t="inlineStr">
        <is>
          <t>Assessments &amp; proctoring</t>
        </is>
      </c>
      <c r="F1455" t="inlineStr">
        <is>
          <t>Test builder, adaptive testing and scoring</t>
        </is>
      </c>
      <c r="G1455" t="inlineStr">
        <is>
          <t>New</t>
        </is>
      </c>
      <c r="I1455">
        <f>IF(H1455&lt;&gt;"",H1455,G1455)</f>
        <v/>
      </c>
      <c r="J1455" t="inlineStr">
        <is>
          <t>Proctoring track · phase 1</t>
        </is>
      </c>
      <c r="K1455" t="n">
        <v>3</v>
      </c>
      <c r="L1455" t="n">
        <v>1</v>
      </c>
      <c r="M1455" s="5" t="inlineStr">
        <is>
          <t>As a candidate, I want to know the retake rule before I start so that I know which score counts.</t>
        </is>
      </c>
      <c r="N1455" s="5" t="inlineStr">
        <is>
          <t>• Given a retake policy, when a retake is allowed, then fresh questions are drawn where the pool allows (YX-TB-07).
• Given best / latest / average rule, when I start, then the rule is shown to me (YX-TB-07).
• Given no retakes left, when I try, then I cannot start.</t>
        </is>
      </c>
      <c r="O1455" s="5" t="inlineStr">
        <is>
          <t>YX-TB-07</t>
        </is>
      </c>
      <c r="P1455" t="inlineStr">
        <is>
          <t>T02</t>
        </is>
      </c>
      <c r="Q1455" t="inlineStr">
        <is>
          <t>US-E-102</t>
        </is>
      </c>
      <c r="R1455" s="5" t="inlineStr"/>
    </row>
    <row r="1456">
      <c r="A1456" t="inlineStr">
        <is>
          <t>US-E-107</t>
        </is>
      </c>
      <c r="B1456" t="n">
        <v>1730</v>
      </c>
      <c r="C1456" t="inlineStr">
        <is>
          <t>Story</t>
        </is>
      </c>
      <c r="D1456" s="5" t="inlineStr">
        <is>
          <t xml:space="preserve">        Item exposure control</t>
        </is>
      </c>
      <c r="E1456" t="inlineStr">
        <is>
          <t>Assessments &amp; proctoring</t>
        </is>
      </c>
      <c r="F1456" t="inlineStr">
        <is>
          <t>Test builder, adaptive testing and scoring</t>
        </is>
      </c>
      <c r="G1456" t="inlineStr">
        <is>
          <t>New</t>
        </is>
      </c>
      <c r="I1456">
        <f>IF(H1456&lt;&gt;"",H1456,G1456)</f>
        <v/>
      </c>
      <c r="J1456" t="inlineStr">
        <is>
          <t>Proctoring track · phase 1</t>
        </is>
      </c>
      <c r="K1456" t="n">
        <v>3</v>
      </c>
      <c r="L1456" t="n">
        <v>2</v>
      </c>
      <c r="M1456" s="5" t="inlineStr">
        <is>
          <t>As a test owner, I want over-used items skipped so that questions do not leak.</t>
        </is>
      </c>
      <c r="N1456" s="5" t="inlineStr">
        <is>
          <t>• Given an item over the exposure cap, when a draw runs, then it is skipped (YX-TB-09).
• Given an item over the cap, when detected, then it is flagged for rotation (YX-TB-09).
• Given adaptive selection, when it picks items, then exposure control is applied (YX-TB-09).</t>
        </is>
      </c>
      <c r="O1456" s="5" t="inlineStr">
        <is>
          <t>YX-TB-09</t>
        </is>
      </c>
      <c r="P1456" t="inlineStr">
        <is>
          <t>T02</t>
        </is>
      </c>
      <c r="Q1456" t="inlineStr">
        <is>
          <t>US-E-103</t>
        </is>
      </c>
      <c r="R1456" s="5" t="inlineStr"/>
    </row>
    <row r="1457">
      <c r="A1457" t="inlineStr">
        <is>
          <t>US-E-108</t>
        </is>
      </c>
      <c r="B1457" t="n">
        <v>1730</v>
      </c>
      <c r="C1457" t="inlineStr">
        <is>
          <t>Story</t>
        </is>
      </c>
      <c r="D1457" s="5" t="inlineStr">
        <is>
          <t xml:space="preserve">        Coding sandbox limits and full run history</t>
        </is>
      </c>
      <c r="E1457" t="inlineStr">
        <is>
          <t>Assessments &amp; proctoring</t>
        </is>
      </c>
      <c r="F1457" t="inlineStr">
        <is>
          <t>Test builder, adaptive testing and scoring</t>
        </is>
      </c>
      <c r="G1457" t="inlineStr">
        <is>
          <t>Active</t>
        </is>
      </c>
      <c r="I1457">
        <f>IF(H1457&lt;&gt;"",H1457,G1457)</f>
        <v/>
      </c>
      <c r="J1457" t="inlineStr">
        <is>
          <t>Proctoring track · phase 1</t>
        </is>
      </c>
      <c r="K1457" t="n">
        <v>3</v>
      </c>
      <c r="L1457" t="n">
        <v>1</v>
      </c>
      <c r="M1457" s="5" t="inlineStr">
        <is>
          <t>As a security owner, I want each code run limited and kept so that coding tests are safe and reviewable.</t>
        </is>
      </c>
      <c r="N1457" s="5" t="inlineStr">
        <is>
          <t>• Given a code run, when executed, then CPU, memory, wall-clock limits and no network apply (YX-TB-10).
• Given each compile or run, when done, then it is kept as evidence (YX-TB-10).
• Given hidden test cases, when the candidate runs code, then they never reach the browser (YX-TB-10).</t>
        </is>
      </c>
      <c r="O1457" s="5" t="inlineStr">
        <is>
          <t>YX-TB-10</t>
        </is>
      </c>
      <c r="P1457" t="inlineStr">
        <is>
          <t>T02</t>
        </is>
      </c>
      <c r="Q1457" t="inlineStr">
        <is>
          <t>US-E-073</t>
        </is>
      </c>
      <c r="R1457" s="5" t="inlineStr">
        <is>
          <t>apps/exam-runtime/src/code-execution/run-limiter.ts · piston-client.ts — limits and hidden tests exist; full run history and explicit no-network policy are new</t>
        </is>
      </c>
    </row>
    <row r="1458">
      <c r="A1458" t="inlineStr">
        <is>
          <t>US-E-109</t>
        </is>
      </c>
      <c r="B1458" t="n">
        <v>1730</v>
      </c>
      <c r="C1458" t="inlineStr">
        <is>
          <t>Story</t>
        </is>
      </c>
      <c r="D1458" s="5" t="inlineStr">
        <is>
          <t xml:space="preserve">        Test reliability flag</t>
        </is>
      </c>
      <c r="E1458" t="inlineStr">
        <is>
          <t>Assessments &amp; proctoring</t>
        </is>
      </c>
      <c r="F1458" t="inlineStr">
        <is>
          <t>Test builder, adaptive testing and scoring</t>
        </is>
      </c>
      <c r="G1458" t="inlineStr">
        <is>
          <t>New</t>
        </is>
      </c>
      <c r="I1458">
        <f>IF(H1458&lt;&gt;"",H1458,G1458)</f>
        <v/>
      </c>
      <c r="J1458" t="inlineStr">
        <is>
          <t>Proctoring track · phase 1</t>
        </is>
      </c>
      <c r="K1458" t="n">
        <v>2</v>
      </c>
      <c r="L1458" t="n">
        <v>2</v>
      </c>
      <c r="M1458" s="5" t="inlineStr">
        <is>
          <t>As a test owner, I want to know if my test is reliable so that I can improve it.</t>
        </is>
      </c>
      <c r="N1458" s="5" t="inlineStr">
        <is>
          <t>• Given enough attempts, when computed, then Cronbach’s α (fixed / random) or marginal reliability (IRT) is shown (YX-TB-11).
• Given reliability below 0.7, when computed, then the owner is alerted (YX-TB-11).
• Given too few attempts, when viewed, then "not enough data" is shown.</t>
        </is>
      </c>
      <c r="O1458" s="5" t="inlineStr">
        <is>
          <t>YX-TB-11</t>
        </is>
      </c>
      <c r="P1458" t="inlineStr">
        <is>
          <t>T02</t>
        </is>
      </c>
      <c r="Q1458" t="inlineStr">
        <is>
          <t>US-E-071</t>
        </is>
      </c>
      <c r="R1458" s="5" t="inlineStr"/>
    </row>
    <row r="1459">
      <c r="A1459" t="inlineStr">
        <is>
          <t>US-E-110</t>
        </is>
      </c>
      <c r="B1459" t="n">
        <v>1730</v>
      </c>
      <c r="C1459" t="inlineStr">
        <is>
          <t>Story</t>
        </is>
      </c>
      <c r="D1459" s="5" t="inlineStr">
        <is>
          <t xml:space="preserve">        Score versions and safe re-scoring</t>
        </is>
      </c>
      <c r="E1459" t="inlineStr">
        <is>
          <t>Assessments &amp; proctoring</t>
        </is>
      </c>
      <c r="F1459" t="inlineStr">
        <is>
          <t>Test builder, adaptive testing and scoring</t>
        </is>
      </c>
      <c r="G1459" t="inlineStr">
        <is>
          <t>New</t>
        </is>
      </c>
      <c r="I1459">
        <f>IF(H1459&lt;&gt;"",H1459,G1459)</f>
        <v/>
      </c>
      <c r="J1459" t="inlineStr">
        <is>
          <t>Proctoring track · phase 1</t>
        </is>
      </c>
      <c r="K1459" t="n">
        <v>3</v>
      </c>
      <c r="L1459" t="n">
        <v>1</v>
      </c>
      <c r="M1459" s="5" t="inlineStr">
        <is>
          <t>As a test owner, I want every score to record how it was made so that re-scoring is traceable.</t>
        </is>
      </c>
      <c r="N1459" s="5" t="inlineStr">
        <is>
          <t>• Given a score, when stored, then engine and parameter versions are recorded (YX-TB-12).
• Given re-calibration or a key fix, when re-scored, then a new score version is created (YX-TB-12).
• Given a released result, when re-scored, then it follows T05 release rules and never changes silently (YX-TB-12).</t>
        </is>
      </c>
      <c r="O1459" s="5" t="inlineStr">
        <is>
          <t>YX-TB-12</t>
        </is>
      </c>
      <c r="P1459" t="inlineStr">
        <is>
          <t>T02</t>
        </is>
      </c>
      <c r="Q1459" t="inlineStr">
        <is>
          <t>US-E-101</t>
        </is>
      </c>
      <c r="R1459" s="5" t="inlineStr"/>
    </row>
    <row r="1460">
      <c r="A1460" t="inlineStr">
        <is>
          <t>US-E-111</t>
        </is>
      </c>
      <c r="B1460" t="n">
        <v>1730</v>
      </c>
      <c r="C1460" t="inlineStr">
        <is>
          <t>Story</t>
        </is>
      </c>
      <c r="D1460" s="5" t="inlineStr">
        <is>
          <t xml:space="preserve">        Starter tests used through a copy</t>
        </is>
      </c>
      <c r="E1460" t="inlineStr">
        <is>
          <t>Assessments &amp; proctoring</t>
        </is>
      </c>
      <c r="F1460" t="inlineStr">
        <is>
          <t>Test builder, adaptive testing and scoring</t>
        </is>
      </c>
      <c r="G1460" t="inlineStr">
        <is>
          <t>New</t>
        </is>
      </c>
      <c r="I1460">
        <f>IF(H1460&lt;&gt;"",H1460,G1460)</f>
        <v/>
      </c>
      <c r="J1460" t="inlineStr">
        <is>
          <t>Proctoring track · phase 2</t>
        </is>
      </c>
      <c r="K1460" t="n">
        <v>3</v>
      </c>
      <c r="L1460" t="n">
        <v>2</v>
      </c>
      <c r="M1460" s="5" t="inlineStr">
        <is>
          <t>As a recruiter, I want ready-made starter tests so that I can start testing on day one.</t>
        </is>
      </c>
      <c r="N1460" s="5" t="inlineStr">
        <is>
          <t>• Given a starter test, when I view it, then it is read-only and labelled "YukthiX starter" (YX-TB-13).
• Given I copy it, when saved, then it becomes a normal draft under the publish rules (YX-TB-13).
• Given a newer starter version, when published, then my copy shows a prompt and nothing changes automatically (YX-TB-13).</t>
        </is>
      </c>
      <c r="O1460" s="5" t="inlineStr">
        <is>
          <t>YX-TB-13</t>
        </is>
      </c>
      <c r="P1460" t="inlineStr">
        <is>
          <t>T02</t>
        </is>
      </c>
      <c r="Q1460" t="inlineStr">
        <is>
          <t>US-E-097</t>
        </is>
      </c>
      <c r="R1460" s="5" t="inlineStr"/>
    </row>
    <row r="1461">
      <c r="A1461" t="inlineStr">
        <is>
          <t>US-E-112</t>
        </is>
      </c>
      <c r="B1461" t="n">
        <v>1730</v>
      </c>
      <c r="C1461" t="inlineStr">
        <is>
          <t>Story</t>
        </is>
      </c>
      <c r="D1461" s="5" t="inlineStr">
        <is>
          <t xml:space="preserve">        Draft a test from a job description with AI</t>
        </is>
      </c>
      <c r="E1461" t="inlineStr">
        <is>
          <t>Assessments &amp; proctoring</t>
        </is>
      </c>
      <c r="F1461" t="inlineStr">
        <is>
          <t>Test builder, adaptive testing and scoring</t>
        </is>
      </c>
      <c r="G1461" t="inlineStr">
        <is>
          <t>New</t>
        </is>
      </c>
      <c r="I1461">
        <f>IF(H1461&lt;&gt;"",H1461,G1461)</f>
        <v/>
      </c>
      <c r="J1461" t="inlineStr">
        <is>
          <t>Proctoring track · phase 2</t>
        </is>
      </c>
      <c r="K1461" t="n">
        <v>5</v>
      </c>
      <c r="L1461" t="n">
        <v>2</v>
      </c>
      <c r="M1461" s="5" t="inlineStr">
        <is>
          <t>As a recruiter, I want AI to draft a test from a JD so that I build a test in minutes.</t>
        </is>
      </c>
      <c r="N1461" s="5" t="inlineStr">
        <is>
          <t>• Given a JD, when I ask AI, then the result is always a draft test (YX-TB-14).
• Given the AI call, when sent, then only JD text and taxonomy / role names go out; no candidate data or keys (YX-TB-14).
• Given the draft, when assembled, then items come only from approved questions; AI gap-fill questions start as drafts (YX-TB-14).</t>
        </is>
      </c>
      <c r="O1461" s="5" t="inlineStr">
        <is>
          <t>YX-TB-14</t>
        </is>
      </c>
      <c r="P1461" t="inlineStr">
        <is>
          <t>T02</t>
        </is>
      </c>
      <c r="Q1461" t="inlineStr">
        <is>
          <t>US-E-111</t>
        </is>
      </c>
      <c r="R1461" s="5" t="inlineStr"/>
    </row>
    <row r="1462">
      <c r="A1462" t="inlineStr">
        <is>
          <t>US-E-113</t>
        </is>
      </c>
      <c r="B1462" t="n">
        <v>1730</v>
      </c>
      <c r="C1462" t="inlineStr">
        <is>
          <t>Story</t>
        </is>
      </c>
      <c r="D1462" s="5" t="inlineStr">
        <is>
          <t xml:space="preserve">        Sectional cut-offs</t>
        </is>
      </c>
      <c r="E1462" t="inlineStr">
        <is>
          <t>Assessments &amp; proctoring</t>
        </is>
      </c>
      <c r="F1462" t="inlineStr">
        <is>
          <t>Test builder, adaptive testing and scoring</t>
        </is>
      </c>
      <c r="G1462" t="inlineStr">
        <is>
          <t>New</t>
        </is>
      </c>
      <c r="I1462">
        <f>IF(H1462&lt;&gt;"",H1462,G1462)</f>
        <v/>
      </c>
      <c r="J1462" t="inlineStr">
        <is>
          <t>Proctoring track · phase 2</t>
        </is>
      </c>
      <c r="K1462" t="n">
        <v>2</v>
      </c>
      <c r="L1462" t="n">
        <v>2</v>
      </c>
      <c r="M1462" s="5" t="inlineStr">
        <is>
          <t>As a test owner, I want pass rules per section so that a weak area is not hidden by a strong one.</t>
        </is>
      </c>
      <c r="N1462" s="5" t="inlineStr">
        <is>
          <t>• Given section cut-offs, when scored, then pass needs the overall mark and every enabled section cut-off (YX-TB-15).
• Given a score, when stored, then each section outcome is stored (YX-TB-15).
• Given the setting, when on, then cut-offs are shown to the candidate before start (YX-TB-15).</t>
        </is>
      </c>
      <c r="O1462" s="5" t="inlineStr">
        <is>
          <t>YX-TB-15</t>
        </is>
      </c>
      <c r="P1462" t="inlineStr">
        <is>
          <t>T02</t>
        </is>
      </c>
      <c r="Q1462" t="inlineStr">
        <is>
          <t>US-E-110</t>
        </is>
      </c>
      <c r="R1462" s="5" t="inlineStr"/>
    </row>
    <row r="1463">
      <c r="A1463" t="inlineStr">
        <is>
          <t>US-E-114</t>
        </is>
      </c>
      <c r="B1463" t="n">
        <v>1730</v>
      </c>
      <c r="C1463" t="inlineStr">
        <is>
          <t>Story</t>
        </is>
      </c>
      <c r="D1463" s="5" t="inlineStr">
        <is>
          <t xml:space="preserve">        Parallel forms and equating</t>
        </is>
      </c>
      <c r="E1463" t="inlineStr">
        <is>
          <t>Assessments &amp; proctoring</t>
        </is>
      </c>
      <c r="F1463" t="inlineStr">
        <is>
          <t>Test builder, adaptive testing and scoring</t>
        </is>
      </c>
      <c r="G1463" t="inlineStr">
        <is>
          <t>New</t>
        </is>
      </c>
      <c r="I1463">
        <f>IF(H1463&lt;&gt;"",H1463,G1463)</f>
        <v/>
      </c>
      <c r="J1463" t="inlineStr">
        <is>
          <t>Proctoring track · phase 2</t>
        </is>
      </c>
      <c r="K1463" t="n">
        <v>5</v>
      </c>
      <c r="L1463" t="n">
        <v>3</v>
      </c>
      <c r="M1463" s="5" t="inlineStr">
        <is>
          <t>As a test owner, I want parallel forms compared fairly so that leaked forms can be replaced.</t>
        </is>
      </c>
      <c r="N1463" s="5" t="inlineStr">
        <is>
          <t>• Given parallel forms, when published, then they share anchor items (default 20 %, minimum 10) and match the blueprint (YX-TB-16).
• Given different forms, when compared, then only the equated scaled score is used (YX-TB-16).
• Given a form below the minimum attempts, when scored, then scores are marked provisional (YX-TB-16).</t>
        </is>
      </c>
      <c r="O1463" s="5" t="inlineStr">
        <is>
          <t>YX-TB-16</t>
        </is>
      </c>
      <c r="P1463" t="inlineStr">
        <is>
          <t>T02</t>
        </is>
      </c>
      <c r="Q1463" t="inlineStr">
        <is>
          <t>US-E-104</t>
        </is>
      </c>
      <c r="R1463" s="5" t="inlineStr"/>
    </row>
    <row r="1464">
      <c r="A1464" t="inlineStr">
        <is>
          <t>US-E-115</t>
        </is>
      </c>
      <c r="B1464" t="n">
        <v>1730</v>
      </c>
      <c r="C1464" t="inlineStr">
        <is>
          <t>Story</t>
        </is>
      </c>
      <c r="D1464" s="5" t="inlineStr">
        <is>
          <t xml:space="preserve">        Cut-score studies for certification tests</t>
        </is>
      </c>
      <c r="E1464" t="inlineStr">
        <is>
          <t>Assessments &amp; proctoring</t>
        </is>
      </c>
      <c r="F1464" t="inlineStr">
        <is>
          <t>Test builder, adaptive testing and scoring</t>
        </is>
      </c>
      <c r="G1464" t="inlineStr">
        <is>
          <t>New</t>
        </is>
      </c>
      <c r="I1464">
        <f>IF(H1464&lt;&gt;"",H1464,G1464)</f>
        <v/>
      </c>
      <c r="J1464" t="inlineStr">
        <is>
          <t>Proctoring track · phase 2</t>
        </is>
      </c>
      <c r="K1464" t="n">
        <v>5</v>
      </c>
      <c r="L1464" t="n">
        <v>3</v>
      </c>
      <c r="M1464" s="5" t="inlineStr">
        <is>
          <t>As a certification owner, I want a documented cut-score study so that the pass mark is defensible.</t>
        </is>
      </c>
      <c r="N1464" s="5" t="inlineStr">
        <is>
          <t>• Given a certification test, when published without an approved study, then it is blocked unless the owner overrides with a written, audited reason (YX-TB-17).
• Given round 1, when SMEs rate, then they cannot see each other’s ratings (YX-TB-17).
• Given the study, when approved, then method, panel, rounds, ratings and impact data are stored (YX-TB-17).</t>
        </is>
      </c>
      <c r="O1464" s="5" t="inlineStr">
        <is>
          <t>YX-TB-17</t>
        </is>
      </c>
      <c r="P1464" t="inlineStr">
        <is>
          <t>T02</t>
        </is>
      </c>
      <c r="Q1464" t="inlineStr">
        <is>
          <t>US-E-101</t>
        </is>
      </c>
      <c r="R1464" s="5" t="inlineStr"/>
    </row>
    <row r="1465">
      <c r="A1465" t="inlineStr">
        <is>
          <t>US-E-117</t>
        </is>
      </c>
      <c r="B1465" t="n">
        <v>1730</v>
      </c>
      <c r="C1465" t="inlineStr">
        <is>
          <t>Story</t>
        </is>
      </c>
      <c r="D1465" s="5" t="inlineStr">
        <is>
          <t xml:space="preserve">        Simulation and role-play sections</t>
        </is>
      </c>
      <c r="E1465" t="inlineStr">
        <is>
          <t>Assessments &amp; proctoring</t>
        </is>
      </c>
      <c r="F1465" t="inlineStr">
        <is>
          <t>Test builder, adaptive testing and scoring</t>
        </is>
      </c>
      <c r="G1465" t="inlineStr">
        <is>
          <t>New</t>
        </is>
      </c>
      <c r="I1465">
        <f>IF(H1465&lt;&gt;"",H1465,G1465)</f>
        <v/>
      </c>
      <c r="J1465" t="inlineStr">
        <is>
          <t>Proctoring track · phase 2</t>
        </is>
      </c>
      <c r="K1465" t="n">
        <v>3</v>
      </c>
      <c r="L1465" t="n">
        <v>3</v>
      </c>
      <c r="M1465" s="5" t="inlineStr">
        <is>
          <t>As a test owner, I want simulation sections with limits and human review so that AI scoring is safe.</t>
        </is>
      </c>
      <c r="N1465" s="5" t="inlineStr">
        <is>
          <t>• Given an in-tray section, when set up, then a section time limit is required (YX-TB-19).
• Given a role-play section, when set up, then a turn cap and time limit are required (YX-TB-19).
• Given AI scoring on a hiring or promotion test, when scored, then the score is provisional until a human reviews it (YX-TB-19).</t>
        </is>
      </c>
      <c r="O1465" s="5" t="inlineStr">
        <is>
          <t>YX-TB-19</t>
        </is>
      </c>
      <c r="P1465" t="inlineStr">
        <is>
          <t>T02</t>
        </is>
      </c>
      <c r="Q1465" t="inlineStr">
        <is>
          <t>US-E-100</t>
        </is>
      </c>
      <c r="R1465" s="5" t="inlineStr"/>
    </row>
    <row r="1466">
      <c r="A1466" t="inlineStr">
        <is>
          <t>US-E-116</t>
        </is>
      </c>
      <c r="B1466" t="n">
        <v>1865</v>
      </c>
      <c r="C1466" t="inlineStr">
        <is>
          <t>Story</t>
        </is>
      </c>
      <c r="D1466" s="5" t="inlineStr">
        <is>
          <t xml:space="preserve">        DIF grade shown in the question editor</t>
        </is>
      </c>
      <c r="E1466" t="inlineStr">
        <is>
          <t>Assessments &amp; proctoring</t>
        </is>
      </c>
      <c r="F1466" t="inlineStr">
        <is>
          <t>Test builder, adaptive testing and scoring</t>
        </is>
      </c>
      <c r="G1466" t="inlineStr">
        <is>
          <t>New</t>
        </is>
      </c>
      <c r="I1466">
        <f>IF(H1466&lt;&gt;"",H1466,G1466)</f>
        <v/>
      </c>
      <c r="J1466" t="inlineStr">
        <is>
          <t>Proctoring track · phase 2</t>
        </is>
      </c>
      <c r="K1466" t="n">
        <v>3</v>
      </c>
      <c r="L1466" t="n">
        <v>2</v>
      </c>
      <c r="M1466" s="5" t="inlineStr">
        <is>
          <t>As a test author, I want to see if a question is biased so that I can fix or retire it.</t>
        </is>
      </c>
      <c r="N1466" s="5" t="inlineStr">
        <is>
          <t>• Given enough responses per group, when stats run, then DIF (Mantel-Haenszel and IRT) is computed per version (YX-TB-18, YX-EVAL-26).
• Given the editor, when I open a question, then the DIF grade shows next to difficulty and discrimination (YX-TB-18).
• Given a grade C DIF, when found, then a finding is raised on the question (YX-EVAL-26).</t>
        </is>
      </c>
      <c r="O1466" s="5" t="inlineStr">
        <is>
          <t>YX-TB-18, YX-EVAL-26</t>
        </is>
      </c>
      <c r="P1466" t="inlineStr">
        <is>
          <t>T02</t>
        </is>
      </c>
      <c r="Q1466" t="inlineStr">
        <is>
          <t>US-E-071, US-E-180</t>
        </is>
      </c>
      <c r="R1466" s="5" t="inlineStr"/>
    </row>
    <row r="1467">
      <c r="A1467" s="9" t="inlineStr">
        <is>
          <t>FT-E-14</t>
        </is>
      </c>
      <c r="B1467" s="9" t="n">
        <v>1750</v>
      </c>
      <c r="C1467" s="9" t="inlineStr">
        <is>
          <t>Feature</t>
        </is>
      </c>
      <c r="D1467" s="10" t="inlineStr">
        <is>
          <t xml:space="preserve">    Test delivery, scheduling and continuity</t>
        </is>
      </c>
      <c r="E1467" s="9" t="inlineStr">
        <is>
          <t>Assessments &amp; proctoring</t>
        </is>
      </c>
      <c r="F1467" s="9" t="inlineStr">
        <is>
          <t>Test delivery, scheduling and continuity</t>
        </is>
      </c>
      <c r="G1467" s="9" t="inlineStr">
        <is>
          <t>New</t>
        </is>
      </c>
      <c r="H1467" s="9" t="n"/>
      <c r="I1467" s="9">
        <f>IF(H1467&lt;&gt;"",H1467,G1467)</f>
        <v/>
      </c>
      <c r="J1467" s="9" t="inlineStr">
        <is>
          <t>Proctoring track · phase 1</t>
        </is>
      </c>
      <c r="K1467" s="9" t="n"/>
      <c r="L1467" s="9" t="n"/>
      <c r="M1467" s="10" t="inlineStr"/>
      <c r="N1467" s="10" t="inlineStr"/>
      <c r="O1467" s="10" t="inlineStr">
        <is>
          <t>YX-DLV-01, YX-DLV-02, YX-DLV-03, YX-DLV-04, YX-DLV-05, YX-DLV-06, YX-DLV-07, YX-DLV-08, YX-DLV-09, YX-DLV-10, YX-DLV-11, YX-DLV-12, YX-DLV-13, YX-DLV-22</t>
        </is>
      </c>
      <c r="P1467" s="9" t="inlineStr">
        <is>
          <t>T03</t>
        </is>
      </c>
      <c r="Q1467" s="9" t="inlineStr"/>
      <c r="R1467" s="10" t="inlineStr"/>
      <c r="S1467" s="9" t="n"/>
    </row>
    <row r="1468">
      <c r="A1468" t="inlineStr">
        <is>
          <t>US-E-118</t>
        </is>
      </c>
      <c r="B1468" t="n">
        <v>1750</v>
      </c>
      <c r="C1468" t="inlineStr">
        <is>
          <t>Story</t>
        </is>
      </c>
      <c r="D1468" s="5" t="inlineStr">
        <is>
          <t xml:space="preserve">        Times shown in the candidate’s time zone</t>
        </is>
      </c>
      <c r="E1468" t="inlineStr">
        <is>
          <t>Assessments &amp; proctoring</t>
        </is>
      </c>
      <c r="F1468" t="inlineStr">
        <is>
          <t>Test delivery, scheduling and continuity</t>
        </is>
      </c>
      <c r="G1468" t="inlineStr">
        <is>
          <t>New</t>
        </is>
      </c>
      <c r="I1468">
        <f>IF(H1468&lt;&gt;"",H1468,G1468)</f>
        <v/>
      </c>
      <c r="J1468" t="inlineStr">
        <is>
          <t>Proctoring track · phase 1</t>
        </is>
      </c>
      <c r="K1468" t="n">
        <v>2</v>
      </c>
      <c r="L1468" t="n">
        <v>1</v>
      </c>
      <c r="M1468" s="5" t="inlineStr">
        <is>
          <t>As a candidate, I want test times in my own time zone so that I do not miss my test.</t>
        </is>
      </c>
      <c r="N1468" s="5" t="inlineStr">
        <is>
          <t>• Given a test, when stored, then times are UTC and the authoring time zone is recorded (YX-DLV-01).
• Given a candidate, when they see the invite, then times show in their local zone (YX-DLV-01).
• Given a reminder, when sent, then it shows both the time and the zone (YX-DLV-01).</t>
        </is>
      </c>
      <c r="O1468" s="5" t="inlineStr">
        <is>
          <t>YX-DLV-01</t>
        </is>
      </c>
      <c r="P1468" t="inlineStr">
        <is>
          <t>T03</t>
        </is>
      </c>
      <c r="Q1468" t="inlineStr"/>
      <c r="R1468" s="5" t="inlineStr"/>
    </row>
    <row r="1469">
      <c r="A1469" t="inlineStr">
        <is>
          <t>US-E-119</t>
        </is>
      </c>
      <c r="B1469" t="n">
        <v>1750</v>
      </c>
      <c r="C1469" t="inlineStr">
        <is>
          <t>Story</t>
        </is>
      </c>
      <c r="D1469" s="5" t="inlineStr">
        <is>
          <t xml:space="preserve">        Candidate reminders and missed-test alerts</t>
        </is>
      </c>
      <c r="E1469" t="inlineStr">
        <is>
          <t>Assessments &amp; proctoring</t>
        </is>
      </c>
      <c r="F1469" t="inlineStr">
        <is>
          <t>Test delivery, scheduling and continuity</t>
        </is>
      </c>
      <c r="G1469" t="inlineStr">
        <is>
          <t>New</t>
        </is>
      </c>
      <c r="I1469">
        <f>IF(H1469&lt;&gt;"",H1469,G1469)</f>
        <v/>
      </c>
      <c r="J1469" t="inlineStr">
        <is>
          <t>Proctoring track · phase 1</t>
        </is>
      </c>
      <c r="K1469" t="n">
        <v>2</v>
      </c>
      <c r="L1469" t="n">
        <v>1</v>
      </c>
      <c r="M1469" s="5" t="inlineStr">
        <is>
          <t>As a recruiter, I want candidates reminded and missed tests flagged so that fewer candidates drop off.</t>
        </is>
      </c>
      <c r="N1469" s="5" t="inlineStr">
        <is>
          <t>• Given a window or slot, when the reminder time comes, then the candidate gets a reminder (YX-DLV-02).
• Given a missed test, when the window ends, then the recruiter is alerted (YX-DLV-02).
• Given a missed test, when the window ends, then the candidate gets a "missed" message with next steps (YX-DLV-02).</t>
        </is>
      </c>
      <c r="O1469" s="5" t="inlineStr">
        <is>
          <t>YX-DLV-02</t>
        </is>
      </c>
      <c r="P1469" t="inlineStr">
        <is>
          <t>T03</t>
        </is>
      </c>
      <c r="Q1469" t="inlineStr">
        <is>
          <t>US-E-118</t>
        </is>
      </c>
      <c r="R1469" s="5" t="inlineStr"/>
    </row>
    <row r="1470">
      <c r="A1470" t="inlineStr">
        <is>
          <t>US-E-120</t>
        </is>
      </c>
      <c r="B1470" t="n">
        <v>1750</v>
      </c>
      <c r="C1470" t="inlineStr">
        <is>
          <t>Story</t>
        </is>
      </c>
      <c r="D1470" s="5" t="inlineStr">
        <is>
          <t xml:space="preserve">        Self-scheduling, reschedule and no-show</t>
        </is>
      </c>
      <c r="E1470" t="inlineStr">
        <is>
          <t>Assessments &amp; proctoring</t>
        </is>
      </c>
      <c r="F1470" t="inlineStr">
        <is>
          <t>Test delivery, scheduling and continuity</t>
        </is>
      </c>
      <c r="G1470" t="inlineStr">
        <is>
          <t>New</t>
        </is>
      </c>
      <c r="I1470">
        <f>IF(H1470&lt;&gt;"",H1470,G1470)</f>
        <v/>
      </c>
      <c r="J1470" t="inlineStr">
        <is>
          <t>Proctoring track · phase 1</t>
        </is>
      </c>
      <c r="K1470" t="n">
        <v>5</v>
      </c>
      <c r="L1470" t="n">
        <v>1</v>
      </c>
      <c r="M1470" s="5" t="inlineStr">
        <is>
          <t>As a candidate, I want to book my own test slot so that I pick a time that suits me.</t>
        </is>
      </c>
      <c r="N1470" s="5" t="inlineStr">
        <is>
          <t>• Given slots with capacity, when I book, then a full slot cannot be booked (YX-DLV-03).
• Given the policy, when I reschedule more than allowed, then it is refused (YX-DLV-03).
• Given I do not start, when slot end + grace passes, then a no-show is recorded (YX-DLV-03).</t>
        </is>
      </c>
      <c r="O1470" s="5" t="inlineStr">
        <is>
          <t>YX-DLV-03</t>
        </is>
      </c>
      <c r="P1470" t="inlineStr">
        <is>
          <t>T03</t>
        </is>
      </c>
      <c r="Q1470" t="inlineStr">
        <is>
          <t>US-E-004</t>
        </is>
      </c>
      <c r="R1470" s="5" t="inlineStr"/>
    </row>
    <row r="1471">
      <c r="A1471" t="inlineStr">
        <is>
          <t>US-E-121</t>
        </is>
      </c>
      <c r="B1471" t="n">
        <v>1750</v>
      </c>
      <c r="C1471" t="inlineStr">
        <is>
          <t>Story</t>
        </is>
      </c>
      <c r="D1471" s="5" t="inlineStr">
        <is>
          <t xml:space="preserve">        Low-connectivity mode with an encrypted offline queue</t>
        </is>
      </c>
      <c r="E1471" t="inlineStr">
        <is>
          <t>Assessments &amp; proctoring</t>
        </is>
      </c>
      <c r="F1471" t="inlineStr">
        <is>
          <t>Test delivery, scheduling and continuity</t>
        </is>
      </c>
      <c r="G1471" t="inlineStr">
        <is>
          <t>Active</t>
        </is>
      </c>
      <c r="I1471">
        <f>IF(H1471&lt;&gt;"",H1471,G1471)</f>
        <v/>
      </c>
      <c r="J1471" t="inlineStr">
        <is>
          <t>Proctoring track · phase 1</t>
        </is>
      </c>
      <c r="K1471" t="n">
        <v>5</v>
      </c>
      <c r="L1471" t="n">
        <v>1</v>
      </c>
      <c r="M1471" s="5" t="inlineStr">
        <is>
          <t>As a candidate on a weak network, I want my answers kept when offline so that I can finish the test.</t>
        </is>
      </c>
      <c r="N1471" s="5" t="inlineStr">
        <is>
          <t>• Given any answer change, when saved, then the server acknowledges it and the server is the only clock (YX-DLV-04).
• Given I go offline, when I answer, then answers are queued locally, encrypted (YX-DLV-04).
• Given I reconnect, when the queue syncs, then the server resolves conflicts per Q3 (YX-DLV-04).</t>
        </is>
      </c>
      <c r="O1471" s="5" t="inlineStr">
        <is>
          <t>YX-DLV-04</t>
        </is>
      </c>
      <c r="P1471" t="inlineStr">
        <is>
          <t>T03</t>
        </is>
      </c>
      <c r="Q1471" t="inlineStr">
        <is>
          <t>US-E-077</t>
        </is>
      </c>
      <c r="R1471" s="5" t="inlineStr">
        <is>
          <t>apps/exam-runtime/src/attempts/attempt.service.ts — server autosave exists; offline encrypted queue is new</t>
        </is>
      </c>
    </row>
    <row r="1472">
      <c r="A1472" t="inlineStr">
        <is>
          <t>US-E-122</t>
        </is>
      </c>
      <c r="B1472" t="n">
        <v>1750</v>
      </c>
      <c r="C1472" t="inlineStr">
        <is>
          <t>Story</t>
        </is>
      </c>
      <c r="D1472" s="5" t="inlineStr">
        <is>
          <t xml:space="preserve">        Time credit for lost time</t>
        </is>
      </c>
      <c r="E1472" t="inlineStr">
        <is>
          <t>Assessments &amp; proctoring</t>
        </is>
      </c>
      <c r="F1472" t="inlineStr">
        <is>
          <t>Test delivery, scheduling and continuity</t>
        </is>
      </c>
      <c r="G1472" t="inlineStr">
        <is>
          <t>New</t>
        </is>
      </c>
      <c r="I1472">
        <f>IF(H1472&lt;&gt;"",H1472,G1472)</f>
        <v/>
      </c>
      <c r="J1472" t="inlineStr">
        <is>
          <t>Proctoring track · phase 1</t>
        </is>
      </c>
      <c r="K1472" t="n">
        <v>3</v>
      </c>
      <c r="L1472" t="n">
        <v>1</v>
      </c>
      <c r="M1472" s="5" t="inlineStr">
        <is>
          <t>As a candidate, I want lost time given back so that a network drop does not cost me the test.</t>
        </is>
      </c>
      <c r="N1472" s="5" t="inlineStr">
        <is>
          <t>• Given missed heartbeats, when measured on the server, then lost time is computed (YX-DLV-05).
• Given lost time up to the cap, when I resume, then it is credited automatically (YX-DLV-05).
• Given time beyond the cap, when needed, then an admin approves it; every credit is audited (YX-DLV-05).</t>
        </is>
      </c>
      <c r="O1472" s="5" t="inlineStr">
        <is>
          <t>YX-DLV-05</t>
        </is>
      </c>
      <c r="P1472" t="inlineStr">
        <is>
          <t>T03</t>
        </is>
      </c>
      <c r="Q1472" t="inlineStr">
        <is>
          <t>US-E-121</t>
        </is>
      </c>
      <c r="R1472" s="5" t="inlineStr"/>
    </row>
    <row r="1473">
      <c r="A1473" t="inlineStr">
        <is>
          <t>US-E-123</t>
        </is>
      </c>
      <c r="B1473" t="n">
        <v>1750</v>
      </c>
      <c r="C1473" t="inlineStr">
        <is>
          <t>Story</t>
        </is>
      </c>
      <c r="D1473" s="5" t="inlineStr">
        <is>
          <t xml:space="preserve">        Re-authentication before resuming</t>
        </is>
      </c>
      <c r="E1473" t="inlineStr">
        <is>
          <t>Assessments &amp; proctoring</t>
        </is>
      </c>
      <c r="F1473" t="inlineStr">
        <is>
          <t>Test delivery, scheduling and continuity</t>
        </is>
      </c>
      <c r="G1473" t="inlineStr">
        <is>
          <t>New</t>
        </is>
      </c>
      <c r="I1473">
        <f>IF(H1473&lt;&gt;"",H1473,G1473)</f>
        <v/>
      </c>
      <c r="J1473" t="inlineStr">
        <is>
          <t>Proctoring track · phase 1</t>
        </is>
      </c>
      <c r="K1473" t="n">
        <v>3</v>
      </c>
      <c r="L1473" t="n">
        <v>1</v>
      </c>
      <c r="M1473" s="5" t="inlineStr">
        <is>
          <t>As a proctor, I want a candidate to re-verify after a long break so that the same person continues.</t>
        </is>
      </c>
      <c r="N1473" s="5" t="inlineStr">
        <is>
          <t>• Given a block or a long disconnection over the Q4 threshold, when the candidate resumes, then re-auth is required (YX-DLV-06).
• Given a proctored mode, when re-auth runs, then a face re-check per T04 mode is used (YX-DLV-06).
• Given Open mode, when re-auth runs, then an OTP is used (YX-DLV-06).</t>
        </is>
      </c>
      <c r="O1473" s="5" t="inlineStr">
        <is>
          <t>YX-DLV-06</t>
        </is>
      </c>
      <c r="P1473" t="inlineStr">
        <is>
          <t>T03</t>
        </is>
      </c>
      <c r="Q1473" t="inlineStr">
        <is>
          <t>US-E-122</t>
        </is>
      </c>
      <c r="R1473" s="5" t="inlineStr"/>
    </row>
    <row r="1474">
      <c r="A1474" t="inlineStr">
        <is>
          <t>US-E-124</t>
        </is>
      </c>
      <c r="B1474" t="n">
        <v>1750</v>
      </c>
      <c r="C1474" t="inlineStr">
        <is>
          <t>Story</t>
        </is>
      </c>
      <c r="D1474" s="5" t="inlineStr">
        <is>
          <t xml:space="preserve">        Scheduled breaks</t>
        </is>
      </c>
      <c r="E1474" t="inlineStr">
        <is>
          <t>Assessments &amp; proctoring</t>
        </is>
      </c>
      <c r="F1474" t="inlineStr">
        <is>
          <t>Test delivery, scheduling and continuity</t>
        </is>
      </c>
      <c r="G1474" t="inlineStr">
        <is>
          <t>New</t>
        </is>
      </c>
      <c r="I1474">
        <f>IF(H1474&lt;&gt;"",H1474,G1474)</f>
        <v/>
      </c>
      <c r="J1474" t="inlineStr">
        <is>
          <t>Proctoring track · phase 1</t>
        </is>
      </c>
      <c r="K1474" t="n">
        <v>3</v>
      </c>
      <c r="L1474" t="n">
        <v>2</v>
      </c>
      <c r="M1474" s="5" t="inlineStr">
        <is>
          <t>As a candidate in a long test, I want allowed breaks so that I can rest without losing time.</t>
        </is>
      </c>
      <c r="N1474" s="5" t="inlineStr">
        <is>
          <t>• Given the test break rules, when I take a break, then the timer and proctoring pause (YX-DLV-07).
• Given a proctored mode, when I return, then re-verification is required (YX-DLV-07).
• Given no breaks left, when I ask, then the break is refused.</t>
        </is>
      </c>
      <c r="O1474" s="5" t="inlineStr">
        <is>
          <t>YX-DLV-07</t>
        </is>
      </c>
      <c r="P1474" t="inlineStr">
        <is>
          <t>T03</t>
        </is>
      </c>
      <c r="Q1474" t="inlineStr">
        <is>
          <t>US-E-123</t>
        </is>
      </c>
      <c r="R1474" s="5" t="inlineStr"/>
    </row>
    <row r="1475">
      <c r="A1475" t="inlineStr">
        <is>
          <t>US-E-125</t>
        </is>
      </c>
      <c r="B1475" t="n">
        <v>1750</v>
      </c>
      <c r="C1475" t="inlineStr">
        <is>
          <t>Story</t>
        </is>
      </c>
      <c r="D1475" s="5" t="inlineStr">
        <is>
          <t xml:space="preserve">        Device policy per test</t>
        </is>
      </c>
      <c r="E1475" t="inlineStr">
        <is>
          <t>Assessments &amp; proctoring</t>
        </is>
      </c>
      <c r="F1475" t="inlineStr">
        <is>
          <t>Test delivery, scheduling and continuity</t>
        </is>
      </c>
      <c r="G1475" t="inlineStr">
        <is>
          <t>Active</t>
        </is>
      </c>
      <c r="I1475">
        <f>IF(H1475&lt;&gt;"",H1475,G1475)</f>
        <v/>
      </c>
      <c r="J1475" t="inlineStr">
        <is>
          <t>Proctoring track · phase 1</t>
        </is>
      </c>
      <c r="K1475" t="n">
        <v>3</v>
      </c>
      <c r="L1475" t="n">
        <v>1</v>
      </c>
      <c r="M1475" s="5" t="inlineStr">
        <is>
          <t>As a test owner, I want to allow only certain devices so that the test runs where it is secure.</t>
        </is>
      </c>
      <c r="N1475" s="5" t="inlineStr">
        <is>
          <t>• Given a device policy, when a candidate starts on a disallowed device, then they are shown how to switch (YX-DLV-08).
• Given a disallowed device, when refused, then it is not counted as an attempt (YX-DLV-08).
• Given Safe Exam Browser or IP rules, when set, then they are part of the same policy.</t>
        </is>
      </c>
      <c r="O1475" s="5" t="inlineStr">
        <is>
          <t>YX-DLV-08</t>
        </is>
      </c>
      <c r="P1475" t="inlineStr">
        <is>
          <t>T03</t>
        </is>
      </c>
      <c r="Q1475" t="inlineStr"/>
      <c r="R1475" s="5" t="inlineStr">
        <is>
          <t>Exam.lockdownRequired, allowedIpRange · apps/exam-runtime/src/attempts/proctoring-config.ts — SEB and IP checks exist; device policy is new</t>
        </is>
      </c>
    </row>
    <row r="1476">
      <c r="A1476" t="inlineStr">
        <is>
          <t>US-E-126</t>
        </is>
      </c>
      <c r="B1476" t="n">
        <v>1750</v>
      </c>
      <c r="C1476" t="inlineStr">
        <is>
          <t>Story</t>
        </is>
      </c>
      <c r="D1476" s="5" t="inlineStr">
        <is>
          <t xml:space="preserve">        Readiness check before start</t>
        </is>
      </c>
      <c r="E1476" t="inlineStr">
        <is>
          <t>Assessments &amp; proctoring</t>
        </is>
      </c>
      <c r="F1476" t="inlineStr">
        <is>
          <t>Test delivery, scheduling and continuity</t>
        </is>
      </c>
      <c r="G1476" t="inlineStr">
        <is>
          <t>Active</t>
        </is>
      </c>
      <c r="I1476">
        <f>IF(H1476&lt;&gt;"",H1476,G1476)</f>
        <v/>
      </c>
      <c r="J1476" t="inlineStr">
        <is>
          <t>Proctoring track · phase 1</t>
        </is>
      </c>
      <c r="K1476" t="n">
        <v>3</v>
      </c>
      <c r="L1476" t="n">
        <v>1</v>
      </c>
      <c r="M1476" s="5" t="inlineStr">
        <is>
          <t>As a candidate, I want my camera, mic, network and browser checked so that problems are found before the test.</t>
        </is>
      </c>
      <c r="N1476" s="5" t="inlineStr">
        <is>
          <t>• Given readiness checks, when run, then results are stored (YX-DLV-09).
• Given a blocking check fails, when I try to start, then the start is prevented (YX-DLV-09).
• Given a warning, when I start, then it is shown and noted for reviewers (YX-DLV-09).</t>
        </is>
      </c>
      <c r="O1476" s="5" t="inlineStr">
        <is>
          <t>YX-DLV-09</t>
        </is>
      </c>
      <c r="P1476" t="inlineStr">
        <is>
          <t>T03</t>
        </is>
      </c>
      <c r="Q1476" t="inlineStr"/>
      <c r="R1476" s="5" t="inlineStr">
        <is>
          <t>apps/web/app/(candidate)/start — camera preview exists; full readiness checks are new</t>
        </is>
      </c>
    </row>
    <row r="1477">
      <c r="A1477" t="inlineStr">
        <is>
          <t>US-E-127</t>
        </is>
      </c>
      <c r="B1477" t="n">
        <v>1750</v>
      </c>
      <c r="C1477" t="inlineStr">
        <is>
          <t>Story</t>
        </is>
      </c>
      <c r="D1477" s="5" t="inlineStr">
        <is>
          <t xml:space="preserve">        Accommodation requests and approval</t>
        </is>
      </c>
      <c r="E1477" t="inlineStr">
        <is>
          <t>Assessments &amp; proctoring</t>
        </is>
      </c>
      <c r="F1477" t="inlineStr">
        <is>
          <t>Test delivery, scheduling and continuity</t>
        </is>
      </c>
      <c r="G1477" t="inlineStr">
        <is>
          <t>Active</t>
        </is>
      </c>
      <c r="I1477">
        <f>IF(H1477&lt;&gt;"",H1477,G1477)</f>
        <v/>
      </c>
      <c r="J1477" t="inlineStr">
        <is>
          <t>Proctoring track · phase 1</t>
        </is>
      </c>
      <c r="K1477" t="n">
        <v>5</v>
      </c>
      <c r="L1477" t="n">
        <v>1</v>
      </c>
      <c r="M1477" s="5" t="inlineStr">
        <is>
          <t>As a candidate with a need, I want to request extra time or other support so that the test is fair for me.</t>
        </is>
      </c>
      <c r="N1477" s="5" t="inlineStr">
        <is>
          <t>• Given a request, when submitted before the attempt, then it goes for approval (YX-DLV-10).
• Given approval, when I start, then time, breaks, UI mode and proctoring profile apply automatically (YX-DLV-10).
• Given an evaluator, when they review my attempt, then they never see the reason or evidence (YX-DLV-10).</t>
        </is>
      </c>
      <c r="O1477" s="5" t="inlineStr">
        <is>
          <t>YX-DLV-10</t>
        </is>
      </c>
      <c r="P1477" t="inlineStr">
        <is>
          <t>T03</t>
        </is>
      </c>
      <c r="Q1477" t="inlineStr"/>
      <c r="R1477" s="5" t="inlineStr">
        <is>
          <t>Invitation.extraTimePercent — extra time set by recruiter exists; request / approval flow is new</t>
        </is>
      </c>
    </row>
    <row r="1478">
      <c r="A1478" t="inlineStr">
        <is>
          <t>US-E-128</t>
        </is>
      </c>
      <c r="B1478" t="n">
        <v>1750</v>
      </c>
      <c r="C1478" t="inlineStr">
        <is>
          <t>Story</t>
        </is>
      </c>
      <c r="D1478" s="5" t="inlineStr">
        <is>
          <t xml:space="preserve">        Accessible test runner (WCAG 2.1 AA)</t>
        </is>
      </c>
      <c r="E1478" t="inlineStr">
        <is>
          <t>Assessments &amp; proctoring</t>
        </is>
      </c>
      <c r="F1478" t="inlineStr">
        <is>
          <t>Test delivery, scheduling and continuity</t>
        </is>
      </c>
      <c r="G1478" t="inlineStr">
        <is>
          <t>New</t>
        </is>
      </c>
      <c r="I1478">
        <f>IF(H1478&lt;&gt;"",H1478,G1478)</f>
        <v/>
      </c>
      <c r="J1478" t="inlineStr">
        <is>
          <t>Proctoring track · phase 1</t>
        </is>
      </c>
      <c r="K1478" t="n">
        <v>5</v>
      </c>
      <c r="L1478" t="n">
        <v>1</v>
      </c>
      <c r="M1478" s="5" t="inlineStr">
        <is>
          <t>As a candidate using a screen reader or keyboard, I want an accessible runner so that I can take the test.</t>
        </is>
      </c>
      <c r="N1478" s="5" t="inlineStr">
        <is>
          <t>• Given the runner, when used with keyboard only, then every action is reachable (YX-DLV-11).
• Given a screen reader, when used, then all controls have labels (YX-DLV-11).
• Given 200 % zoom or contrast mode, when on, then nothing is lost (YX-DLV-11).
• Given CI, when the runner changes, then automated axe checks pass.</t>
        </is>
      </c>
      <c r="O1478" s="5" t="inlineStr">
        <is>
          <t>YX-DLV-11</t>
        </is>
      </c>
      <c r="P1478" t="inlineStr">
        <is>
          <t>T03</t>
        </is>
      </c>
      <c r="Q1478" t="inlineStr"/>
      <c r="R1478" s="5" t="inlineStr"/>
    </row>
    <row r="1479">
      <c r="A1479" t="inlineStr">
        <is>
          <t>US-E-129</t>
        </is>
      </c>
      <c r="B1479" t="n">
        <v>1750</v>
      </c>
      <c r="C1479" t="inlineStr">
        <is>
          <t>Story</t>
        </is>
      </c>
      <c r="D1479" s="5" t="inlineStr">
        <is>
          <t xml:space="preserve">        Drive capacity check and pre-warm</t>
        </is>
      </c>
      <c r="E1479" t="inlineStr">
        <is>
          <t>Assessments &amp; proctoring</t>
        </is>
      </c>
      <c r="F1479" t="inlineStr">
        <is>
          <t>Test delivery, scheduling and continuity</t>
        </is>
      </c>
      <c r="G1479" t="inlineStr">
        <is>
          <t>Active</t>
        </is>
      </c>
      <c r="I1479">
        <f>IF(H1479&lt;&gt;"",H1479,G1479)</f>
        <v/>
      </c>
      <c r="J1479" t="inlineStr">
        <is>
          <t>Proctoring track · phase 1</t>
        </is>
      </c>
      <c r="K1479" t="n">
        <v>3</v>
      </c>
      <c r="L1479" t="n">
        <v>1</v>
      </c>
      <c r="M1479" s="5" t="inlineStr">
        <is>
          <t>As a drive coordinator, I want a capacity check before a big drive so that the platform does not slow down.</t>
        </is>
      </c>
      <c r="N1479" s="5" t="inlineStr">
        <is>
          <t>• Given a drive above the configured size, when I schedule it, then a capacity check and staggered start plan are required (YX-DLV-12).
• Given the drive window, when it nears, then runtime autoscaling is pre-warmed (YX-DLV-12).
• Given the plan, when the drive runs, then starts follow the stagger.</t>
        </is>
      </c>
      <c r="O1479" s="5" t="inlineStr">
        <is>
          <t>YX-DLV-12</t>
        </is>
      </c>
      <c r="P1479" t="inlineStr">
        <is>
          <t>T03</t>
        </is>
      </c>
      <c r="Q1479" t="inlineStr">
        <is>
          <t>US-E-078</t>
        </is>
      </c>
      <c r="R1479" s="5" t="inlineStr">
        <is>
          <t>load/spike.js · load/seed-load-fixtures.js — load tests exist; in-app capacity check is new</t>
        </is>
      </c>
    </row>
    <row r="1480">
      <c r="A1480" t="inlineStr">
        <is>
          <t>US-E-130</t>
        </is>
      </c>
      <c r="B1480" t="n">
        <v>1750</v>
      </c>
      <c r="C1480" t="inlineStr">
        <is>
          <t>Story</t>
        </is>
      </c>
      <c r="D1480" s="5" t="inlineStr">
        <is>
          <t xml:space="preserve">        Employees take tests through their own session</t>
        </is>
      </c>
      <c r="E1480" t="inlineStr">
        <is>
          <t>Assessments &amp; proctoring</t>
        </is>
      </c>
      <c r="F1480" t="inlineStr">
        <is>
          <t>Test delivery, scheduling and continuity</t>
        </is>
      </c>
      <c r="G1480" t="inlineStr">
        <is>
          <t>New</t>
        </is>
      </c>
      <c r="I1480">
        <f>IF(H1480&lt;&gt;"",H1480,G1480)</f>
        <v/>
      </c>
      <c r="J1480" t="inlineStr">
        <is>
          <t>Proctoring track · phase 1</t>
        </is>
      </c>
      <c r="K1480" t="n">
        <v>5</v>
      </c>
      <c r="L1480" t="n">
        <v>1</v>
      </c>
      <c r="M1480" s="5" t="inlineStr">
        <is>
          <t>As an employee, I want to take tests in the HR app with my login so that my results go to my record.</t>
        </is>
      </c>
      <c r="N1480" s="5" t="inlineStr">
        <is>
          <t>• Given an invitation for an employee, when opened, then it works only through the employee session (web or app, SSO / OTP), never a magic link (YX-DLV-13).
• Given each attempt, when started, then consent is captured (YX-DLV-13).
• Given an accommodation, when requested, then HR / L&amp;D in scope approves it (YX-DLV-13).
• Given a result, when released, then it is written back to the learning or performance record (YX-DLV-13).</t>
        </is>
      </c>
      <c r="O1480" s="5" t="inlineStr">
        <is>
          <t>YX-DLV-13</t>
        </is>
      </c>
      <c r="P1480" t="inlineStr">
        <is>
          <t>T03</t>
        </is>
      </c>
      <c r="Q1480" t="inlineStr">
        <is>
          <t>US-E-075</t>
        </is>
      </c>
      <c r="R1480" s="5" t="inlineStr"/>
    </row>
    <row r="1481">
      <c r="A1481" t="inlineStr">
        <is>
          <t>US-E-131</t>
        </is>
      </c>
      <c r="B1481" t="n">
        <v>1825</v>
      </c>
      <c r="C1481" t="inlineStr">
        <is>
          <t>Story</t>
        </is>
      </c>
      <c r="D1481" s="5" t="inlineStr">
        <is>
          <t xml:space="preserve">        Reuse a recent result instead of a new test</t>
        </is>
      </c>
      <c r="E1481" t="inlineStr">
        <is>
          <t>Assessments &amp; proctoring</t>
        </is>
      </c>
      <c r="F1481" t="inlineStr">
        <is>
          <t>Test delivery, scheduling and continuity</t>
        </is>
      </c>
      <c r="G1481" t="inlineStr">
        <is>
          <t>New</t>
        </is>
      </c>
      <c r="I1481">
        <f>IF(H1481&lt;&gt;"",H1481,G1481)</f>
        <v/>
      </c>
      <c r="J1481" t="inlineStr">
        <is>
          <t>Proctoring track · phase 2</t>
        </is>
      </c>
      <c r="K1481" t="n">
        <v>3</v>
      </c>
      <c r="L1481" t="n">
        <v>2</v>
      </c>
      <c r="M1481" s="5" t="inlineStr">
        <is>
          <t>As a recruiter, I want to reuse a valid recent result so that candidates do not retake the same test.</t>
        </is>
      </c>
      <c r="N1481" s="5" t="inlineStr">
        <is>
          <t>• Given a target with the same or owner-marked-equivalent test version, when I reuse, then a link to the original attempt is made, not a copy (YX-DLV-22).
• Given an attempt invalidated or under an open incident, when I try to reuse, then it is refused (YX-DLV-22).
• Given a result outside the validity window, when I try to reuse, then it is refused (YX-DLV-22).</t>
        </is>
      </c>
      <c r="O1481" s="5" t="inlineStr">
        <is>
          <t>YX-DLV-22</t>
        </is>
      </c>
      <c r="P1481" t="inlineStr">
        <is>
          <t>T03</t>
        </is>
      </c>
      <c r="Q1481" t="inlineStr">
        <is>
          <t>US-E-156</t>
        </is>
      </c>
      <c r="R1481" s="5" t="inlineStr"/>
    </row>
    <row r="1482">
      <c r="A1482" s="9" t="inlineStr">
        <is>
          <t>FT-E-15</t>
        </is>
      </c>
      <c r="B1482" s="9" t="n">
        <v>1770</v>
      </c>
      <c r="C1482" s="9" t="inlineStr">
        <is>
          <t>Feature</t>
        </is>
      </c>
      <c r="D1482" s="10" t="inlineStr">
        <is>
          <t xml:space="preserve">    Campus drives, test centres and native app</t>
        </is>
      </c>
      <c r="E1482" s="9" t="inlineStr">
        <is>
          <t>Assessments &amp; proctoring</t>
        </is>
      </c>
      <c r="F1482" s="9" t="inlineStr">
        <is>
          <t>Campus drives, test centres and native app</t>
        </is>
      </c>
      <c r="G1482" s="9" t="inlineStr">
        <is>
          <t>New</t>
        </is>
      </c>
      <c r="H1482" s="9" t="n"/>
      <c r="I1482" s="9">
        <f>IF(H1482&lt;&gt;"",H1482,G1482)</f>
        <v/>
      </c>
      <c r="J1482" s="9" t="inlineStr">
        <is>
          <t>Proctoring track · phase 2</t>
        </is>
      </c>
      <c r="K1482" s="9" t="n"/>
      <c r="L1482" s="9" t="n"/>
      <c r="M1482" s="10" t="inlineStr"/>
      <c r="N1482" s="10" t="inlineStr"/>
      <c r="O1482" s="10" t="inlineStr">
        <is>
          <t>YX-DLV-14, YX-DLV-15, YX-DLV-16, YX-DLV-17, YX-DLV-18, YX-DLV-19, YX-DLV-20</t>
        </is>
      </c>
      <c r="P1482" s="9" t="inlineStr">
        <is>
          <t>T03 §3, T03 §11 B7 / C5</t>
        </is>
      </c>
      <c r="Q1482" s="9" t="inlineStr"/>
      <c r="R1482" s="10" t="inlineStr"/>
      <c r="S1482" s="9" t="n"/>
    </row>
    <row r="1483">
      <c r="A1483" t="inlineStr">
        <is>
          <t>US-E-132</t>
        </is>
      </c>
      <c r="B1483" t="n">
        <v>1770</v>
      </c>
      <c r="C1483" t="inlineStr">
        <is>
          <t>Story</t>
        </is>
      </c>
      <c r="D1483" s="5" t="inlineStr">
        <is>
          <t xml:space="preserve">        Campus drive registration with OTP and eligibility</t>
        </is>
      </c>
      <c r="E1483" t="inlineStr">
        <is>
          <t>Assessments &amp; proctoring</t>
        </is>
      </c>
      <c r="F1483" t="inlineStr">
        <is>
          <t>Campus drives, test centres and native app</t>
        </is>
      </c>
      <c r="G1483" t="inlineStr">
        <is>
          <t>New</t>
        </is>
      </c>
      <c r="I1483">
        <f>IF(H1483&lt;&gt;"",H1483,G1483)</f>
        <v/>
      </c>
      <c r="J1483" t="inlineStr">
        <is>
          <t>Proctoring track · phase 2</t>
        </is>
      </c>
      <c r="K1483" t="n">
        <v>5</v>
      </c>
      <c r="L1483" t="n">
        <v>1</v>
      </c>
      <c r="M1483" s="5" t="inlineStr">
        <is>
          <t>As a student, I want to register for a campus drive so that I can take the test.</t>
        </is>
      </c>
      <c r="N1483" s="5" t="inlineStr">
        <is>
          <t>• Given a registration, when submitted, then it counts only after email or mobile OTP and recorded consent (YX-DLV-14).
• Given eligibility filters and a cap, when I submit, then they apply and ineligible students are told why (YX-DLV-14).
• Given a registration, when saved, then it is de-duplicated against M10 candidates (YX-DLV-14).</t>
        </is>
      </c>
      <c r="O1483" s="5" t="inlineStr">
        <is>
          <t>YX-DLV-14</t>
        </is>
      </c>
      <c r="P1483" t="inlineStr">
        <is>
          <t>T03 §3, T03 §11 B7 / C5</t>
        </is>
      </c>
      <c r="Q1483" t="inlineStr">
        <is>
          <t>US-E-011</t>
        </is>
      </c>
      <c r="R1483" s="5" t="inlineStr"/>
    </row>
    <row r="1484">
      <c r="A1484" t="inlineStr">
        <is>
          <t>US-E-133</t>
        </is>
      </c>
      <c r="B1484" t="n">
        <v>1770</v>
      </c>
      <c r="C1484" t="inlineStr">
        <is>
          <t>Story</t>
        </is>
      </c>
      <c r="D1484" s="5" t="inlineStr">
        <is>
          <t xml:space="preserve">        College coordinator view</t>
        </is>
      </c>
      <c r="E1484" t="inlineStr">
        <is>
          <t>Assessments &amp; proctoring</t>
        </is>
      </c>
      <c r="F1484" t="inlineStr">
        <is>
          <t>Campus drives, test centres and native app</t>
        </is>
      </c>
      <c r="G1484" t="inlineStr">
        <is>
          <t>New</t>
        </is>
      </c>
      <c r="I1484">
        <f>IF(H1484&lt;&gt;"",H1484,G1484)</f>
        <v/>
      </c>
      <c r="J1484" t="inlineStr">
        <is>
          <t>Proctoring track · phase 2</t>
        </is>
      </c>
      <c r="K1484" t="n">
        <v>3</v>
      </c>
      <c r="L1484" t="n">
        <v>1</v>
      </c>
      <c r="M1484" s="5" t="inlineStr">
        <is>
          <t>As a college placement coordinator, I want to see my students’ registration and results so that I can help them.</t>
        </is>
      </c>
      <c r="N1484" s="5" t="inlineStr">
        <is>
          <t>• Given I am a coordinator, when I log in, then I see only my institution’s registrants for drives shared with me (YX-DLV-15).
• Given the company setting, when results show, then I see only none / aggregate / per-candidate as set (YX-DLV-15).
• Given any attempt, when I view it, then answers, evidence, integrity details and accommodations are never shown (YX-DLV-15).</t>
        </is>
      </c>
      <c r="O1484" s="5" t="inlineStr">
        <is>
          <t>YX-DLV-15</t>
        </is>
      </c>
      <c r="P1484" t="inlineStr">
        <is>
          <t>T03 §3, T03 §11 B7 / C5</t>
        </is>
      </c>
      <c r="Q1484" t="inlineStr">
        <is>
          <t>US-E-132</t>
        </is>
      </c>
      <c r="R1484" s="5" t="inlineStr"/>
    </row>
    <row r="1485">
      <c r="A1485" t="inlineStr">
        <is>
          <t>US-E-134</t>
        </is>
      </c>
      <c r="B1485" t="n">
        <v>1770</v>
      </c>
      <c r="C1485" t="inlineStr">
        <is>
          <t>Story</t>
        </is>
      </c>
      <c r="D1485" s="5" t="inlineStr">
        <is>
          <t xml:space="preserve">        Admit cards with signed QR codes</t>
        </is>
      </c>
      <c r="E1485" t="inlineStr">
        <is>
          <t>Assessments &amp; proctoring</t>
        </is>
      </c>
      <c r="F1485" t="inlineStr">
        <is>
          <t>Campus drives, test centres and native app</t>
        </is>
      </c>
      <c r="G1485" t="inlineStr">
        <is>
          <t>New</t>
        </is>
      </c>
      <c r="I1485">
        <f>IF(H1485&lt;&gt;"",H1485,G1485)</f>
        <v/>
      </c>
      <c r="J1485" t="inlineStr">
        <is>
          <t>Proctoring track · phase 2</t>
        </is>
      </c>
      <c r="K1485" t="n">
        <v>3</v>
      </c>
      <c r="L1485" t="n">
        <v>1</v>
      </c>
      <c r="M1485" s="5" t="inlineStr">
        <is>
          <t>As a student, I want an admit card with a QR so that check-in is quick.</t>
        </is>
      </c>
      <c r="N1485" s="5" t="inlineStr">
        <is>
          <t>• Given an eligible registration or booked slot, when issued, then the admit card has a signed single-attempt QR (YX-DLV-16).
• Given a reissue, when done, then the old QR is revoked (YX-DLV-16).
• Given a revoked or foreign QR, when scanned at check-in, then it fails (YX-DLV-16).</t>
        </is>
      </c>
      <c r="O1485" s="5" t="inlineStr">
        <is>
          <t>YX-DLV-16</t>
        </is>
      </c>
      <c r="P1485" t="inlineStr">
        <is>
          <t>T03 §3, T03 §11 B7 / C5</t>
        </is>
      </c>
      <c r="Q1485" t="inlineStr">
        <is>
          <t>US-E-132</t>
        </is>
      </c>
      <c r="R1485" s="5" t="inlineStr"/>
    </row>
    <row r="1486">
      <c r="A1486" t="inlineStr">
        <is>
          <t>US-E-135</t>
        </is>
      </c>
      <c r="B1486" t="n">
        <v>1770</v>
      </c>
      <c r="C1486" t="inlineStr">
        <is>
          <t>Story</t>
        </is>
      </c>
      <c r="D1486" s="5" t="inlineStr">
        <is>
          <t xml:space="preserve">        Native candidate app for Open and AI-only tests</t>
        </is>
      </c>
      <c r="E1486" t="inlineStr">
        <is>
          <t>Assessments &amp; proctoring</t>
        </is>
      </c>
      <c r="F1486" t="inlineStr">
        <is>
          <t>Campus drives, test centres and native app</t>
        </is>
      </c>
      <c r="G1486" t="inlineStr">
        <is>
          <t>New</t>
        </is>
      </c>
      <c r="I1486">
        <f>IF(H1486&lt;&gt;"",H1486,G1486)</f>
        <v/>
      </c>
      <c r="J1486" t="inlineStr">
        <is>
          <t>Proctoring track · phase 2</t>
        </is>
      </c>
      <c r="K1486" t="n">
        <v>8</v>
      </c>
      <c r="L1486" t="n">
        <v>2</v>
      </c>
      <c r="M1486" s="5" t="inlineStr">
        <is>
          <t>As a candidate, I want to take tests on the mobile app so that I can test without a laptop.</t>
        </is>
      </c>
      <c r="N1486" s="5" t="inlineStr">
        <is>
          <t>• Given a test in Open or AI-only mode, when I open it in the app, then I can take it; other modes are refused (YX-DLV-17).
• Given the test needs lockdown, when the OS lockdown is not active, then the attempt cannot start (YX-DLV-17).
• Given I leave the app, when detected, then it is a T04 flag, never an auto-fail (YX-DLV-17).</t>
        </is>
      </c>
      <c r="O1486" s="5" t="inlineStr">
        <is>
          <t>YX-DLV-17</t>
        </is>
      </c>
      <c r="P1486" t="inlineStr">
        <is>
          <t>T03 §3, T03 §11 B7 / C5</t>
        </is>
      </c>
      <c r="Q1486" t="inlineStr"/>
      <c r="R1486" s="5" t="inlineStr"/>
    </row>
    <row r="1487">
      <c r="A1487" t="inlineStr">
        <is>
          <t>US-E-136</t>
        </is>
      </c>
      <c r="B1487" t="n">
        <v>1770</v>
      </c>
      <c r="C1487" t="inlineStr">
        <is>
          <t>Story</t>
        </is>
      </c>
      <c r="D1487" s="5" t="inlineStr">
        <is>
          <t xml:space="preserve">        Test-centre hybrid mode</t>
        </is>
      </c>
      <c r="E1487" t="inlineStr">
        <is>
          <t>Assessments &amp; proctoring</t>
        </is>
      </c>
      <c r="F1487" t="inlineStr">
        <is>
          <t>Campus drives, test centres and native app</t>
        </is>
      </c>
      <c r="G1487" t="inlineStr">
        <is>
          <t>New</t>
        </is>
      </c>
      <c r="I1487">
        <f>IF(H1487&lt;&gt;"",H1487,G1487)</f>
        <v/>
      </c>
      <c r="J1487" t="inlineStr">
        <is>
          <t>Proctoring track · phase 2</t>
        </is>
      </c>
      <c r="K1487" t="n">
        <v>8</v>
      </c>
      <c r="L1487" t="n">
        <v>3</v>
      </c>
      <c r="M1487" s="5" t="inlineStr">
        <is>
          <t>As a test-centre manager, I want tests to run from a local server so that a centre with weak internet can still test.</t>
        </is>
      </c>
      <c r="N1487" s="5" t="inlineStr">
        <is>
          <t>• Given a test package, when on the centre server, then it is encrypted and unusable before the session start key is released (YX-DLV-18).
• Given answers and evidence, when captured, then they are encrypted and hash-sealed at capture, then synced (YX-DLV-18).
• Given results, when not fully synced, then they are not released (YX-DLV-18).</t>
        </is>
      </c>
      <c r="O1487" s="5" t="inlineStr">
        <is>
          <t>YX-DLV-18</t>
        </is>
      </c>
      <c r="P1487" t="inlineStr">
        <is>
          <t>T03 §3, T03 §11 B7 / C5</t>
        </is>
      </c>
      <c r="Q1487" t="inlineStr"/>
      <c r="R1487" s="5" t="inlineStr"/>
    </row>
    <row r="1488">
      <c r="A1488" t="inlineStr">
        <is>
          <t>US-E-137</t>
        </is>
      </c>
      <c r="B1488" t="n">
        <v>1770</v>
      </c>
      <c r="C1488" t="inlineStr">
        <is>
          <t>Story</t>
        </is>
      </c>
      <c r="D1488" s="5" t="inlineStr">
        <is>
          <t xml:space="preserve">        Invigilator app for centre check-in and incidents</t>
        </is>
      </c>
      <c r="E1488" t="inlineStr">
        <is>
          <t>Assessments &amp; proctoring</t>
        </is>
      </c>
      <c r="F1488" t="inlineStr">
        <is>
          <t>Campus drives, test centres and native app</t>
        </is>
      </c>
      <c r="G1488" t="inlineStr">
        <is>
          <t>New</t>
        </is>
      </c>
      <c r="I1488">
        <f>IF(H1488&lt;&gt;"",H1488,G1488)</f>
        <v/>
      </c>
      <c r="J1488" t="inlineStr">
        <is>
          <t>Proctoring track · phase 2</t>
        </is>
      </c>
      <c r="K1488" t="n">
        <v>5</v>
      </c>
      <c r="L1488" t="n">
        <v>3</v>
      </c>
      <c r="M1488" s="5" t="inlineStr">
        <is>
          <t>As an invigilator, I want to check candidates in and log incidents so that the centre session is controlled.</t>
        </is>
      </c>
      <c r="N1488" s="5" t="inlineStr">
        <is>
          <t>• Given my assigned centre session, when I act, then I can only act within it (YX-DLV-19).
• Given check-in, when a candidate arrives, then a valid admit-card QR and a photo-ID check are required (YX-DLV-19).
• Given a face mismatch, when shown, then it is a flag; I decide and record a reason (YX-DLV-19).
• Given an incident, when I log it, then it is timestamped and joins the T05 incident.</t>
        </is>
      </c>
      <c r="O1488" s="5" t="inlineStr">
        <is>
          <t>YX-DLV-19</t>
        </is>
      </c>
      <c r="P1488" t="inlineStr">
        <is>
          <t>T03 §3, T03 §11 B7 / C5</t>
        </is>
      </c>
      <c r="Q1488" t="inlineStr">
        <is>
          <t>US-E-134, US-E-136</t>
        </is>
      </c>
      <c r="R1488" s="5" t="inlineStr"/>
    </row>
    <row r="1489">
      <c r="A1489" t="inlineStr">
        <is>
          <t>US-E-138</t>
        </is>
      </c>
      <c r="B1489" t="n">
        <v>1770</v>
      </c>
      <c r="C1489" t="inlineStr">
        <is>
          <t>Story</t>
        </is>
      </c>
      <c r="D1489" s="5" t="inlineStr">
        <is>
          <t xml:space="preserve">        Post-test candidate survey</t>
        </is>
      </c>
      <c r="E1489" t="inlineStr">
        <is>
          <t>Assessments &amp; proctoring</t>
        </is>
      </c>
      <c r="F1489" t="inlineStr">
        <is>
          <t>Campus drives, test centres and native app</t>
        </is>
      </c>
      <c r="G1489" t="inlineStr">
        <is>
          <t>New</t>
        </is>
      </c>
      <c r="I1489">
        <f>IF(H1489&lt;&gt;"",H1489,G1489)</f>
        <v/>
      </c>
      <c r="J1489" t="inlineStr">
        <is>
          <t>Proctoring track · phase 2</t>
        </is>
      </c>
      <c r="K1489" t="n">
        <v>2</v>
      </c>
      <c r="L1489" t="n">
        <v>3</v>
      </c>
      <c r="M1489" s="5" t="inlineStr">
        <is>
          <t>As a test owner, I want candidate feedback after the test so that I can improve the experience.</t>
        </is>
      </c>
      <c r="N1489" s="5" t="inlineStr">
        <is>
          <t>• Given submission, when done, then a skippable survey is shown only after submit (YX-DLV-20).
• Given responses, when saved, then they never affect the score (YX-DLV-20).
• Given reports, when shown, then only aggregates with minimum group 5 are visible; reviewers never see individual answers (YX-DLV-20).</t>
        </is>
      </c>
      <c r="O1489" s="5" t="inlineStr">
        <is>
          <t>YX-DLV-20</t>
        </is>
      </c>
      <c r="P1489" t="inlineStr">
        <is>
          <t>T03 §11 C5</t>
        </is>
      </c>
      <c r="Q1489" t="inlineStr"/>
      <c r="R1489" s="5" t="inlineStr"/>
    </row>
    <row r="1490">
      <c r="A1490" s="9" t="inlineStr">
        <is>
          <t>FT-E-16</t>
        </is>
      </c>
      <c r="B1490" s="9" t="n">
        <v>1790</v>
      </c>
      <c r="C1490" s="9" t="inlineStr">
        <is>
          <t>Feature</t>
        </is>
      </c>
      <c r="D1490" s="10" t="inlineStr">
        <is>
          <t xml:space="preserve">    Proctoring controls and monitoring</t>
        </is>
      </c>
      <c r="E1490" s="9" t="inlineStr">
        <is>
          <t>Assessments &amp; proctoring</t>
        </is>
      </c>
      <c r="F1490" s="9" t="inlineStr">
        <is>
          <t>Proctoring controls and monitoring</t>
        </is>
      </c>
      <c r="G1490" s="9" t="inlineStr">
        <is>
          <t>New</t>
        </is>
      </c>
      <c r="H1490" s="9" t="n"/>
      <c r="I1490" s="9">
        <f>IF(H1490&lt;&gt;"",H1490,G1490)</f>
        <v/>
      </c>
      <c r="J1490" s="9" t="inlineStr">
        <is>
          <t>Proctoring track · phase 1</t>
        </is>
      </c>
      <c r="K1490" s="9" t="n"/>
      <c r="L1490" s="9" t="n"/>
      <c r="M1490" s="10" t="inlineStr"/>
      <c r="N1490" s="10" t="inlineStr"/>
      <c r="O1490" s="10" t="inlineStr">
        <is>
          <t>YX-DLV-21, YX-EVAL-23, YX-INT-11, YX-PROC-01, YX-PROC-02, YX-PROC-03, YX-PROC-04, YX-PROC-05, YX-PROC-06, YX-PROC-07, YX-PROC-08, YX-PROC-09, YX-PROC-10, YX-PROC-11, YX-PROC-12, YX-PROC-13, YX-PROC-14, YX-PROC-15, YX-PROC-16, YX-PROC-17, YX-PROC-18, YX-PROC-19, YX-PROC-20</t>
        </is>
      </c>
      <c r="P1490" s="9" t="inlineStr">
        <is>
          <t>T04</t>
        </is>
      </c>
      <c r="Q1490" s="9" t="inlineStr"/>
      <c r="R1490" s="10" t="inlineStr"/>
      <c r="S1490" s="9" t="n"/>
    </row>
    <row r="1491">
      <c r="A1491" t="inlineStr">
        <is>
          <t>US-E-139</t>
        </is>
      </c>
      <c r="B1491" t="n">
        <v>1790</v>
      </c>
      <c r="C1491" t="inlineStr">
        <is>
          <t>Story</t>
        </is>
      </c>
      <c r="D1491" s="5" t="inlineStr">
        <is>
          <t xml:space="preserve">        One proctoring mode per test with presets and an action matrix</t>
        </is>
      </c>
      <c r="E1491" t="inlineStr">
        <is>
          <t>Assessments &amp; proctoring</t>
        </is>
      </c>
      <c r="F1491" t="inlineStr">
        <is>
          <t>Proctoring controls and monitoring</t>
        </is>
      </c>
      <c r="G1491" t="inlineStr">
        <is>
          <t>Active</t>
        </is>
      </c>
      <c r="I1491">
        <f>IF(H1491&lt;&gt;"",H1491,G1491)</f>
        <v/>
      </c>
      <c r="J1491" t="inlineStr">
        <is>
          <t>Proctoring track · phase 1</t>
        </is>
      </c>
      <c r="K1491" t="n">
        <v>5</v>
      </c>
      <c r="L1491" t="n">
        <v>1</v>
      </c>
      <c r="M1491" s="5" t="inlineStr">
        <is>
          <t>As a test owner, I want to pick one proctoring mode with sensible presets so that setup is simple and safe.</t>
        </is>
      </c>
      <c r="N1491" s="5" t="inlineStr">
        <is>
          <t>• Given a published test, when saved, then it has exactly one mode with its preset (YX-PROC-01).
• Given matrix overrides, when set below the mode minimum, then they are refused (YX-PROC-01).
• Given detection signals, when raised, then they are flags and only configured actions (warn / pause / terminate) run (YX-PROC-02).
• Given terminate, when it runs, then the attempt and evidence are kept for review and appeal; nothing auto-fails (YX-PROC-02).</t>
        </is>
      </c>
      <c r="O1491" s="5" t="inlineStr">
        <is>
          <t>YX-PROC-01, YX-PROC-02</t>
        </is>
      </c>
      <c r="P1491" t="inlineStr">
        <is>
          <t>T04</t>
        </is>
      </c>
      <c r="Q1491" t="inlineStr">
        <is>
          <t>US-E-080</t>
        </is>
      </c>
      <c r="R1491" s="5" t="inlineStr">
        <is>
          <t>Exam.proctoringEnforcement, proctoringStrikeLimit, disabledProctoringSignalsJson · apps/exam-runtime/src/attempts/proctoring-severity.ts — flags + strikes exist; explicit modes and full matrix are new</t>
        </is>
      </c>
    </row>
    <row r="1492">
      <c r="A1492" t="inlineStr">
        <is>
          <t>US-E-140</t>
        </is>
      </c>
      <c r="B1492" t="n">
        <v>1790</v>
      </c>
      <c r="C1492" t="inlineStr">
        <is>
          <t>Story</t>
        </is>
      </c>
      <c r="D1492" s="5" t="inlineStr">
        <is>
          <t xml:space="preserve">        AI-assistance signals are review flags only</t>
        </is>
      </c>
      <c r="E1492" t="inlineStr">
        <is>
          <t>Assessments &amp; proctoring</t>
        </is>
      </c>
      <c r="F1492" t="inlineStr">
        <is>
          <t>Proctoring controls and monitoring</t>
        </is>
      </c>
      <c r="G1492" t="inlineStr">
        <is>
          <t>New</t>
        </is>
      </c>
      <c r="I1492">
        <f>IF(H1492&lt;&gt;"",H1492,G1492)</f>
        <v/>
      </c>
      <c r="J1492" t="inlineStr">
        <is>
          <t>Proctoring track · phase 1</t>
        </is>
      </c>
      <c r="K1492" t="n">
        <v>3</v>
      </c>
      <c r="L1492" t="n">
        <v>1</v>
      </c>
      <c r="M1492" s="5" t="inlineStr">
        <is>
          <t>As a reviewer, I want AI-assistance signals shown for review so that no one is punished by a guess.</t>
        </is>
      </c>
      <c r="N1492" s="5" t="inlineStr">
        <is>
          <t>• Given an AI-assistance signal (incl. overlay assistant and second-device voice tool), when raised, then it is a review flag (YX-PROC-03).
• Given such a signal alone, when raised, then it never triggers warn, pause or terminate (YX-PROC-03).
• Given the review screen, when opened, then the signal is shown with its evidence.</t>
        </is>
      </c>
      <c r="O1492" s="5" t="inlineStr">
        <is>
          <t>YX-PROC-03</t>
        </is>
      </c>
      <c r="P1492" t="inlineStr">
        <is>
          <t>T04</t>
        </is>
      </c>
      <c r="Q1492" t="inlineStr">
        <is>
          <t>US-E-139</t>
        </is>
      </c>
      <c r="R1492" s="5" t="inlineStr"/>
    </row>
    <row r="1493">
      <c r="A1493" t="inlineStr">
        <is>
          <t>US-E-141</t>
        </is>
      </c>
      <c r="B1493" t="n">
        <v>1790</v>
      </c>
      <c r="C1493" t="inlineStr">
        <is>
          <t>Story</t>
        </is>
      </c>
      <c r="D1493" s="5" t="inlineStr">
        <is>
          <t xml:space="preserve">        ID document check at start</t>
        </is>
      </c>
      <c r="E1493" t="inlineStr">
        <is>
          <t>Assessments &amp; proctoring</t>
        </is>
      </c>
      <c r="F1493" t="inlineStr">
        <is>
          <t>Proctoring controls and monitoring</t>
        </is>
      </c>
      <c r="G1493" t="inlineStr">
        <is>
          <t>New</t>
        </is>
      </c>
      <c r="I1493">
        <f>IF(H1493&lt;&gt;"",H1493,G1493)</f>
        <v/>
      </c>
      <c r="J1493" t="inlineStr">
        <is>
          <t>Proctoring track · phase 1</t>
        </is>
      </c>
      <c r="K1493" t="n">
        <v>5</v>
      </c>
      <c r="L1493" t="n">
        <v>1</v>
      </c>
      <c r="M1493" s="5" t="inlineStr">
        <is>
          <t>As a proctor, I want an ID check plus face match before start so that the right person sits the test.</t>
        </is>
      </c>
      <c r="N1493" s="5" t="inlineStr">
        <is>
          <t>• Given a mode that needs identity, when the candidate starts, then the ID check and face match must pass or a proctor approves manually (YX-PROC-04).
• Given an ID document, when stored, then only type, masked number and result are kept; the image follows T05 retention (YX-PROC-05).
• Given an Aadhaar card, when processed, then the full number is never stored (YX-PROC-05).
• Given the test runs, when re-verification is due, then it continues periodically (YX-PROC-04).</t>
        </is>
      </c>
      <c r="O1493" s="5" t="inlineStr">
        <is>
          <t>YX-PROC-04, YX-PROC-05</t>
        </is>
      </c>
      <c r="P1493" t="inlineStr">
        <is>
          <t>T04</t>
        </is>
      </c>
      <c r="Q1493" t="inlineStr">
        <is>
          <t>US-E-079</t>
        </is>
      </c>
      <c r="R1493" s="5" t="inlineStr"/>
    </row>
    <row r="1494">
      <c r="A1494" t="inlineStr">
        <is>
          <t>US-E-142</t>
        </is>
      </c>
      <c r="B1494" t="n">
        <v>1790</v>
      </c>
      <c r="C1494" t="inlineStr">
        <is>
          <t>Story</t>
        </is>
      </c>
      <c r="D1494" s="5" t="inlineStr">
        <is>
          <t xml:space="preserve">        Video and audio recording per mode with a clear notice</t>
        </is>
      </c>
      <c r="E1494" t="inlineStr">
        <is>
          <t>Assessments &amp; proctoring</t>
        </is>
      </c>
      <c r="F1494" t="inlineStr">
        <is>
          <t>Proctoring controls and monitoring</t>
        </is>
      </c>
      <c r="G1494" t="inlineStr">
        <is>
          <t>New</t>
        </is>
      </c>
      <c r="I1494">
        <f>IF(H1494&lt;&gt;"",H1494,G1494)</f>
        <v/>
      </c>
      <c r="J1494" t="inlineStr">
        <is>
          <t>Proctoring track · phase 1</t>
        </is>
      </c>
      <c r="K1494" t="n">
        <v>5</v>
      </c>
      <c r="L1494" t="n">
        <v>1</v>
      </c>
      <c r="M1494" s="5" t="inlineStr">
        <is>
          <t>As a candidate, I want to know exactly what is recorded so that I can consent knowingly.</t>
        </is>
      </c>
      <c r="N1494" s="5" t="inlineStr">
        <is>
          <t>• Given the mode, when recording starts, then camera / screen / audio / companion follow the mode (YX-PROC-06).
• Given consent, when shown, then it lists exactly what is recorded (YX-PROC-06, APX-G G-12).
• Given face, voice and video processing, when run, then it is in-region and in-house; only derived text may go to external AI (YX-PROC-07).</t>
        </is>
      </c>
      <c r="O1494" s="5" t="inlineStr">
        <is>
          <t>YX-PROC-06, YX-PROC-07</t>
        </is>
      </c>
      <c r="P1494" t="inlineStr">
        <is>
          <t>T04</t>
        </is>
      </c>
      <c r="Q1494" t="inlineStr">
        <is>
          <t>US-E-139</t>
        </is>
      </c>
      <c r="R1494" s="5" t="inlineStr"/>
    </row>
    <row r="1495">
      <c r="A1495" t="inlineStr">
        <is>
          <t>US-E-143</t>
        </is>
      </c>
      <c r="B1495" t="n">
        <v>1790</v>
      </c>
      <c r="C1495" t="inlineStr">
        <is>
          <t>Story</t>
        </is>
      </c>
      <c r="D1495" s="5" t="inlineStr">
        <is>
          <t xml:space="preserve">        Live proctoring with capacity, waiting room and reasoned actions</t>
        </is>
      </c>
      <c r="E1495" t="inlineStr">
        <is>
          <t>Assessments &amp; proctoring</t>
        </is>
      </c>
      <c r="F1495" t="inlineStr">
        <is>
          <t>Proctoring controls and monitoring</t>
        </is>
      </c>
      <c r="G1495" t="inlineStr">
        <is>
          <t>Active</t>
        </is>
      </c>
      <c r="I1495">
        <f>IF(H1495&lt;&gt;"",H1495,G1495)</f>
        <v/>
      </c>
      <c r="J1495" t="inlineStr">
        <is>
          <t>Proctoring track · phase 1</t>
        </is>
      </c>
      <c r="K1495" t="n">
        <v>5</v>
      </c>
      <c r="L1495" t="n">
        <v>1</v>
      </c>
      <c r="M1495" s="5" t="inlineStr">
        <is>
          <t>As a proctor, I want a manageable number of candidates and logged actions so that live proctoring is fair.</t>
        </is>
      </c>
      <c r="N1495" s="5" t="inlineStr">
        <is>
          <t>• Given live mode, when I watch, then I can watch at most N candidates at once (YX-PROC-08).
• Given no assigned proctor present, when a candidate joins, then a waiting room is shown and the session cannot start (YX-PROC-08).
• Given warn, pause, resume, terminate or manual ID approval, when I act, then a reason is required and audited with my identity (YX-PROC-09).</t>
        </is>
      </c>
      <c r="O1495" s="5" t="inlineStr">
        <is>
          <t>YX-PROC-08, YX-PROC-09</t>
        </is>
      </c>
      <c r="P1495" t="inlineStr">
        <is>
          <t>T04</t>
        </is>
      </c>
      <c r="Q1495" t="inlineStr">
        <is>
          <t>US-E-081</t>
        </is>
      </c>
      <c r="R1495" s="5" t="inlineStr">
        <is>
          <t>apps/exam-runtime/src/monitoring/monitoring.gateway.ts — live view and actions exist; capacity, waiting room and reasons are new</t>
        </is>
      </c>
    </row>
    <row r="1496">
      <c r="A1496" t="inlineStr">
        <is>
          <t>US-E-144</t>
        </is>
      </c>
      <c r="B1496" t="n">
        <v>1790</v>
      </c>
      <c r="C1496" t="inlineStr">
        <is>
          <t>Story</t>
        </is>
      </c>
      <c r="D1496" s="5" t="inlineStr">
        <is>
          <t xml:space="preserve">        Companion second-camera device</t>
        </is>
      </c>
      <c r="E1496" t="inlineStr">
        <is>
          <t>Assessments &amp; proctoring</t>
        </is>
      </c>
      <c r="F1496" t="inlineStr">
        <is>
          <t>Proctoring controls and monitoring</t>
        </is>
      </c>
      <c r="G1496" t="inlineStr">
        <is>
          <t>New</t>
        </is>
      </c>
      <c r="I1496">
        <f>IF(H1496&lt;&gt;"",H1496,G1496)</f>
        <v/>
      </c>
      <c r="J1496" t="inlineStr">
        <is>
          <t>Proctoring track · phase 1</t>
        </is>
      </c>
      <c r="K1496" t="n">
        <v>5</v>
      </c>
      <c r="L1496" t="n">
        <v>2</v>
      </c>
      <c r="M1496" s="5" t="inlineStr">
        <is>
          <t>As a proctor, I want a second camera view of the room so that hidden help is seen.</t>
        </is>
      </c>
      <c r="N1496" s="5" t="inlineStr">
        <is>
          <t>• Given a companion device, when paired, then a single-use code binds it to the attempt (YX-PROC-10).
• Given its stream, when captured, then it is evidence like the main stream (YX-PROC-10).
• Given a used code, when reused, then pairing fails.</t>
        </is>
      </c>
      <c r="O1496" s="5" t="inlineStr">
        <is>
          <t>YX-PROC-10</t>
        </is>
      </c>
      <c r="P1496" t="inlineStr">
        <is>
          <t>T04</t>
        </is>
      </c>
      <c r="Q1496" t="inlineStr">
        <is>
          <t>US-E-142</t>
        </is>
      </c>
      <c r="R1496" s="5" t="inlineStr"/>
    </row>
    <row r="1497">
      <c r="A1497" t="inlineStr">
        <is>
          <t>US-E-145</t>
        </is>
      </c>
      <c r="B1497" t="n">
        <v>1790</v>
      </c>
      <c r="C1497" t="inlineStr">
        <is>
          <t>Story</t>
        </is>
      </c>
      <c r="D1497" s="5" t="inlineStr">
        <is>
          <t xml:space="preserve">        Secure client check at start</t>
        </is>
      </c>
      <c r="E1497" t="inlineStr">
        <is>
          <t>Assessments &amp; proctoring</t>
        </is>
      </c>
      <c r="F1497" t="inlineStr">
        <is>
          <t>Proctoring controls and monitoring</t>
        </is>
      </c>
      <c r="G1497" t="inlineStr">
        <is>
          <t>Active</t>
        </is>
      </c>
      <c r="I1497">
        <f>IF(H1497&lt;&gt;"",H1497,G1497)</f>
        <v/>
      </c>
      <c r="J1497" t="inlineStr">
        <is>
          <t>Proctoring track · phase 1</t>
        </is>
      </c>
      <c r="K1497" t="n">
        <v>2</v>
      </c>
      <c r="L1497" t="n">
        <v>1</v>
      </c>
      <c r="M1497" s="5" t="inlineStr">
        <is>
          <t>As a test owner, I want the secure client verified at start so that only the real client is used.</t>
        </is>
      </c>
      <c r="N1497" s="5" t="inlineStr">
        <is>
          <t>• Given a mode that requires the secure client or SEB, when the config key or signature mismatches, then start is blocked (YX-PROC-11).
• Given a mode that does not require it, when absent, then the start continues.
• Given a mismatch, when blocked, then the candidate sees how to fix it.</t>
        </is>
      </c>
      <c r="O1497" s="5" t="inlineStr">
        <is>
          <t>YX-PROC-11</t>
        </is>
      </c>
      <c r="P1497" t="inlineStr">
        <is>
          <t>T04</t>
        </is>
      </c>
      <c r="Q1497" t="inlineStr">
        <is>
          <t>US-E-080</t>
        </is>
      </c>
      <c r="R1497" s="5" t="inlineStr">
        <is>
          <t>apps/exam-runtime/src/attempts/attempt.service.ts (SEB ConfigKey check) — SEB check exists; YukthiX client signature check is new</t>
        </is>
      </c>
    </row>
    <row r="1498">
      <c r="A1498" t="inlineStr">
        <is>
          <t>US-E-146</t>
        </is>
      </c>
      <c r="B1498" t="n">
        <v>1790</v>
      </c>
      <c r="C1498" t="inlineStr">
        <is>
          <t>Story</t>
        </is>
      </c>
      <c r="D1498" s="5" t="inlineStr">
        <is>
          <t xml:space="preserve">        YukthiX proctor pool with slot-limited grants</t>
        </is>
      </c>
      <c r="E1498" t="inlineStr">
        <is>
          <t>Assessments &amp; proctoring</t>
        </is>
      </c>
      <c r="F1498" t="inlineStr">
        <is>
          <t>Proctoring controls and monitoring</t>
        </is>
      </c>
      <c r="G1498" t="inlineStr">
        <is>
          <t>New</t>
        </is>
      </c>
      <c r="I1498">
        <f>IF(H1498&lt;&gt;"",H1498,G1498)</f>
        <v/>
      </c>
      <c r="J1498" t="inlineStr">
        <is>
          <t>Proctoring track · phase 1</t>
        </is>
      </c>
      <c r="K1498" t="n">
        <v>5</v>
      </c>
      <c r="L1498" t="n">
        <v>2</v>
      </c>
      <c r="M1498" s="5" t="inlineStr">
        <is>
          <t>As a company admin, I want to use YukthiX proctors when my team is busy so that live tests always have a proctor.</t>
        </is>
      </c>
      <c r="N1498" s="5" t="inlineStr">
        <is>
          <t>• Given no active opt-in, when I try to assign a pool proctor, then it is refused (YX-PROC-12).
• Given an assignment, when made, then a P02 proctor-service grant for that slot only is issued (YX-PROC-12).
• Given the grant, when used, then it covers live view and evidence for those candidates only, in the slot window (YX-PROC-12).</t>
        </is>
      </c>
      <c r="O1498" s="5" t="inlineStr">
        <is>
          <t>YX-PROC-12</t>
        </is>
      </c>
      <c r="P1498" t="inlineStr">
        <is>
          <t>T04</t>
        </is>
      </c>
      <c r="Q1498" t="inlineStr">
        <is>
          <t>US-E-143</t>
        </is>
      </c>
      <c r="R1498" s="5" t="inlineStr"/>
    </row>
    <row r="1499">
      <c r="A1499" t="inlineStr">
        <is>
          <t>US-E-147</t>
        </is>
      </c>
      <c r="B1499" t="n">
        <v>1790</v>
      </c>
      <c r="C1499" t="inlineStr">
        <is>
          <t>Story</t>
        </is>
      </c>
      <c r="D1499" s="5" t="inlineStr">
        <is>
          <t xml:space="preserve">        Object and gaze detection as flags</t>
        </is>
      </c>
      <c r="E1499" t="inlineStr">
        <is>
          <t>Assessments &amp; proctoring</t>
        </is>
      </c>
      <c r="F1499" t="inlineStr">
        <is>
          <t>Proctoring controls and monitoring</t>
        </is>
      </c>
      <c r="G1499" t="inlineStr">
        <is>
          <t>New</t>
        </is>
      </c>
      <c r="I1499">
        <f>IF(H1499&lt;&gt;"",H1499,G1499)</f>
        <v/>
      </c>
      <c r="J1499" t="inlineStr">
        <is>
          <t>Proctoring track · phase 2</t>
        </is>
      </c>
      <c r="K1499" t="n">
        <v>5</v>
      </c>
      <c r="L1499" t="n">
        <v>2</v>
      </c>
      <c r="M1499" s="5" t="inlineStr">
        <is>
          <t>As a reviewer, I want phones, books and gaze patterns flagged so that I can review possible cheating.</t>
        </is>
      </c>
      <c r="N1499" s="5" t="inlineStr">
        <is>
          <t>• Given object or gaze signals, when raised, then they are flags acting only through the action matrix (YX-PROC-13).
• Given frames, when analysed, then processing is in-region and in-house (YX-PROC-13).
• Given gaze and earbud signals, when the company switches them off, then they are not raised (YX-PROC-13).</t>
        </is>
      </c>
      <c r="O1499" s="5" t="inlineStr">
        <is>
          <t>YX-PROC-13</t>
        </is>
      </c>
      <c r="P1499" t="inlineStr">
        <is>
          <t>T04</t>
        </is>
      </c>
      <c r="Q1499" t="inlineStr">
        <is>
          <t>US-E-139</t>
        </is>
      </c>
      <c r="R1499" s="5" t="inlineStr"/>
    </row>
    <row r="1500">
      <c r="A1500" t="inlineStr">
        <is>
          <t>US-E-148</t>
        </is>
      </c>
      <c r="B1500" t="n">
        <v>1790</v>
      </c>
      <c r="C1500" t="inlineStr">
        <is>
          <t>Story</t>
        </is>
      </c>
      <c r="D1500" s="5" t="inlineStr">
        <is>
          <t xml:space="preserve">        Integrity score with visible weights</t>
        </is>
      </c>
      <c r="E1500" t="inlineStr">
        <is>
          <t>Assessments &amp; proctoring</t>
        </is>
      </c>
      <c r="F1500" t="inlineStr">
        <is>
          <t>Proctoring controls and monitoring</t>
        </is>
      </c>
      <c r="G1500" t="inlineStr">
        <is>
          <t>Active</t>
        </is>
      </c>
      <c r="I1500">
        <f>IF(H1500&lt;&gt;"",H1500,G1500)</f>
        <v/>
      </c>
      <c r="J1500" t="inlineStr">
        <is>
          <t>Proctoring track · phase 2</t>
        </is>
      </c>
      <c r="K1500" t="n">
        <v>3</v>
      </c>
      <c r="L1500" t="n">
        <v>1</v>
      </c>
      <c r="M1500" s="5" t="inlineStr">
        <is>
          <t>As a reviewer, I want a 0–100 integrity score with its parts so that I understand why an attempt is risky.</t>
        </is>
      </c>
      <c r="N1500" s="5" t="inlineStr">
        <is>
          <t>• Given AI-only, Record &amp; review or Live mode, when analysed, then the attempt gets a 0–100 score next to its level (YX-PROC-14).
• Given the score, when shown, then weights, contributions and weight-profile version are shown (YX-PROC-14).
• Given the company changes weights, when saved, then a new profile version is created from the starter template.</t>
        </is>
      </c>
      <c r="O1500" s="5" t="inlineStr">
        <is>
          <t>YX-PROC-14</t>
        </is>
      </c>
      <c r="P1500" t="inlineStr">
        <is>
          <t>T04</t>
        </is>
      </c>
      <c r="Q1500" t="inlineStr">
        <is>
          <t>US-E-082</t>
        </is>
      </c>
      <c r="R1500" s="5" t="inlineStr">
        <is>
          <t>apps/exam-runtime/src/integrity/integrity-rules.ts — weighted levels exist; numeric score and weight profiles are new</t>
        </is>
      </c>
    </row>
    <row r="1501">
      <c r="A1501" t="inlineStr">
        <is>
          <t>US-E-150</t>
        </is>
      </c>
      <c r="B1501" t="n">
        <v>1790</v>
      </c>
      <c r="C1501" t="inlineStr">
        <is>
          <t>Story</t>
        </is>
      </c>
      <c r="D1501" s="5" t="inlineStr">
        <is>
          <t xml:space="preserve">        AI-allowed tests with a logged in-runner assistant</t>
        </is>
      </c>
      <c r="E1501" t="inlineStr">
        <is>
          <t>Assessments &amp; proctoring</t>
        </is>
      </c>
      <c r="F1501" t="inlineStr">
        <is>
          <t>Proctoring controls and monitoring</t>
        </is>
      </c>
      <c r="G1501" t="inlineStr">
        <is>
          <t>New</t>
        </is>
      </c>
      <c r="I1501">
        <f>IF(H1501&lt;&gt;"",H1501,G1501)</f>
        <v/>
      </c>
      <c r="J1501" t="inlineStr">
        <is>
          <t>Proctoring track · phase 2</t>
        </is>
      </c>
      <c r="K1501" t="n">
        <v>5</v>
      </c>
      <c r="L1501" t="n">
        <v>3</v>
      </c>
      <c r="M1501" s="5" t="inlineStr">
        <is>
          <t>As a test owner, I want to allow an approved AI assistant in some tests so that I can test how people work with AI.</t>
        </is>
      </c>
      <c r="N1501" s="5" t="inlineStr">
        <is>
          <t>• Given an AI-allowed test, when it runs, then AI-assistance signals are off and the in-runner assistant is available (YX-PROC-16).
• Given assistant use, when it happens, then all prompts and outputs are logged per question (YX-PROC-16).
• Given evaluation, when evaluators open a response, then they see the full assistant log and score prompting only from it (YX-EVAL-23).
• Given the approved assistant, when used, then it is never an integrity issue in that test (YX-EVAL-23).</t>
        </is>
      </c>
      <c r="O1501" s="5" t="inlineStr">
        <is>
          <t>YX-PROC-16, YX-EVAL-23</t>
        </is>
      </c>
      <c r="P1501" t="inlineStr">
        <is>
          <t>T04</t>
        </is>
      </c>
      <c r="Q1501" t="inlineStr">
        <is>
          <t>US-E-140</t>
        </is>
      </c>
      <c r="R1501" s="5" t="inlineStr"/>
    </row>
    <row r="1502">
      <c r="A1502" t="inlineStr">
        <is>
          <t>US-E-151</t>
        </is>
      </c>
      <c r="B1502" t="n">
        <v>1790</v>
      </c>
      <c r="C1502" t="inlineStr">
        <is>
          <t>Story</t>
        </is>
      </c>
      <c r="D1502" s="5" t="inlineStr">
        <is>
          <t xml:space="preserve">        Live-proctor SLA with automatic fallback</t>
        </is>
      </c>
      <c r="E1502" t="inlineStr">
        <is>
          <t>Assessments &amp; proctoring</t>
        </is>
      </c>
      <c r="F1502" t="inlineStr">
        <is>
          <t>Proctoring controls and monitoring</t>
        </is>
      </c>
      <c r="G1502" t="inlineStr">
        <is>
          <t>New</t>
        </is>
      </c>
      <c r="I1502">
        <f>IF(H1502&lt;&gt;"",H1502,G1502)</f>
        <v/>
      </c>
      <c r="J1502" t="inlineStr">
        <is>
          <t>Proctoring track · phase 1</t>
        </is>
      </c>
      <c r="K1502" t="n">
        <v>3</v>
      </c>
      <c r="L1502" t="n">
        <v>1</v>
      </c>
      <c r="M1502" s="5" t="inlineStr">
        <is>
          <t>As a candidate, I want my test to continue if no proctor joins so that I am not stuck waiting.</t>
        </is>
      </c>
      <c r="N1502" s="5" t="inlineStr">
        <is>
          <t>• Given a live session, when no assigned proctor is present 10 minutes after the slot start, then the attempt continues in Record &amp; review (YX-PROC-17).
• Given the fallback, when it happens, then waiting time is credited (YX-PROC-17).
• Given the fallback, when it happens, then the test owner is notified and it is reported.</t>
        </is>
      </c>
      <c r="O1502" s="5" t="inlineStr">
        <is>
          <t>YX-PROC-17</t>
        </is>
      </c>
      <c r="P1502" t="inlineStr">
        <is>
          <t>T04</t>
        </is>
      </c>
      <c r="Q1502" t="inlineStr">
        <is>
          <t>US-E-143, US-E-122</t>
        </is>
      </c>
      <c r="R1502" s="5" t="inlineStr"/>
    </row>
    <row r="1503">
      <c r="A1503" t="inlineStr">
        <is>
          <t>US-E-152</t>
        </is>
      </c>
      <c r="B1503" t="n">
        <v>1790</v>
      </c>
      <c r="C1503" t="inlineStr">
        <is>
          <t>Story</t>
        </is>
      </c>
      <c r="D1503" s="5" t="inlineStr">
        <is>
          <t xml:space="preserve">        No-face-detection mode</t>
        </is>
      </c>
      <c r="E1503" t="inlineStr">
        <is>
          <t>Assessments &amp; proctoring</t>
        </is>
      </c>
      <c r="F1503" t="inlineStr">
        <is>
          <t>Proctoring controls and monitoring</t>
        </is>
      </c>
      <c r="G1503" t="inlineStr">
        <is>
          <t>New</t>
        </is>
      </c>
      <c r="I1503">
        <f>IF(H1503&lt;&gt;"",H1503,G1503)</f>
        <v/>
      </c>
      <c r="J1503" t="inlineStr">
        <is>
          <t>Proctoring track · phase 1</t>
        </is>
      </c>
      <c r="K1503" t="n">
        <v>3</v>
      </c>
      <c r="L1503" t="n">
        <v>1</v>
      </c>
      <c r="M1503" s="5" t="inlineStr">
        <is>
          <t>As a company admin, I want a test without continuous face analysis so that we can test where face analysis is not allowed.</t>
        </is>
      </c>
      <c r="N1503" s="5" t="inlineStr">
        <is>
          <t>• Given no face detection is set, when the test runs, then no face-match re-verification, gaze or face-region signals run (YX-PROC-18).
• Given this mode, when identity is needed, then the ID check and / or a proctor’s manual check is used (YX-PROC-18).
• Given this mode, when shown to candidates, then the notice says no face analysis is done.</t>
        </is>
      </c>
      <c r="O1503" s="5" t="inlineStr">
        <is>
          <t>YX-PROC-18</t>
        </is>
      </c>
      <c r="P1503" t="inlineStr">
        <is>
          <t>T04</t>
        </is>
      </c>
      <c r="Q1503" t="inlineStr">
        <is>
          <t>US-E-141</t>
        </is>
      </c>
      <c r="R1503" s="5" t="inlineStr"/>
    </row>
    <row r="1504">
      <c r="A1504" t="inlineStr">
        <is>
          <t>US-E-153</t>
        </is>
      </c>
      <c r="B1504" t="n">
        <v>1790</v>
      </c>
      <c r="C1504" t="inlineStr">
        <is>
          <t>Story</t>
        </is>
      </c>
      <c r="D1504" s="5" t="inlineStr">
        <is>
          <t xml:space="preserve">        Identity chain across hiring</t>
        </is>
      </c>
      <c r="E1504" t="inlineStr">
        <is>
          <t>Assessments &amp; proctoring</t>
        </is>
      </c>
      <c r="F1504" t="inlineStr">
        <is>
          <t>Proctoring controls and monitoring</t>
        </is>
      </c>
      <c r="G1504" t="inlineStr">
        <is>
          <t>New</t>
        </is>
      </c>
      <c r="I1504">
        <f>IF(H1504&lt;&gt;"",H1504,G1504)</f>
        <v/>
      </c>
      <c r="J1504" t="inlineStr">
        <is>
          <t>Proctoring track · phase 1</t>
        </is>
      </c>
      <c r="K1504" t="n">
        <v>5</v>
      </c>
      <c r="L1504" t="n">
        <v>1</v>
      </c>
      <c r="M1504" s="5" t="inlineStr">
        <is>
          <t>As a recruiter, I want the consented face template captured once and matched at each later step so that the same person goes through hiring.</t>
        </is>
      </c>
      <c r="N1504" s="5" t="inlineStr">
        <is>
          <t>• Given consent per jurisdiction, when the first identity step runs (application, test or centre), then face template and ID are captured once (YX-PROC-19, YX-DLV-21).
• Given a later step, when it runs, then it matches against the stored template (YX-PROC-19, YX-DLV-21).
• Given a mismatch, when found, then identity.mismatch opens an incident for review, never an auto-reject (YX-PROC-19).</t>
        </is>
      </c>
      <c r="O1504" s="5" t="inlineStr">
        <is>
          <t>YX-PROC-19, YX-DLV-21</t>
        </is>
      </c>
      <c r="P1504" t="inlineStr">
        <is>
          <t>T04</t>
        </is>
      </c>
      <c r="Q1504" t="inlineStr">
        <is>
          <t>US-E-141, US-E-169</t>
        </is>
      </c>
      <c r="R1504" s="5" t="inlineStr"/>
    </row>
    <row r="1505">
      <c r="A1505" t="inlineStr">
        <is>
          <t>US-E-154</t>
        </is>
      </c>
      <c r="B1505" t="n">
        <v>1790</v>
      </c>
      <c r="C1505" t="inlineStr">
        <is>
          <t>Story</t>
        </is>
      </c>
      <c r="D1505" s="5" t="inlineStr">
        <is>
          <t xml:space="preserve">        Deepfake and voice-clone check on interviews</t>
        </is>
      </c>
      <c r="E1505" t="inlineStr">
        <is>
          <t>Assessments &amp; proctoring</t>
        </is>
      </c>
      <c r="F1505" t="inlineStr">
        <is>
          <t>Proctoring controls and monitoring</t>
        </is>
      </c>
      <c r="G1505" t="inlineStr">
        <is>
          <t>New</t>
        </is>
      </c>
      <c r="I1505">
        <f>IF(H1505&lt;&gt;"",H1505,G1505)</f>
        <v/>
      </c>
      <c r="J1505" t="inlineStr">
        <is>
          <t>Proctoring track · phase 1</t>
        </is>
      </c>
      <c r="K1505" t="n">
        <v>5</v>
      </c>
      <c r="L1505" t="n">
        <v>2</v>
      </c>
      <c r="M1505" s="5" t="inlineStr">
        <is>
          <t>As a recruiter, I want interview video checked for deepfakes so that fake candidates are caught.</t>
        </is>
      </c>
      <c r="N1505" s="5" t="inlineStr">
        <is>
          <t>• Given the add-on and candidate consent, when an interview is recorded, then minimal clips / frames go to the partner connector (YX-PROC-20, YX-INT-11).
• Given test recordings, when processed, then they are never sent (YX-PROC-20).
• Given each call, when made, then region, bytes sent and the result are stored in deepfake_checks (YX-INT-11).
• Given a suspected deepfake, when returned, then it opens a review incident; nothing is auto-decided (YX-PROC-20).</t>
        </is>
      </c>
      <c r="O1505" s="5" t="inlineStr">
        <is>
          <t>YX-PROC-20, YX-INT-11</t>
        </is>
      </c>
      <c r="P1505" t="inlineStr">
        <is>
          <t>T04</t>
        </is>
      </c>
      <c r="Q1505" t="inlineStr">
        <is>
          <t>US-E-153, US-E-279</t>
        </is>
      </c>
      <c r="R1505" s="5" t="inlineStr"/>
    </row>
    <row r="1506">
      <c r="A1506" t="inlineStr">
        <is>
          <t>US-E-155</t>
        </is>
      </c>
      <c r="B1506" t="n">
        <v>1790</v>
      </c>
      <c r="C1506" t="inlineStr">
        <is>
          <t>Story</t>
        </is>
      </c>
      <c r="D1506" s="5" t="inlineStr">
        <is>
          <t xml:space="preserve">        Room scan and audio monitoring</t>
        </is>
      </c>
      <c r="E1506" t="inlineStr">
        <is>
          <t>Assessments &amp; proctoring</t>
        </is>
      </c>
      <c r="F1506" t="inlineStr">
        <is>
          <t>Proctoring controls and monitoring</t>
        </is>
      </c>
      <c r="G1506" t="inlineStr">
        <is>
          <t>New</t>
        </is>
      </c>
      <c r="I1506">
        <f>IF(H1506&lt;&gt;"",H1506,G1506)</f>
        <v/>
      </c>
      <c r="J1506" t="inlineStr">
        <is>
          <t>Proctoring track · phase 1</t>
        </is>
      </c>
      <c r="K1506" t="n">
        <v>5</v>
      </c>
      <c r="L1506" t="n">
        <v>2</v>
      </c>
      <c r="M1506" s="5" t="inlineStr">
        <is>
          <t>As a proctor, I want a room scan at start and audio flags so that hidden help is caught.</t>
        </is>
      </c>
      <c r="N1506" s="5" t="inlineStr">
        <is>
          <t>• Given a mode with room scan, when the candidate starts, then a 360° scan is recorded as evidence.
• Given audio monitoring, when voices are detected, then a flag is raised through the matrix (YX-PROC-02).
• Given print attempts, when detected, then printing is blocked and logged.</t>
        </is>
      </c>
      <c r="O1506" s="5" t="inlineStr">
        <is>
          <t>YX-PROC-02</t>
        </is>
      </c>
      <c r="P1506" t="inlineStr">
        <is>
          <t>T04</t>
        </is>
      </c>
      <c r="Q1506" t="inlineStr">
        <is>
          <t>US-E-142</t>
        </is>
      </c>
      <c r="R1506" s="5" t="inlineStr"/>
    </row>
    <row r="1507">
      <c r="A1507" t="inlineStr">
        <is>
          <t>US-E-149</t>
        </is>
      </c>
      <c r="B1507" t="n">
        <v>1845</v>
      </c>
      <c r="C1507" t="inlineStr">
        <is>
          <t>Story</t>
        </is>
      </c>
      <c r="D1507" s="5" t="inlineStr">
        <is>
          <t xml:space="preserve">        Keystroke dynamics as a consented signal</t>
        </is>
      </c>
      <c r="E1507" t="inlineStr">
        <is>
          <t>Assessments &amp; proctoring</t>
        </is>
      </c>
      <c r="F1507" t="inlineStr">
        <is>
          <t>Proctoring controls and monitoring</t>
        </is>
      </c>
      <c r="G1507" t="inlineStr">
        <is>
          <t>New</t>
        </is>
      </c>
      <c r="I1507">
        <f>IF(H1507&lt;&gt;"",H1507,G1507)</f>
        <v/>
      </c>
      <c r="J1507" t="inlineStr">
        <is>
          <t>Proctoring track · phase 2</t>
        </is>
      </c>
      <c r="K1507" t="n">
        <v>3</v>
      </c>
      <c r="L1507" t="n">
        <v>3</v>
      </c>
      <c r="M1507" s="5" t="inlineStr">
        <is>
          <t>As a test owner, I want keystroke dynamics only with consent so that the signal is lawful.</t>
        </is>
      </c>
      <c r="N1507" s="5" t="inlineStr">
        <is>
          <t>• Given a test, when created, then keystroke dynamics is off by default (YX-PROC-15).
• Given it is enabled, when a candidate declines the separate consent, then they continue without it and are not flagged (YX-PROC-15).
• Given a mismatch, when found, then it is a flag only; never enabled for under-18 candidates (YX-PROC-15).</t>
        </is>
      </c>
      <c r="O1507" s="5" t="inlineStr">
        <is>
          <t>YX-PROC-15</t>
        </is>
      </c>
      <c r="P1507" t="inlineStr">
        <is>
          <t>T04</t>
        </is>
      </c>
      <c r="Q1507" t="inlineStr">
        <is>
          <t>US-E-169</t>
        </is>
      </c>
      <c r="R1507" s="5" t="inlineStr"/>
    </row>
    <row r="1508">
      <c r="A1508" s="9" t="inlineStr">
        <is>
          <t>FT-E-17</t>
        </is>
      </c>
      <c r="B1508" s="9" t="n">
        <v>1820</v>
      </c>
      <c r="C1508" s="9" t="inlineStr">
        <is>
          <t>Feature</t>
        </is>
      </c>
      <c r="D1508" s="10" t="inlineStr">
        <is>
          <t xml:space="preserve">    Integrity, incidents and appeals</t>
        </is>
      </c>
      <c r="E1508" s="9" t="inlineStr">
        <is>
          <t>Assessments &amp; proctoring</t>
        </is>
      </c>
      <c r="F1508" s="9" t="inlineStr">
        <is>
          <t>Integrity, incidents and appeals</t>
        </is>
      </c>
      <c r="G1508" s="9" t="inlineStr">
        <is>
          <t>New</t>
        </is>
      </c>
      <c r="H1508" s="9" t="n"/>
      <c r="I1508" s="9">
        <f>IF(H1508&lt;&gt;"",H1508,G1508)</f>
        <v/>
      </c>
      <c r="J1508" s="9" t="inlineStr">
        <is>
          <t>Proctoring track · phase 1</t>
        </is>
      </c>
      <c r="K1508" s="9" t="n"/>
      <c r="L1508" s="9" t="n"/>
      <c r="M1508" s="10" t="inlineStr"/>
      <c r="N1508" s="10" t="inlineStr"/>
      <c r="O1508" s="10" t="inlineStr">
        <is>
          <t>YX-EVAL-01, YX-EVAL-02, YX-EVAL-03, YX-EVAL-04, YX-EVAL-07, YX-EVAL-15, YX-EVAL-16, YX-EVAL-30, YX-EVAL-31</t>
        </is>
      </c>
      <c r="P1508" s="9" t="inlineStr">
        <is>
          <t>T05 §3, T05 §5</t>
        </is>
      </c>
      <c r="Q1508" s="9" t="inlineStr"/>
      <c r="R1508" s="10" t="inlineStr"/>
      <c r="S1508" s="9" t="n"/>
    </row>
    <row r="1509">
      <c r="A1509" t="inlineStr">
        <is>
          <t>US-E-156</t>
        </is>
      </c>
      <c r="B1509" t="n">
        <v>1820</v>
      </c>
      <c r="C1509" t="inlineStr">
        <is>
          <t>Story</t>
        </is>
      </c>
      <c r="D1509" s="5" t="inlineStr">
        <is>
          <t xml:space="preserve">        Incidents with evidence bundles and human verdicts</t>
        </is>
      </c>
      <c r="E1509" t="inlineStr">
        <is>
          <t>Assessments &amp; proctoring</t>
        </is>
      </c>
      <c r="F1509" t="inlineStr">
        <is>
          <t>Integrity, incidents and appeals</t>
        </is>
      </c>
      <c r="G1509" t="inlineStr">
        <is>
          <t>New</t>
        </is>
      </c>
      <c r="I1509">
        <f>IF(H1509&lt;&gt;"",H1509,G1509)</f>
        <v/>
      </c>
      <c r="J1509" t="inlineStr">
        <is>
          <t>Proctoring track · phase 1</t>
        </is>
      </c>
      <c r="K1509" t="n">
        <v>8</v>
      </c>
      <c r="L1509" t="n">
        <v>1</v>
      </c>
      <c r="M1509" s="5" t="inlineStr">
        <is>
          <t>As a reviewer, I want flags grouped into incidents with evidence so that I decide fairly.</t>
        </is>
      </c>
      <c r="N1509" s="5" t="inlineStr">
        <is>
          <t>• Given flags on an attempt, when raised, then they open or join an incident with an evidence bundle.
• Given a verdict, when invalidating a section or attempt, then only a human decides; attempt invalidation needs two reviewers or one plus the test owner (YX-EVAL-01).
• Given any verdict, override or re-score, when saved, then reason, evidence and actor go to the hash-chained audit (YX-EVAL-02).</t>
        </is>
      </c>
      <c r="O1509" s="5" t="inlineStr">
        <is>
          <t>YX-EVAL-01, YX-EVAL-02</t>
        </is>
      </c>
      <c r="P1509" t="inlineStr">
        <is>
          <t>T05 §3, T05 §5</t>
        </is>
      </c>
      <c r="Q1509" t="inlineStr">
        <is>
          <t>US-E-082</t>
        </is>
      </c>
      <c r="R1509" s="5" t="inlineStr"/>
    </row>
    <row r="1510">
      <c r="A1510" t="inlineStr">
        <is>
          <t>US-E-157</t>
        </is>
      </c>
      <c r="B1510" t="n">
        <v>1820</v>
      </c>
      <c r="C1510" t="inlineStr">
        <is>
          <t>Story</t>
        </is>
      </c>
      <c r="D1510" s="5" t="inlineStr">
        <is>
          <t xml:space="preserve">        Results held while an incident or appeal is open</t>
        </is>
      </c>
      <c r="E1510" t="inlineStr">
        <is>
          <t>Assessments &amp; proctoring</t>
        </is>
      </c>
      <c r="F1510" t="inlineStr">
        <is>
          <t>Integrity, incidents and appeals</t>
        </is>
      </c>
      <c r="G1510" t="inlineStr">
        <is>
          <t>New</t>
        </is>
      </c>
      <c r="I1510">
        <f>IF(H1510&lt;&gt;"",H1510,G1510)</f>
        <v/>
      </c>
      <c r="J1510" t="inlineStr">
        <is>
          <t>Proctoring track · phase 1</t>
        </is>
      </c>
      <c r="K1510" t="n">
        <v>3</v>
      </c>
      <c r="L1510" t="n">
        <v>1</v>
      </c>
      <c r="M1510" s="5" t="inlineStr">
        <is>
          <t>As a test owner, I want results held during review so that no decision is made on a disputed result.</t>
        </is>
      </c>
      <c r="N1510" s="5" t="inlineStr">
        <is>
          <t>• Given an open incident or appeal, when results are due, then they are held (YX-EVAL-03).
• Given a held result, when the ATS asks, then no stage move or learning action happens (YX-EVAL-03).
• Given closure, when the incident closes, then the release follows normal rules.</t>
        </is>
      </c>
      <c r="O1510" s="5" t="inlineStr">
        <is>
          <t>YX-EVAL-03</t>
        </is>
      </c>
      <c r="P1510" t="inlineStr">
        <is>
          <t>T05 §3, T05 §5</t>
        </is>
      </c>
      <c r="Q1510" t="inlineStr">
        <is>
          <t>US-E-156</t>
        </is>
      </c>
      <c r="R1510" s="5" t="inlineStr"/>
    </row>
    <row r="1511">
      <c r="A1511" t="inlineStr">
        <is>
          <t>US-E-158</t>
        </is>
      </c>
      <c r="B1511" t="n">
        <v>1820</v>
      </c>
      <c r="C1511" t="inlineStr">
        <is>
          <t>Story</t>
        </is>
      </c>
      <c r="D1511" s="5" t="inlineStr">
        <is>
          <t xml:space="preserve">        Candidate appeals</t>
        </is>
      </c>
      <c r="E1511" t="inlineStr">
        <is>
          <t>Assessments &amp; proctoring</t>
        </is>
      </c>
      <c r="F1511" t="inlineStr">
        <is>
          <t>Integrity, incidents and appeals</t>
        </is>
      </c>
      <c r="G1511" t="inlineStr">
        <is>
          <t>New</t>
        </is>
      </c>
      <c r="I1511">
        <f>IF(H1511&lt;&gt;"",H1511,G1511)</f>
        <v/>
      </c>
      <c r="J1511" t="inlineStr">
        <is>
          <t>Proctoring track · phase 1</t>
        </is>
      </c>
      <c r="K1511" t="n">
        <v>3</v>
      </c>
      <c r="L1511" t="n">
        <v>1</v>
      </c>
      <c r="M1511" s="5" t="inlineStr">
        <is>
          <t>As a candidate, I want to appeal a decision so that mistakes can be fixed.</t>
        </is>
      </c>
      <c r="N1511" s="5" t="inlineStr">
        <is>
          <t>• Given the appeal window, when I appeal, then it is recorded (YX-EVAL-04).
• Given an appeal, when assigned, then the reviewer is not the one who made the first decision (YX-EVAL-04).
• Given a decision, when made, then the decision and reason are sent to me (YX-EVAL-04).</t>
        </is>
      </c>
      <c r="O1511" s="5" t="inlineStr">
        <is>
          <t>YX-EVAL-04</t>
        </is>
      </c>
      <c r="P1511" t="inlineStr">
        <is>
          <t>T05 §3, T05 §5</t>
        </is>
      </c>
      <c r="Q1511" t="inlineStr">
        <is>
          <t>US-E-157</t>
        </is>
      </c>
      <c r="R1511" s="5" t="inlineStr"/>
    </row>
    <row r="1512">
      <c r="A1512" t="inlineStr">
        <is>
          <t>US-E-159</t>
        </is>
      </c>
      <c r="B1512" t="n">
        <v>1820</v>
      </c>
      <c r="C1512" t="inlineStr">
        <is>
          <t>Story</t>
        </is>
      </c>
      <c r="D1512" s="5" t="inlineStr">
        <is>
          <t xml:space="preserve">        MCQ / text collusion and external plagiarism flags</t>
        </is>
      </c>
      <c r="E1512" t="inlineStr">
        <is>
          <t>Assessments &amp; proctoring</t>
        </is>
      </c>
      <c r="F1512" t="inlineStr">
        <is>
          <t>Integrity, incidents and appeals</t>
        </is>
      </c>
      <c r="G1512" t="inlineStr">
        <is>
          <t>Active</t>
        </is>
      </c>
      <c r="I1512">
        <f>IF(H1512&lt;&gt;"",H1512,G1512)</f>
        <v/>
      </c>
      <c r="J1512" t="inlineStr">
        <is>
          <t>Proctoring track · phase 1</t>
        </is>
      </c>
      <c r="K1512" t="n">
        <v>5</v>
      </c>
      <c r="L1512" t="n">
        <v>1</v>
      </c>
      <c r="M1512" s="5" t="inlineStr">
        <is>
          <t>As a reviewer, I want collusion and plagiarism found so that copied answers are reviewed.</t>
        </is>
      </c>
      <c r="N1512" s="5" t="inlineStr">
        <is>
          <t>• Given MCQ answer patterns or text answers, when compared, then collusion is flagged.
• Given the partner add-on, when enabled, then external plagiarism is checked.
• Given a collusion or plagiarism result, when found, then it feeds an incident and never changes a score by itself (YX-EVAL-07).</t>
        </is>
      </c>
      <c r="O1512" s="5" t="inlineStr">
        <is>
          <t>YX-EVAL-07</t>
        </is>
      </c>
      <c r="P1512" t="inlineStr">
        <is>
          <t>T05 §3, T05 §5</t>
        </is>
      </c>
      <c r="Q1512" t="inlineStr">
        <is>
          <t>US-E-156</t>
        </is>
      </c>
      <c r="R1512" s="5" t="inlineStr">
        <is>
          <t>apps/exam-runtime/src/integrity/similarity.ts — code similarity exists; MCQ / text collusion and plagiarism are new</t>
        </is>
      </c>
    </row>
    <row r="1513">
      <c r="A1513" t="inlineStr">
        <is>
          <t>US-E-160</t>
        </is>
      </c>
      <c r="B1513" t="n">
        <v>1820</v>
      </c>
      <c r="C1513" t="inlineStr">
        <is>
          <t>Story</t>
        </is>
      </c>
      <c r="D1513" s="5" t="inlineStr">
        <is>
          <t xml:space="preserve">        Reviewer assignment and conflict of interest</t>
        </is>
      </c>
      <c r="E1513" t="inlineStr">
        <is>
          <t>Assessments &amp; proctoring</t>
        </is>
      </c>
      <c r="F1513" t="inlineStr">
        <is>
          <t>Integrity, incidents and appeals</t>
        </is>
      </c>
      <c r="G1513" t="inlineStr">
        <is>
          <t>New</t>
        </is>
      </c>
      <c r="I1513">
        <f>IF(H1513&lt;&gt;"",H1513,G1513)</f>
        <v/>
      </c>
      <c r="J1513" t="inlineStr">
        <is>
          <t>Proctoring track · phase 1</t>
        </is>
      </c>
      <c r="K1513" t="n">
        <v>3</v>
      </c>
      <c r="L1513" t="n">
        <v>1</v>
      </c>
      <c r="M1513" s="5" t="inlineStr">
        <is>
          <t>As a review lead, I want incidents assigned fairly so that no one reviews their own case.</t>
        </is>
      </c>
      <c r="N1513" s="5" t="inlineStr">
        <is>
          <t>• Given the tenant policy, when an incident is created, then it is assigned by round-robin (starter), language or load (YX-EVAL-15).
• Given a per-test override, when set, then it applies (YX-EVAL-15).
• Given a conflict of interest (e.g. the interviewer who attested), when assigning, then that person is skipped (YX-EVAL-15).</t>
        </is>
      </c>
      <c r="O1513" s="5" t="inlineStr">
        <is>
          <t>YX-EVAL-15</t>
        </is>
      </c>
      <c r="P1513" t="inlineStr">
        <is>
          <t>T05 §3, T05 §5</t>
        </is>
      </c>
      <c r="Q1513" t="inlineStr">
        <is>
          <t>US-E-156</t>
        </is>
      </c>
      <c r="R1513" s="5" t="inlineStr"/>
    </row>
    <row r="1514">
      <c r="A1514" t="inlineStr">
        <is>
          <t>US-E-161</t>
        </is>
      </c>
      <c r="B1514" t="n">
        <v>1820</v>
      </c>
      <c r="C1514" t="inlineStr">
        <is>
          <t>Story</t>
        </is>
      </c>
      <c r="D1514" s="5" t="inlineStr">
        <is>
          <t xml:space="preserve">        Session report PDF</t>
        </is>
      </c>
      <c r="E1514" t="inlineStr">
        <is>
          <t>Assessments &amp; proctoring</t>
        </is>
      </c>
      <c r="F1514" t="inlineStr">
        <is>
          <t>Integrity, incidents and appeals</t>
        </is>
      </c>
      <c r="G1514" t="inlineStr">
        <is>
          <t>New</t>
        </is>
      </c>
      <c r="I1514">
        <f>IF(H1514&lt;&gt;"",H1514,G1514)</f>
        <v/>
      </c>
      <c r="J1514" t="inlineStr">
        <is>
          <t>Proctoring track · phase 2</t>
        </is>
      </c>
      <c r="K1514" t="n">
        <v>3</v>
      </c>
      <c r="L1514" t="n">
        <v>2</v>
      </c>
      <c r="M1514" s="5" t="inlineStr">
        <is>
          <t>As a recruiter, I want one report per attempt so that I can share a summary safely.</t>
        </is>
      </c>
      <c r="N1514" s="5" t="inlineStr">
        <is>
          <t>• Given an attempt, when the report is made, then there is one version and an outcome change creates a new one (YX-EVAL-16).
• Given the report, when made, then it never contains ID images, full recordings or accommodation details (YX-EVAL-16).
• Given withdrawn recording consent or an under-18 test-taker, when made, then stills are left out (YX-EVAL-16).</t>
        </is>
      </c>
      <c r="O1514" s="5" t="inlineStr">
        <is>
          <t>YX-EVAL-16</t>
        </is>
      </c>
      <c r="P1514" t="inlineStr">
        <is>
          <t>T05 §3, T05 §5</t>
        </is>
      </c>
      <c r="Q1514" t="inlineStr">
        <is>
          <t>US-E-156</t>
        </is>
      </c>
      <c r="R1514" s="5" t="inlineStr"/>
    </row>
    <row r="1515">
      <c r="A1515" t="inlineStr">
        <is>
          <t>US-E-162</t>
        </is>
      </c>
      <c r="B1515" t="n">
        <v>1820</v>
      </c>
      <c r="C1515" t="inlineStr">
        <is>
          <t>Story</t>
        </is>
      </c>
      <c r="D1515" s="5" t="inlineStr">
        <is>
          <t xml:space="preserve">        Identity-mismatch and deepfake incidents</t>
        </is>
      </c>
      <c r="E1515" t="inlineStr">
        <is>
          <t>Assessments &amp; proctoring</t>
        </is>
      </c>
      <c r="F1515" t="inlineStr">
        <is>
          <t>Integrity, incidents and appeals</t>
        </is>
      </c>
      <c r="G1515" t="inlineStr">
        <is>
          <t>New</t>
        </is>
      </c>
      <c r="I1515">
        <f>IF(H1515&lt;&gt;"",H1515,G1515)</f>
        <v/>
      </c>
      <c r="J1515" t="inlineStr">
        <is>
          <t>Proctoring track · phase 1</t>
        </is>
      </c>
      <c r="K1515" t="n">
        <v>2</v>
      </c>
      <c r="L1515" t="n">
        <v>1</v>
      </c>
      <c r="M1515" s="5" t="inlineStr">
        <is>
          <t>As a reviewer, I want identity and deepfake signals handled like other incidents so that review is consistent.</t>
        </is>
      </c>
      <c r="N1515" s="5" t="inlineStr">
        <is>
          <t>• Given identity.mismatch, media.synthetic_suspected or voice.clone_suspected, when raised, then it opens or joins an incident (YX-EVAL-30).
• Given assignment, when made, then the interviewer who attested is never the reviewer (YX-EVAL-30).
• Given the verdict, when made, then it follows the human-only rule (YX-EVAL-01).</t>
        </is>
      </c>
      <c r="O1515" s="5" t="inlineStr">
        <is>
          <t>YX-EVAL-30</t>
        </is>
      </c>
      <c r="P1515" t="inlineStr">
        <is>
          <t>T05 §3, T05 §5</t>
        </is>
      </c>
      <c r="Q1515" t="inlineStr">
        <is>
          <t>US-E-160, US-E-154</t>
        </is>
      </c>
      <c r="R1515" s="5" t="inlineStr"/>
    </row>
    <row r="1516">
      <c r="A1516" t="inlineStr">
        <is>
          <t>US-E-163</t>
        </is>
      </c>
      <c r="B1516" t="n">
        <v>1820</v>
      </c>
      <c r="C1516" t="inlineStr">
        <is>
          <t>Story</t>
        </is>
      </c>
      <c r="D1516" s="5" t="inlineStr">
        <is>
          <t xml:space="preserve">        Escalated disputes put a legal hold</t>
        </is>
      </c>
      <c r="E1516" t="inlineStr">
        <is>
          <t>Assessments &amp; proctoring</t>
        </is>
      </c>
      <c r="F1516" t="inlineStr">
        <is>
          <t>Integrity, incidents and appeals</t>
        </is>
      </c>
      <c r="G1516" t="inlineStr">
        <is>
          <t>New</t>
        </is>
      </c>
      <c r="I1516">
        <f>IF(H1516&lt;&gt;"",H1516,G1516)</f>
        <v/>
      </c>
      <c r="J1516" t="inlineStr">
        <is>
          <t>Proctoring track · phase 1</t>
        </is>
      </c>
      <c r="K1516" t="n">
        <v>2</v>
      </c>
      <c r="L1516" t="n">
        <v>2</v>
      </c>
      <c r="M1516" s="5" t="inlineStr">
        <is>
          <t>As a legal admin, I want to record a legal escalation so that all related evidence is kept.</t>
        </is>
      </c>
      <c r="N1516" s="5" t="inlineStr">
        <is>
          <t>• Given a final appeal verdict, when a tenant admin or legal role records an escalation, then reference, date and counsel are stored (YX-EVAL-31).
• Given an escalation, when saved, then a legal hold is placed on every evidence item, score, report and audit record of the attempt (YX-EVAL-31).
• Given a legal hold, when retention runs, then nothing held is deleted.</t>
        </is>
      </c>
      <c r="O1516" s="5" t="inlineStr">
        <is>
          <t>YX-EVAL-31</t>
        </is>
      </c>
      <c r="P1516" t="inlineStr">
        <is>
          <t>T05 §3, T05 §5</t>
        </is>
      </c>
      <c r="Q1516" t="inlineStr">
        <is>
          <t>US-E-168</t>
        </is>
      </c>
      <c r="R1516" s="5" t="inlineStr"/>
    </row>
    <row r="1517">
      <c r="A1517" s="9" t="inlineStr">
        <is>
          <t>FT-E-18</t>
        </is>
      </c>
      <c r="B1517" s="9" t="n">
        <v>1830</v>
      </c>
      <c r="C1517" s="9" t="inlineStr">
        <is>
          <t>Feature</t>
        </is>
      </c>
      <c r="D1517" s="10" t="inlineStr">
        <is>
          <t xml:space="preserve">    Evaluation and scoring</t>
        </is>
      </c>
      <c r="E1517" s="9" t="inlineStr">
        <is>
          <t>Assessments &amp; proctoring</t>
        </is>
      </c>
      <c r="F1517" s="9" t="inlineStr">
        <is>
          <t>Evaluation and scoring</t>
        </is>
      </c>
      <c r="G1517" s="9" t="inlineStr">
        <is>
          <t>New</t>
        </is>
      </c>
      <c r="H1517" s="9" t="n"/>
      <c r="I1517" s="9">
        <f>IF(H1517&lt;&gt;"",H1517,G1517)</f>
        <v/>
      </c>
      <c r="J1517" s="9" t="inlineStr">
        <is>
          <t>Proctoring track · phase 1</t>
        </is>
      </c>
      <c r="K1517" s="9" t="n"/>
      <c r="L1517" s="9" t="n"/>
      <c r="M1517" s="10" t="inlineStr"/>
      <c r="N1517" s="10" t="inlineStr"/>
      <c r="O1517" s="10" t="inlineStr">
        <is>
          <t>YX-EVAL-05, YX-EVAL-06, YX-EVAL-19, YX-EVAL-20</t>
        </is>
      </c>
      <c r="P1517" s="9" t="inlineStr">
        <is>
          <t>T05 §3, T05 §5</t>
        </is>
      </c>
      <c r="Q1517" s="9" t="inlineStr"/>
      <c r="R1517" s="10" t="inlineStr"/>
      <c r="S1517" s="9" t="n"/>
    </row>
    <row r="1518">
      <c r="A1518" t="inlineStr">
        <is>
          <t>US-E-164</t>
        </is>
      </c>
      <c r="B1518" t="n">
        <v>1830</v>
      </c>
      <c r="C1518" t="inlineStr">
        <is>
          <t>Story</t>
        </is>
      </c>
      <c r="D1518" s="5" t="inlineStr">
        <is>
          <t xml:space="preserve">        Rubric marking with blind multiple evaluators</t>
        </is>
      </c>
      <c r="E1518" t="inlineStr">
        <is>
          <t>Assessments &amp; proctoring</t>
        </is>
      </c>
      <c r="F1518" t="inlineStr">
        <is>
          <t>Evaluation and scoring</t>
        </is>
      </c>
      <c r="G1518" t="inlineStr">
        <is>
          <t>New</t>
        </is>
      </c>
      <c r="I1518">
        <f>IF(H1518&lt;&gt;"",H1518,G1518)</f>
        <v/>
      </c>
      <c r="J1518" t="inlineStr">
        <is>
          <t>Proctoring track · phase 1</t>
        </is>
      </c>
      <c r="K1518" t="n">
        <v>5</v>
      </c>
      <c r="L1518" t="n">
        <v>1</v>
      </c>
      <c r="M1518" s="5" t="inlineStr">
        <is>
          <t>As an evaluator, I want to mark essays with a rubric, without seeing others’ marks, so that marking is fair.</t>
        </is>
      </c>
      <c r="N1518" s="5" t="inlineStr">
        <is>
          <t>• Given multiple evaluators, when I mark, then I do not see other scores (YX-EVAL-05).
• Given blind mode, when on, then I do not see the candidate identity (YX-EVAL-05).
• Given a score gap above the threshold, when found, then moderation or a third evaluator is triggered (YX-EVAL-05).</t>
        </is>
      </c>
      <c r="O1518" s="5" t="inlineStr">
        <is>
          <t>YX-EVAL-05</t>
        </is>
      </c>
      <c r="P1518" t="inlineStr">
        <is>
          <t>T05 §3, T05 §5</t>
        </is>
      </c>
      <c r="Q1518" t="inlineStr"/>
      <c r="R1518" s="5" t="inlineStr"/>
    </row>
    <row r="1519">
      <c r="A1519" t="inlineStr">
        <is>
          <t>US-E-165</t>
        </is>
      </c>
      <c r="B1519" t="n">
        <v>1830</v>
      </c>
      <c r="C1519" t="inlineStr">
        <is>
          <t>Story</t>
        </is>
      </c>
      <c r="D1519" s="5" t="inlineStr">
        <is>
          <t xml:space="preserve">        AI-suggested scores are advisory</t>
        </is>
      </c>
      <c r="E1519" t="inlineStr">
        <is>
          <t>Assessments &amp; proctoring</t>
        </is>
      </c>
      <c r="F1519" t="inlineStr">
        <is>
          <t>Evaluation and scoring</t>
        </is>
      </c>
      <c r="G1519" t="inlineStr">
        <is>
          <t>New</t>
        </is>
      </c>
      <c r="I1519">
        <f>IF(H1519&lt;&gt;"",H1519,G1519)</f>
        <v/>
      </c>
      <c r="J1519" t="inlineStr">
        <is>
          <t>Proctoring track · phase 1</t>
        </is>
      </c>
      <c r="K1519" t="n">
        <v>3</v>
      </c>
      <c r="L1519" t="n">
        <v>1</v>
      </c>
      <c r="M1519" s="5" t="inlineStr">
        <is>
          <t>As an evaluator, I want AI suggestions only after my own mark so that I am not biased.</t>
        </is>
      </c>
      <c r="N1519" s="5" t="inlineStr">
        <is>
          <t>• Given an AI-suggested score, when shown, then it appears only after I enter my score (or as a suggestion if configured) (YX-EVAL-06).
• Given an AI score, when not confirmed by a human, then it is never final (YX-EVAL-06).
• Given an under-18 test-taker, when marking, then no AI suggestion is shown (YX-EVAL-13).</t>
        </is>
      </c>
      <c r="O1519" s="5" t="inlineStr">
        <is>
          <t>YX-EVAL-06</t>
        </is>
      </c>
      <c r="P1519" t="inlineStr">
        <is>
          <t>T05 §3, T05 §5</t>
        </is>
      </c>
      <c r="Q1519" t="inlineStr">
        <is>
          <t>US-E-164</t>
        </is>
      </c>
      <c r="R1519" s="5" t="inlineStr"/>
    </row>
    <row r="1520">
      <c r="A1520" t="inlineStr">
        <is>
          <t>US-E-166</t>
        </is>
      </c>
      <c r="B1520" t="n">
        <v>1830</v>
      </c>
      <c r="C1520" t="inlineStr">
        <is>
          <t>Story</t>
        </is>
      </c>
      <c r="D1520" s="5" t="inlineStr">
        <is>
          <t xml:space="preserve">        CEFR language scoring with human confirmation</t>
        </is>
      </c>
      <c r="E1520" t="inlineStr">
        <is>
          <t>Assessments &amp; proctoring</t>
        </is>
      </c>
      <c r="F1520" t="inlineStr">
        <is>
          <t>Evaluation and scoring</t>
        </is>
      </c>
      <c r="G1520" t="inlineStr">
        <is>
          <t>New</t>
        </is>
      </c>
      <c r="I1520">
        <f>IF(H1520&lt;&gt;"",H1520,G1520)</f>
        <v/>
      </c>
      <c r="J1520" t="inlineStr">
        <is>
          <t>Proctoring track · phase 2</t>
        </is>
      </c>
      <c r="K1520" t="n">
        <v>3</v>
      </c>
      <c r="L1520" t="n">
        <v>2</v>
      </c>
      <c r="M1520" s="5" t="inlineStr">
        <is>
          <t>As an evaluator, I want AI CEFR scores confirmed by me so that language results are reliable.</t>
        </is>
      </c>
      <c r="N1520" s="5" t="inlineStr">
        <is>
          <t>• Given a CEFR AI score, when produced, then it is advisory and needs human confirmation before release (YX-EVAL-19).
• Given a high-stakes test, when scored, then an individual human rating is required (YX-EVAL-19).
• Given audio, when analysed, then pronunciation features are computed in-region; only text goes to external AI (YX-EVAL-19).</t>
        </is>
      </c>
      <c r="O1520" s="5" t="inlineStr">
        <is>
          <t>YX-EVAL-19</t>
        </is>
      </c>
      <c r="P1520" t="inlineStr">
        <is>
          <t>T05 §3, T05 §5</t>
        </is>
      </c>
      <c r="Q1520" t="inlineStr">
        <is>
          <t>US-E-098, US-E-165</t>
        </is>
      </c>
      <c r="R1520" s="5" t="inlineStr"/>
    </row>
    <row r="1521">
      <c r="A1521" t="inlineStr">
        <is>
          <t>US-E-167</t>
        </is>
      </c>
      <c r="B1521" t="n">
        <v>1830</v>
      </c>
      <c r="C1521" t="inlineStr">
        <is>
          <t>Story</t>
        </is>
      </c>
      <c r="D1521" s="5" t="inlineStr">
        <is>
          <t xml:space="preserve">        Deterministic typing scores</t>
        </is>
      </c>
      <c r="E1521" t="inlineStr">
        <is>
          <t>Assessments &amp; proctoring</t>
        </is>
      </c>
      <c r="F1521" t="inlineStr">
        <is>
          <t>Evaluation and scoring</t>
        </is>
      </c>
      <c r="G1521" t="inlineStr">
        <is>
          <t>New</t>
        </is>
      </c>
      <c r="I1521">
        <f>IF(H1521&lt;&gt;"",H1521,G1521)</f>
        <v/>
      </c>
      <c r="J1521" t="inlineStr">
        <is>
          <t>Proctoring track · phase 2</t>
        </is>
      </c>
      <c r="K1521" t="n">
        <v>2</v>
      </c>
      <c r="L1521" t="n">
        <v>2</v>
      </c>
      <c r="M1521" s="5" t="inlineStr">
        <is>
          <t>As a recruiter, I want typing scores computed the same way every time so that they are fair.</t>
        </is>
      </c>
      <c r="N1521" s="5" t="inlineStr">
        <is>
          <t>• Given a typing item, when scored, then speed and accuracy come from the server-side keystroke log by the published formula (YX-EVAL-20).
• Given pasted or programmatic input, when found, then it is not counted (YX-EVAL-20).
• Given pasted input, when found, then an integrity flag is raised, never a score change by itself (YX-EVAL-20).</t>
        </is>
      </c>
      <c r="O1521" s="5" t="inlineStr">
        <is>
          <t>YX-EVAL-20</t>
        </is>
      </c>
      <c r="P1521" t="inlineStr">
        <is>
          <t>T05 §3, T05 §5</t>
        </is>
      </c>
      <c r="Q1521" t="inlineStr">
        <is>
          <t>US-E-099</t>
        </is>
      </c>
      <c r="R1521" s="5" t="inlineStr"/>
    </row>
    <row r="1522">
      <c r="A1522" s="9" t="inlineStr">
        <is>
          <t>FT-E-19</t>
        </is>
      </c>
      <c r="B1522" s="9" t="n">
        <v>1840</v>
      </c>
      <c r="C1522" s="9" t="inlineStr">
        <is>
          <t>Feature</t>
        </is>
      </c>
      <c r="D1522" s="10" t="inlineStr">
        <is>
          <t xml:space="preserve">    Outcomes, consent, retention and integrations</t>
        </is>
      </c>
      <c r="E1522" s="9" t="inlineStr">
        <is>
          <t>Assessments &amp; proctoring</t>
        </is>
      </c>
      <c r="F1522" s="9" t="inlineStr">
        <is>
          <t>Outcomes, consent, retention and integrations</t>
        </is>
      </c>
      <c r="G1522" s="9" t="inlineStr">
        <is>
          <t>New</t>
        </is>
      </c>
      <c r="H1522" s="9" t="n"/>
      <c r="I1522" s="9">
        <f>IF(H1522&lt;&gt;"",H1522,G1522)</f>
        <v/>
      </c>
      <c r="J1522" s="9" t="inlineStr">
        <is>
          <t>Proctoring track · phase 1</t>
        </is>
      </c>
      <c r="K1522" s="9" t="n"/>
      <c r="L1522" s="9" t="n"/>
      <c r="M1522" s="10" t="inlineStr"/>
      <c r="N1522" s="10" t="inlineStr"/>
      <c r="O1522" s="10" t="inlineStr">
        <is>
          <t>YX-EVAL-08, YX-EVAL-09, YX-EVAL-10, YX-EVAL-11, YX-EVAL-12, YX-EVAL-13, YX-EVAL-14, YX-EVAL-17, YX-EVAL-18, YX-EVAL-21, YX-EVAL-22, YX-MET-13</t>
        </is>
      </c>
      <c r="P1522" s="9" t="inlineStr">
        <is>
          <t>T05 §5</t>
        </is>
      </c>
      <c r="Q1522" s="9" t="inlineStr"/>
      <c r="R1522" s="10" t="inlineStr"/>
      <c r="S1522" s="9" t="n"/>
    </row>
    <row r="1523">
      <c r="A1523" t="inlineStr">
        <is>
          <t>US-E-168</t>
        </is>
      </c>
      <c r="B1523" t="n">
        <v>1785</v>
      </c>
      <c r="C1523" t="inlineStr">
        <is>
          <t>Story</t>
        </is>
      </c>
      <c r="D1523" s="5" t="inlineStr">
        <is>
          <t xml:space="preserve">        Configurable retention with legal hold</t>
        </is>
      </c>
      <c r="E1523" t="inlineStr">
        <is>
          <t>Assessments &amp; proctoring</t>
        </is>
      </c>
      <c r="F1523" t="inlineStr">
        <is>
          <t>Outcomes, consent, retention and integrations</t>
        </is>
      </c>
      <c r="G1523" t="inlineStr">
        <is>
          <t>Active</t>
        </is>
      </c>
      <c r="I1523">
        <f>IF(H1523&lt;&gt;"",H1523,G1523)</f>
        <v/>
      </c>
      <c r="J1523" t="inlineStr">
        <is>
          <t>Proctoring track · phase 1</t>
        </is>
      </c>
      <c r="K1523" t="n">
        <v>3</v>
      </c>
      <c r="L1523" t="n">
        <v>1</v>
      </c>
      <c r="M1523" s="5" t="inlineStr">
        <is>
          <t>As a DPO, I want retention set per tenant with legal hold so that evidence is kept only as needed.</t>
        </is>
      </c>
      <c r="N1523" s="5" t="inlineStr">
        <is>
          <t>• Given each data class, when its retention ends, then it is deleted automatically unless under legal hold (YX-EVAL-08).
• Given each deletion, when done, then a deletion record is written (YX-EVAL-08).
• Given a new tenant, when set up, then proctoring evidence defaults to 30 days (YX-EVAL-08).</t>
        </is>
      </c>
      <c r="O1523" s="5" t="inlineStr">
        <is>
          <t>YX-EVAL-08</t>
        </is>
      </c>
      <c r="P1523" t="inlineStr">
        <is>
          <t>T05 §5</t>
        </is>
      </c>
      <c r="Q1523" t="inlineStr">
        <is>
          <t>US-E-084</t>
        </is>
      </c>
      <c r="R1523" s="5" t="inlineStr">
        <is>
          <t>apps/api/src/proctoring-retention (fixed 90-day sweep) — sweep exists; per-tenant setting, 30-day default and legal hold are new</t>
        </is>
      </c>
    </row>
    <row r="1524">
      <c r="A1524" t="inlineStr">
        <is>
          <t>US-E-169</t>
        </is>
      </c>
      <c r="B1524" t="n">
        <v>1785</v>
      </c>
      <c r="C1524" t="inlineStr">
        <is>
          <t>Story</t>
        </is>
      </c>
      <c r="D1524" s="5" t="inlineStr">
        <is>
          <t xml:space="preserve">        Jurisdiction-aware biometric consent with a fallback path</t>
        </is>
      </c>
      <c r="E1524" t="inlineStr">
        <is>
          <t>Assessments &amp; proctoring</t>
        </is>
      </c>
      <c r="F1524" t="inlineStr">
        <is>
          <t>Outcomes, consent, retention and integrations</t>
        </is>
      </c>
      <c r="G1524" t="inlineStr">
        <is>
          <t>Active</t>
        </is>
      </c>
      <c r="I1524">
        <f>IF(H1524&lt;&gt;"",H1524,G1524)</f>
        <v/>
      </c>
      <c r="J1524" t="inlineStr">
        <is>
          <t>Proctoring track · phase 1</t>
        </is>
      </c>
      <c r="K1524" t="n">
        <v>5</v>
      </c>
      <c r="L1524" t="n">
        <v>1</v>
      </c>
      <c r="M1524" s="5" t="inlineStr">
        <is>
          <t>As a candidate, I want to give or refuse biometric consent with a clear alternative so that I am treated fairly.</t>
        </is>
      </c>
      <c r="N1524" s="5" t="inlineStr">
        <is>
          <t>• Given face, voice or ID image capture, when consent is not given for my jurisdiction, then nothing is captured (YX-EVAL-09).
• Given I decline, when the test allows it, then I get a manual ID check or unproctored alternative, or I am told clearly it cannot proceed (YX-EVAL-09).
• Given a failed face detection, when it happens, then I am routed to manual review, never failed (YX-EVAL-11).
• Given consent texts, when shown, then they come from APX-G G-08 per jurisdiction.</t>
        </is>
      </c>
      <c r="O1524" s="5" t="inlineStr">
        <is>
          <t>YX-EVAL-09, YX-EVAL-11</t>
        </is>
      </c>
      <c r="P1524" t="inlineStr">
        <is>
          <t>T05 §5</t>
        </is>
      </c>
      <c r="Q1524" t="inlineStr">
        <is>
          <t>US-E-079</t>
        </is>
      </c>
      <c r="R1524" s="5" t="inlineStr">
        <is>
          <t>apps/api/src/face-enrolment · Attempt.consentAt — granular biometric consent exists; jurisdiction variants and fallback paths are new</t>
        </is>
      </c>
    </row>
    <row r="1525">
      <c r="A1525" t="inlineStr">
        <is>
          <t>US-E-170</t>
        </is>
      </c>
      <c r="B1525" t="n">
        <v>1840</v>
      </c>
      <c r="C1525" t="inlineStr">
        <is>
          <t>Story</t>
        </is>
      </c>
      <c r="D1525" s="5" t="inlineStr">
        <is>
          <t xml:space="preserve">        Withdraw consent and erase biometrics</t>
        </is>
      </c>
      <c r="E1525" t="inlineStr">
        <is>
          <t>Assessments &amp; proctoring</t>
        </is>
      </c>
      <c r="F1525" t="inlineStr">
        <is>
          <t>Outcomes, consent, retention and integrations</t>
        </is>
      </c>
      <c r="G1525" t="inlineStr">
        <is>
          <t>New</t>
        </is>
      </c>
      <c r="I1525">
        <f>IF(H1525&lt;&gt;"",H1525,G1525)</f>
        <v/>
      </c>
      <c r="J1525" t="inlineStr">
        <is>
          <t>Proctoring track · phase 1</t>
        </is>
      </c>
      <c r="K1525" t="n">
        <v>3</v>
      </c>
      <c r="L1525" t="n">
        <v>1</v>
      </c>
      <c r="M1525" s="5" t="inlineStr">
        <is>
          <t>As a candidate, I want to withdraw consent and erase my recordings so that my rights are respected.</t>
        </is>
      </c>
      <c r="N1525" s="5" t="inlineStr">
        <is>
          <t>• Given a withdrawal, when submitted, then further biometric processing stops (YX-EVAL-10).
• Given erasure, when done, then biometrics and recordings are removed (YX-EVAL-10).
• Given the law allows, when erased, then a minimal non-identifying score record is kept; completion is within the legal limit (YX-EVAL-10).</t>
        </is>
      </c>
      <c r="O1525" s="5" t="inlineStr">
        <is>
          <t>YX-EVAL-10</t>
        </is>
      </c>
      <c r="P1525" t="inlineStr">
        <is>
          <t>T05 §5</t>
        </is>
      </c>
      <c r="Q1525" t="inlineStr">
        <is>
          <t>US-E-169</t>
        </is>
      </c>
      <c r="R1525" s="5" t="inlineStr"/>
    </row>
    <row r="1526">
      <c r="A1526" t="inlineStr">
        <is>
          <t>US-E-171</t>
        </is>
      </c>
      <c r="B1526" t="n">
        <v>1840</v>
      </c>
      <c r="C1526" t="inlineStr">
        <is>
          <t>Story</t>
        </is>
      </c>
      <c r="D1526" s="5" t="inlineStr">
        <is>
          <t xml:space="preserve">        Auto-advance into the ATS only when integrity is clear</t>
        </is>
      </c>
      <c r="E1526" t="inlineStr">
        <is>
          <t>Assessments &amp; proctoring</t>
        </is>
      </c>
      <c r="F1526" t="inlineStr">
        <is>
          <t>Outcomes, consent, retention and integrations</t>
        </is>
      </c>
      <c r="G1526" t="inlineStr">
        <is>
          <t>Active</t>
        </is>
      </c>
      <c r="I1526">
        <f>IF(H1526&lt;&gt;"",H1526,G1526)</f>
        <v/>
      </c>
      <c r="J1526" t="inlineStr">
        <is>
          <t>Proctoring track · phase 1</t>
        </is>
      </c>
      <c r="K1526" t="n">
        <v>3</v>
      </c>
      <c r="L1526" t="n">
        <v>1</v>
      </c>
      <c r="M1526" s="5" t="inlineStr">
        <is>
          <t>As a recruiter, I want passing candidates moved on automatically only when integrity is clear so that the pipeline moves fast and fair.</t>
        </is>
      </c>
      <c r="N1526" s="5" t="inlineStr">
        <is>
          <t>• Given score rules met and integrity clear or cleared, when released, then the candidate auto-advances (YX-EVAL-12).
• Given integrity under review, when released, then no auto-advance happens.
• Given integrity grounds, when any rule runs, then the candidate is never auto-rejected (YX-EVAL-12).</t>
        </is>
      </c>
      <c r="O1526" s="5" t="inlineStr">
        <is>
          <t>YX-EVAL-12</t>
        </is>
      </c>
      <c r="P1526" t="inlineStr">
        <is>
          <t>T05 §5</t>
        </is>
      </c>
      <c r="Q1526" t="inlineStr">
        <is>
          <t>US-E-157</t>
        </is>
      </c>
      <c r="R1526" s="5" t="inlineStr">
        <is>
          <t>apps/api/src/pipeline/derive-entry-exam-results.ts (exam_passed gate) — gate exists; integrity condition is new</t>
        </is>
      </c>
    </row>
    <row r="1527">
      <c r="A1527" t="inlineStr">
        <is>
          <t>US-E-172</t>
        </is>
      </c>
      <c r="B1527" t="n">
        <v>1840</v>
      </c>
      <c r="C1527" t="inlineStr">
        <is>
          <t>Story</t>
        </is>
      </c>
      <c r="D1527" s="5" t="inlineStr">
        <is>
          <t xml:space="preserve">        Under-18 test-takers: guardian consent and no AI scoring</t>
        </is>
      </c>
      <c r="E1527" t="inlineStr">
        <is>
          <t>Assessments &amp; proctoring</t>
        </is>
      </c>
      <c r="F1527" t="inlineStr">
        <is>
          <t>Outcomes, consent, retention and integrations</t>
        </is>
      </c>
      <c r="G1527" t="inlineStr">
        <is>
          <t>New</t>
        </is>
      </c>
      <c r="I1527">
        <f>IF(H1527&lt;&gt;"",H1527,G1527)</f>
        <v/>
      </c>
      <c r="J1527" t="inlineStr">
        <is>
          <t>Proctoring track · phase 1</t>
        </is>
      </c>
      <c r="K1527" t="n">
        <v>3</v>
      </c>
      <c r="L1527" t="n">
        <v>1</v>
      </c>
      <c r="M1527" s="5" t="inlineStr">
        <is>
          <t>As a test owner, I want minors protected so that we follow the law.</t>
        </is>
      </c>
      <c r="N1527" s="5" t="inlineStr">
        <is>
          <t>• Given an under-18 test-taker, when biometric capture is needed, then verifiable guardian consent is required first (YX-EVAL-13).
• Given an under-18 test-taker, when scored, then only deterministic scoring is used; no AI scoring or AI suggestions (YX-EVAL-13).
• Given date of birth, when known from M10 or the invite, then the rule applies automatically (YX-EVAL-13).</t>
        </is>
      </c>
      <c r="O1527" s="5" t="inlineStr">
        <is>
          <t>YX-EVAL-13</t>
        </is>
      </c>
      <c r="P1527" t="inlineStr">
        <is>
          <t>T05 §5</t>
        </is>
      </c>
      <c r="Q1527" t="inlineStr">
        <is>
          <t>US-E-169</t>
        </is>
      </c>
      <c r="R1527" s="5" t="inlineStr"/>
    </row>
    <row r="1528">
      <c r="A1528" t="inlineStr">
        <is>
          <t>US-E-173</t>
        </is>
      </c>
      <c r="B1528" t="n">
        <v>1840</v>
      </c>
      <c r="C1528" t="inlineStr">
        <is>
          <t>Story</t>
        </is>
      </c>
      <c r="D1528" s="5" t="inlineStr">
        <is>
          <t xml:space="preserve">        Identity path for candidates without a government ID</t>
        </is>
      </c>
      <c r="E1528" t="inlineStr">
        <is>
          <t>Assessments &amp; proctoring</t>
        </is>
      </c>
      <c r="F1528" t="inlineStr">
        <is>
          <t>Outcomes, consent, retention and integrations</t>
        </is>
      </c>
      <c r="G1528" t="inlineStr">
        <is>
          <t>New</t>
        </is>
      </c>
      <c r="I1528">
        <f>IF(H1528&lt;&gt;"",H1528,G1528)</f>
        <v/>
      </c>
      <c r="J1528" t="inlineStr">
        <is>
          <t>Proctoring track · phase 1</t>
        </is>
      </c>
      <c r="K1528" t="n">
        <v>3</v>
      </c>
      <c r="L1528" t="n">
        <v>2</v>
      </c>
      <c r="M1528" s="5" t="inlineStr">
        <is>
          <t>As a candidate without a government ID, I want another way to verify so that I can still take the test.</t>
        </is>
      </c>
      <c r="N1528" s="5" t="inlineStr">
        <is>
          <t>• Given the test allows it, when I have no ID, then I can use an admit card plus an institution-attested photo (YX-EVAL-14).
• Given the test allows it, when chosen, then a proctor can verify me live against my submitted details (YX-EVAL-14).
• Given the method used, when verified, then it is recorded on the attempt (YX-EVAL-14).</t>
        </is>
      </c>
      <c r="O1528" s="5" t="inlineStr">
        <is>
          <t>YX-EVAL-14</t>
        </is>
      </c>
      <c r="P1528" t="inlineStr">
        <is>
          <t>T05 §5</t>
        </is>
      </c>
      <c r="Q1528" t="inlineStr">
        <is>
          <t>US-E-141</t>
        </is>
      </c>
      <c r="R1528" s="5" t="inlineStr"/>
    </row>
    <row r="1529">
      <c r="A1529" t="inlineStr">
        <is>
          <t>US-E-174</t>
        </is>
      </c>
      <c r="B1529" t="n">
        <v>1840</v>
      </c>
      <c r="C1529" t="inlineStr">
        <is>
          <t>Story</t>
        </is>
      </c>
      <c r="D1529" s="5" t="inlineStr">
        <is>
          <t xml:space="preserve">        Push released results to external ATSs</t>
        </is>
      </c>
      <c r="E1529" t="inlineStr">
        <is>
          <t>Assessments &amp; proctoring</t>
        </is>
      </c>
      <c r="F1529" t="inlineStr">
        <is>
          <t>Outcomes, consent, retention and integrations</t>
        </is>
      </c>
      <c r="G1529" t="inlineStr">
        <is>
          <t>New</t>
        </is>
      </c>
      <c r="I1529">
        <f>IF(H1529&lt;&gt;"",H1529,G1529)</f>
        <v/>
      </c>
      <c r="J1529" t="inlineStr">
        <is>
          <t>Proctoring track · phase 2</t>
        </is>
      </c>
      <c r="K1529" t="n">
        <v>5</v>
      </c>
      <c r="L1529" t="n">
        <v>2</v>
      </c>
      <c r="M1529" s="5" t="inlineStr">
        <is>
          <t>As a company using another ATS, I want released results sent there so that recruiters work in one tool.</t>
        </is>
      </c>
      <c r="N1529" s="5" t="inlineStr">
        <is>
          <t>• Given a released result, when pushed, then only the elements chosen in the mapping are sent (YX-EVAL-17).
• Given a held result, when pushed, then only "under review" is sent (YX-EVAL-17).
• Given any push, when sent, then evidence, answers and biometrics are never included; only a report link with YukthiX access control (YX-EVAL-17).</t>
        </is>
      </c>
      <c r="O1529" s="5" t="inlineStr">
        <is>
          <t>YX-EVAL-17</t>
        </is>
      </c>
      <c r="P1529" t="inlineStr">
        <is>
          <t>T05 §5</t>
        </is>
      </c>
      <c r="Q1529" t="inlineStr">
        <is>
          <t>US-E-157</t>
        </is>
      </c>
      <c r="R1529" s="5" t="inlineStr"/>
    </row>
    <row r="1530">
      <c r="A1530" t="inlineStr">
        <is>
          <t>US-E-175</t>
        </is>
      </c>
      <c r="B1530" t="n">
        <v>1840</v>
      </c>
      <c r="C1530" t="inlineStr">
        <is>
          <t>Story</t>
        </is>
      </c>
      <c r="D1530" s="5" t="inlineStr">
        <is>
          <t xml:space="preserve">        Signed assessment webhooks with thin payloads</t>
        </is>
      </c>
      <c r="E1530" t="inlineStr">
        <is>
          <t>Assessments &amp; proctoring</t>
        </is>
      </c>
      <c r="F1530" t="inlineStr">
        <is>
          <t>Outcomes, consent, retention and integrations</t>
        </is>
      </c>
      <c r="G1530" t="inlineStr">
        <is>
          <t>New</t>
        </is>
      </c>
      <c r="I1530">
        <f>IF(H1530&lt;&gt;"",H1530,G1530)</f>
        <v/>
      </c>
      <c r="J1530" t="inlineStr">
        <is>
          <t>Proctoring track · phase 2</t>
        </is>
      </c>
      <c r="K1530" t="n">
        <v>3</v>
      </c>
      <c r="L1530" t="n">
        <v>2</v>
      </c>
      <c r="M1530" s="5" t="inlineStr">
        <is>
          <t>As an integration developer, I want assessment webhooks so that my system reacts to results safely.</t>
        </is>
      </c>
      <c r="N1530" s="5" t="inlineStr">
        <is>
          <t>• Given an assessment event, when delivered, then it is signed and retried (YX-EVAL-18).
• Given the payload, when sent, then it carries ids and a fetch link only (YX-EVAL-18).
• Given a fetch, when the result is held, then it is not returned early (YX-EVAL-18).</t>
        </is>
      </c>
      <c r="O1530" s="5" t="inlineStr">
        <is>
          <t>YX-EVAL-18</t>
        </is>
      </c>
      <c r="P1530" t="inlineStr">
        <is>
          <t>T05 §5</t>
        </is>
      </c>
      <c r="Q1530" t="inlineStr">
        <is>
          <t>US-E-224</t>
        </is>
      </c>
      <c r="R1530" s="5" t="inlineStr"/>
    </row>
    <row r="1531">
      <c r="A1531" t="inlineStr">
        <is>
          <t>US-E-176</t>
        </is>
      </c>
      <c r="B1531" t="n">
        <v>1840</v>
      </c>
      <c r="C1531" t="inlineStr">
        <is>
          <t>Story</t>
        </is>
      </c>
      <c r="D1531" s="5" t="inlineStr">
        <is>
          <t xml:space="preserve">        Digital badges with revocation</t>
        </is>
      </c>
      <c r="E1531" t="inlineStr">
        <is>
          <t>Assessments &amp; proctoring</t>
        </is>
      </c>
      <c r="F1531" t="inlineStr">
        <is>
          <t>Outcomes, consent, retention and integrations</t>
        </is>
      </c>
      <c r="G1531" t="inlineStr">
        <is>
          <t>New</t>
        </is>
      </c>
      <c r="I1531">
        <f>IF(H1531&lt;&gt;"",H1531,G1531)</f>
        <v/>
      </c>
      <c r="J1531" t="inlineStr">
        <is>
          <t>Proctoring track · phase 2</t>
        </is>
      </c>
      <c r="K1531" t="n">
        <v>3</v>
      </c>
      <c r="L1531" t="n">
        <v>3</v>
      </c>
      <c r="M1531" s="5" t="inlineStr">
        <is>
          <t>As a candidate, I want a digital badge for a passed certification so that I can show it online.</t>
        </is>
      </c>
      <c r="N1531" s="5" t="inlineStr">
        <is>
          <t>• Given a released pass on a certificate-enabled test, when issued, then the badge carries the verification link (YX-EVAL-21).
• Given invalidation or an appeal that removes the pass, when decided, then the badge is revoked within 24 hours with a reason (YX-EVAL-21).
• Given Open Badges or Credly, when used, then revocation uses its status list or revoke API (YX-EVAL-21).</t>
        </is>
      </c>
      <c r="O1531" s="5" t="inlineStr">
        <is>
          <t>YX-EVAL-21</t>
        </is>
      </c>
      <c r="P1531" t="inlineStr">
        <is>
          <t>T05 §5</t>
        </is>
      </c>
      <c r="Q1531" t="inlineStr">
        <is>
          <t>US-E-083</t>
        </is>
      </c>
      <c r="R1531" s="5" t="inlineStr"/>
    </row>
    <row r="1532">
      <c r="A1532" t="inlineStr">
        <is>
          <t>US-E-177</t>
        </is>
      </c>
      <c r="B1532" t="n">
        <v>1840</v>
      </c>
      <c r="C1532" t="inlineStr">
        <is>
          <t>Story</t>
        </is>
      </c>
      <c r="D1532" s="5" t="inlineStr">
        <is>
          <t xml:space="preserve">        LTI 1.3 tool for external learning platforms</t>
        </is>
      </c>
      <c r="E1532" t="inlineStr">
        <is>
          <t>Assessments &amp; proctoring</t>
        </is>
      </c>
      <c r="F1532" t="inlineStr">
        <is>
          <t>Outcomes, consent, retention and integrations</t>
        </is>
      </c>
      <c r="G1532" t="inlineStr">
        <is>
          <t>New</t>
        </is>
      </c>
      <c r="I1532">
        <f>IF(H1532&lt;&gt;"",H1532,G1532)</f>
        <v/>
      </c>
      <c r="J1532" t="inlineStr">
        <is>
          <t>Proctoring track · phase 2</t>
        </is>
      </c>
      <c r="K1532" t="n">
        <v>5</v>
      </c>
      <c r="L1532" t="n">
        <v>3</v>
      </c>
      <c r="M1532" s="5" t="inlineStr">
        <is>
          <t>As an LMS admin, I want to launch YukthiX tests from our LMS so that learners test without new logins.</t>
        </is>
      </c>
      <c r="N1532" s="5" t="inlineStr">
        <is>
          <t>• Given a launch, when the platform is not registered or the ID token is invalid (nonce, audience, deployment), then it is refused (YX-EVAL-22).
• Given a released result, when passed back, then the grade is the scaled score unless the company chooses otherwise (YX-EVAL-22).
• Given an LTI test-taker, when they test, then the same consent, integrity and release rules apply (YX-EVAL-22).</t>
        </is>
      </c>
      <c r="O1532" s="5" t="inlineStr">
        <is>
          <t>YX-EVAL-22</t>
        </is>
      </c>
      <c r="P1532" t="inlineStr">
        <is>
          <t>T05 §5</t>
        </is>
      </c>
      <c r="Q1532" t="inlineStr">
        <is>
          <t>US-E-157</t>
        </is>
      </c>
      <c r="R1532" s="5" t="inlineStr"/>
    </row>
    <row r="1533">
      <c r="A1533" t="inlineStr">
        <is>
          <t>US-E-178</t>
        </is>
      </c>
      <c r="B1533" t="n">
        <v>1840</v>
      </c>
      <c r="C1533" t="inlineStr">
        <is>
          <t>Story</t>
        </is>
      </c>
      <c r="D1533" s="5" t="inlineStr">
        <is>
          <t xml:space="preserve">        Assessment notifications and events from the catalogues</t>
        </is>
      </c>
      <c r="E1533" t="inlineStr">
        <is>
          <t>Assessments &amp; proctoring</t>
        </is>
      </c>
      <c r="F1533" t="inlineStr">
        <is>
          <t>Outcomes, consent, retention and integrations</t>
        </is>
      </c>
      <c r="G1533" t="inlineStr">
        <is>
          <t>New</t>
        </is>
      </c>
      <c r="I1533">
        <f>IF(H1533&lt;&gt;"",H1533,G1533)</f>
        <v/>
      </c>
      <c r="J1533" t="inlineStr">
        <is>
          <t>Proctoring track · phase 1</t>
        </is>
      </c>
      <c r="K1533" t="n">
        <v>3</v>
      </c>
      <c r="L1533" t="n">
        <v>1</v>
      </c>
      <c r="M1533" s="5" t="inlineStr">
        <is>
          <t>As a test owner, I want every assessment notification and event in APX-A §2.18–2.21 and APX-B §2.19–2.22 / 2.26 so that people and systems get updates.</t>
        </is>
      </c>
      <c r="N1533" s="5" t="inlineStr">
        <is>
          <t>• Given each catalogue row, when its trigger happens, then the notification is sent to the listed audience.
• Given each event, when it happens, then it is written to the outbox after commit.
• Given a key not in the registry, when CI runs, then it fails.</t>
        </is>
      </c>
      <c r="O1533" s="5" t="inlineStr"/>
      <c r="P1533" t="inlineStr">
        <is>
          <t>APX-A §2.18–2.21, APX-B §2.19–2.22, §2.26</t>
        </is>
      </c>
      <c r="Q1533" t="inlineStr">
        <is>
          <t>US-E-228, US-E-229</t>
        </is>
      </c>
      <c r="R1533" s="5" t="inlineStr"/>
    </row>
    <row r="1534">
      <c r="A1534" t="inlineStr">
        <is>
          <t>US-E-179</t>
        </is>
      </c>
      <c r="B1534" t="n">
        <v>1840</v>
      </c>
      <c r="C1534" t="inlineStr">
        <is>
          <t>Story</t>
        </is>
      </c>
      <c r="D1534" s="5" t="inlineStr">
        <is>
          <t xml:space="preserve">        Assessment standard reports</t>
        </is>
      </c>
      <c r="E1534" t="inlineStr">
        <is>
          <t>Assessments &amp; proctoring</t>
        </is>
      </c>
      <c r="F1534" t="inlineStr">
        <is>
          <t>Outcomes, consent, retention and integrations</t>
        </is>
      </c>
      <c r="G1534" t="inlineStr">
        <is>
          <t>New</t>
        </is>
      </c>
      <c r="I1534">
        <f>IF(H1534&lt;&gt;"",H1534,G1534)</f>
        <v/>
      </c>
      <c r="J1534" t="inlineStr">
        <is>
          <t>Proctoring track · phase 1</t>
        </is>
      </c>
      <c r="K1534" t="n">
        <v>5</v>
      </c>
      <c r="L1534" t="n">
        <v>2</v>
      </c>
      <c r="M1534" s="5" t="inlineStr">
        <is>
          <t>As an assessment admin, I want the APX-C §1.12 reports so that I can track tests, integrity and operations.</t>
        </is>
      </c>
      <c r="N1534" s="5" t="inlineStr">
        <is>
          <t>• Given each APX-C §1.12 report, when shipped, then it is built on registered metrics with its catalogue row (YX-MET-13).
• Given existing item and integrity dashboards, when re-expressed, then numbers match in golden tests.
• Given APX-C §2.5 assessment operations metrics, when registered, then they appear in the catalogue.</t>
        </is>
      </c>
      <c r="O1534" s="5" t="inlineStr">
        <is>
          <t>YX-MET-13</t>
        </is>
      </c>
      <c r="P1534" t="inlineStr">
        <is>
          <t>APX-C §1.12, §2.5</t>
        </is>
      </c>
      <c r="Q1534" t="inlineStr">
        <is>
          <t>US-E-298</t>
        </is>
      </c>
      <c r="R1534" s="5" t="inlineStr"/>
    </row>
    <row r="1535">
      <c r="A1535" s="9" t="inlineStr">
        <is>
          <t>FT-E-20</t>
        </is>
      </c>
      <c r="B1535" s="9" t="n">
        <v>1860</v>
      </c>
      <c r="C1535" s="9" t="inlineStr">
        <is>
          <t>Feature</t>
        </is>
      </c>
      <c r="D1535" s="10" t="inlineStr">
        <is>
          <t xml:space="preserve">    Fairness and validity analytics</t>
        </is>
      </c>
      <c r="E1535" s="9" t="inlineStr">
        <is>
          <t>Assessments &amp; proctoring</t>
        </is>
      </c>
      <c r="F1535" s="9" t="inlineStr">
        <is>
          <t>Fairness and validity analytics</t>
        </is>
      </c>
      <c r="G1535" s="9" t="inlineStr">
        <is>
          <t>New</t>
        </is>
      </c>
      <c r="H1535" s="9" t="n"/>
      <c r="I1535" s="9">
        <f>IF(H1535&lt;&gt;"",H1535,G1535)</f>
        <v/>
      </c>
      <c r="J1535" s="9" t="inlineStr">
        <is>
          <t>Proctoring track · phase 2</t>
        </is>
      </c>
      <c r="K1535" s="9" t="n"/>
      <c r="L1535" s="9" t="n"/>
      <c r="M1535" s="10" t="inlineStr"/>
      <c r="N1535" s="10" t="inlineStr"/>
      <c r="O1535" s="10" t="inlineStr">
        <is>
          <t>YX-EVAL-24, YX-EVAL-25, YX-EVAL-27, YX-EVAL-28, YX-EVAL-29, YX-EVAL-32, YX-MET-18</t>
        </is>
      </c>
      <c r="P1535" s="9" t="inlineStr">
        <is>
          <t>T05 §3 A13, P09 §4.9</t>
        </is>
      </c>
      <c r="Q1535" s="9" t="inlineStr"/>
      <c r="R1535" s="10" t="inlineStr"/>
      <c r="S1535" s="9" t="n"/>
    </row>
    <row r="1536">
      <c r="A1536" t="inlineStr">
        <is>
          <t>US-E-180</t>
        </is>
      </c>
      <c r="B1536" t="n">
        <v>1860</v>
      </c>
      <c r="C1536" t="inlineStr">
        <is>
          <t>Story</t>
        </is>
      </c>
      <c r="D1536" s="5" t="inlineStr">
        <is>
          <t xml:space="preserve">        Optional self-declared demographic data after the test</t>
        </is>
      </c>
      <c r="E1536" t="inlineStr">
        <is>
          <t>Assessments &amp; proctoring</t>
        </is>
      </c>
      <c r="F1536" t="inlineStr">
        <is>
          <t>Fairness and validity analytics</t>
        </is>
      </c>
      <c r="G1536" t="inlineStr">
        <is>
          <t>New</t>
        </is>
      </c>
      <c r="I1536">
        <f>IF(H1536&lt;&gt;"",H1536,G1536)</f>
        <v/>
      </c>
      <c r="J1536" t="inlineStr">
        <is>
          <t>Proctoring track · phase 2</t>
        </is>
      </c>
      <c r="K1536" t="n">
        <v>3</v>
      </c>
      <c r="L1536" t="n">
        <v>1</v>
      </c>
      <c r="M1536" s="5" t="inlineStr">
        <is>
          <t>As a candidate, I want to share demographic data only if I wish so that fairness can be checked without risk to me.</t>
        </is>
      </c>
      <c r="N1536" s="5" t="inlineStr">
        <is>
          <t>• Given submission, when done, then optional self-declared demographic questions are shown separately (YX-EVAL-24).
• Given the data, when stored, then it is Special data, never visible to evaluators, reviewers, ATS stages or the candidate record (YX-EVAL-24).
• Given the data, when used, then it is used only in aggregate fairness analyses (YX-EVAL-24).</t>
        </is>
      </c>
      <c r="O1536" s="5" t="inlineStr">
        <is>
          <t>YX-EVAL-24</t>
        </is>
      </c>
      <c r="P1536" t="inlineStr">
        <is>
          <t>T05 §3 A13, P09 §4.9</t>
        </is>
      </c>
      <c r="Q1536" t="inlineStr"/>
      <c r="R1536" s="5" t="inlineStr"/>
    </row>
    <row r="1537">
      <c r="A1537" t="inlineStr">
        <is>
          <t>US-E-181</t>
        </is>
      </c>
      <c r="B1537" t="n">
        <v>1860</v>
      </c>
      <c r="C1537" t="inlineStr">
        <is>
          <t>Story</t>
        </is>
      </c>
      <c r="D1537" s="5" t="inlineStr">
        <is>
          <t xml:space="preserve">        Adverse impact analysis and fairness dashboard</t>
        </is>
      </c>
      <c r="E1537" t="inlineStr">
        <is>
          <t>Assessments &amp; proctoring</t>
        </is>
      </c>
      <c r="F1537" t="inlineStr">
        <is>
          <t>Fairness and validity analytics</t>
        </is>
      </c>
      <c r="G1537" t="inlineStr">
        <is>
          <t>New</t>
        </is>
      </c>
      <c r="I1537">
        <f>IF(H1537&lt;&gt;"",H1537,G1537)</f>
        <v/>
      </c>
      <c r="J1537" t="inlineStr">
        <is>
          <t>Proctoring track · phase 2</t>
        </is>
      </c>
      <c r="K1537" t="n">
        <v>5</v>
      </c>
      <c r="L1537" t="n">
        <v>1</v>
      </c>
      <c r="M1537" s="5" t="inlineStr">
        <is>
          <t>As a test owner, I want impact ratios per test and stage so that I find unfair effects.</t>
        </is>
      </c>
      <c r="N1537" s="5" t="inlineStr">
        <is>
          <t>• Given enough data per group, when analysed, then impact ratios (4/5ths) and significance are computed per test, section, cut score and ATS stage (YX-EVAL-25).
• Given a ratio below 0.8 with significance, when found, then a finding is raised (YX-EVAL-25).
• Given metrics assess.impact_ratio, assess.dif_grade, assess.predictive_validity and assess.fairness_findings.open, when shown, then minimum-group suppression applies on the owner dashboard (YX-MET-18).</t>
        </is>
      </c>
      <c r="O1537" s="5" t="inlineStr">
        <is>
          <t>YX-EVAL-25, YX-MET-18</t>
        </is>
      </c>
      <c r="P1537" t="inlineStr">
        <is>
          <t>T05 §3 A13, P09 §4.9</t>
        </is>
      </c>
      <c r="Q1537" t="inlineStr">
        <is>
          <t>US-E-180, US-E-298</t>
        </is>
      </c>
      <c r="R1537" s="5" t="inlineStr"/>
    </row>
    <row r="1538">
      <c r="A1538" t="inlineStr">
        <is>
          <t>US-E-182</t>
        </is>
      </c>
      <c r="B1538" t="n">
        <v>1860</v>
      </c>
      <c r="C1538" t="inlineStr">
        <is>
          <t>Story</t>
        </is>
      </c>
      <c r="D1538" s="5" t="inlineStr">
        <is>
          <t xml:space="preserve">        Finding response: review or auto-suspend</t>
        </is>
      </c>
      <c r="E1538" t="inlineStr">
        <is>
          <t>Assessments &amp; proctoring</t>
        </is>
      </c>
      <c r="F1538" t="inlineStr">
        <is>
          <t>Fairness and validity analytics</t>
        </is>
      </c>
      <c r="G1538" t="inlineStr">
        <is>
          <t>New</t>
        </is>
      </c>
      <c r="I1538">
        <f>IF(H1538&lt;&gt;"",H1538,G1538)</f>
        <v/>
      </c>
      <c r="J1538" t="inlineStr">
        <is>
          <t>Proctoring track · phase 2</t>
        </is>
      </c>
      <c r="K1538" t="n">
        <v>3</v>
      </c>
      <c r="L1538" t="n">
        <v>1</v>
      </c>
      <c r="M1538" s="5" t="inlineStr">
        <is>
          <t>As a test owner, I want to choose how fairness findings are handled so that we act fast but fairly.</t>
        </is>
      </c>
      <c r="N1538" s="5" t="inlineStr">
        <is>
          <t>• Given a finding, when the company chose alert + review (starter), then a review is required (YX-EVAL-27).
• Given auto-suspend is chosen, when a finding is raised, then new attempts are blocked until cleared (YX-EVAL-27).
• Given attempts in progress, when suspended, then they are never interrupted; every decision is audited with a reason (YX-EVAL-27).</t>
        </is>
      </c>
      <c r="O1538" s="5" t="inlineStr">
        <is>
          <t>YX-EVAL-27</t>
        </is>
      </c>
      <c r="P1538" t="inlineStr">
        <is>
          <t>T05 §3 A13, P09 §4.9</t>
        </is>
      </c>
      <c r="Q1538" t="inlineStr">
        <is>
          <t>US-E-181</t>
        </is>
      </c>
      <c r="R1538" s="5" t="inlineStr"/>
    </row>
    <row r="1539">
      <c r="A1539" t="inlineStr">
        <is>
          <t>US-E-183</t>
        </is>
      </c>
      <c r="B1539" t="n">
        <v>1860</v>
      </c>
      <c r="C1539" t="inlineStr">
        <is>
          <t>Story</t>
        </is>
      </c>
      <c r="D1539" s="5" t="inlineStr">
        <is>
          <t xml:space="preserve">        Predictive validity in aggregate</t>
        </is>
      </c>
      <c r="E1539" t="inlineStr">
        <is>
          <t>Assessments &amp; proctoring</t>
        </is>
      </c>
      <c r="F1539" t="inlineStr">
        <is>
          <t>Fairness and validity analytics</t>
        </is>
      </c>
      <c r="G1539" t="inlineStr">
        <is>
          <t>New</t>
        </is>
      </c>
      <c r="I1539">
        <f>IF(H1539&lt;&gt;"",H1539,G1539)</f>
        <v/>
      </c>
      <c r="J1539" t="inlineStr">
        <is>
          <t>Proctoring track · phase 2</t>
        </is>
      </c>
      <c r="K1539" t="n">
        <v>5</v>
      </c>
      <c r="L1539" t="n">
        <v>3</v>
      </c>
      <c r="M1539" s="5" t="inlineStr">
        <is>
          <t>As an HR head, I want to know if test scores predict job success so that we use good tests.</t>
        </is>
      </c>
      <c r="N1539" s="5" t="inlineStr">
        <is>
          <t>• Given Proctoring and HRMS tenants, when hires’ scores are linked to M06 ratings, time to productivity and retention, then results are shown only in aggregate with minimum samples (YX-EVAL-28).
• Given the privacy notices, when shown, then the purpose is stated (YX-EVAL-28).
• Given individual linked records, when anyone asks, then they are not shown.</t>
        </is>
      </c>
      <c r="O1539" s="5" t="inlineStr">
        <is>
          <t>YX-EVAL-28</t>
        </is>
      </c>
      <c r="P1539" t="inlineStr">
        <is>
          <t>T05 §3 A13, P09 §4.9</t>
        </is>
      </c>
      <c r="Q1539" t="inlineStr">
        <is>
          <t>US-E-181</t>
        </is>
      </c>
      <c r="R1539" s="5" t="inlineStr"/>
    </row>
    <row r="1540">
      <c r="A1540" t="inlineStr">
        <is>
          <t>US-E-184</t>
        </is>
      </c>
      <c r="B1540" t="n">
        <v>1860</v>
      </c>
      <c r="C1540" t="inlineStr">
        <is>
          <t>Story</t>
        </is>
      </c>
      <c r="D1540" s="5" t="inlineStr">
        <is>
          <t xml:space="preserve">        Fairness oversight for employee-side AI in the EU</t>
        </is>
      </c>
      <c r="E1540" t="inlineStr">
        <is>
          <t>Assessments &amp; proctoring</t>
        </is>
      </c>
      <c r="F1540" t="inlineStr">
        <is>
          <t>Fairness and validity analytics</t>
        </is>
      </c>
      <c r="G1540" t="inlineStr">
        <is>
          <t>New</t>
        </is>
      </c>
      <c r="I1540">
        <f>IF(H1540&lt;&gt;"",H1540,G1540)</f>
        <v/>
      </c>
      <c r="J1540" t="inlineStr">
        <is>
          <t>Proctoring track · phase 2</t>
        </is>
      </c>
      <c r="K1540" t="n">
        <v>3</v>
      </c>
      <c r="L1540" t="n">
        <v>3</v>
      </c>
      <c r="M1540" s="5" t="inlineStr">
        <is>
          <t>As an EU tenant admin, I want employee-side high-risk AI covered by fairness checks so that we meet the EU AI Act.</t>
        </is>
      </c>
      <c r="N1540" s="5" t="inlineStr">
        <is>
          <t>• Given an EU tenant, when an employee-side AI feature is high-risk or "depends" (attrition risk, review AI, allocation, anomalies), then A13 analytics cover it (YX-EVAL-29).
• Given those features, when used, then human oversight is recorded (YX-EVAL-29).
• Given a failing check, when found, then a finding is raised under YX-EVAL-27.</t>
        </is>
      </c>
      <c r="O1540" s="5" t="inlineStr">
        <is>
          <t>YX-EVAL-29</t>
        </is>
      </c>
      <c r="P1540" t="inlineStr">
        <is>
          <t>T05 §3 A13, P09 §4.9</t>
        </is>
      </c>
      <c r="Q1540" t="inlineStr">
        <is>
          <t>US-E-181, US-E-293</t>
        </is>
      </c>
      <c r="R1540" s="5" t="inlineStr"/>
    </row>
    <row r="1541">
      <c r="A1541" t="inlineStr">
        <is>
          <t>US-E-185</t>
        </is>
      </c>
      <c r="B1541" t="n">
        <v>1860</v>
      </c>
      <c r="C1541" t="inlineStr">
        <is>
          <t>Story</t>
        </is>
      </c>
      <c r="D1541" s="5" t="inlineStr">
        <is>
          <t xml:space="preserve">        NYC Local Law 144 bias-audit export</t>
        </is>
      </c>
      <c r="E1541" t="inlineStr">
        <is>
          <t>Assessments &amp; proctoring</t>
        </is>
      </c>
      <c r="F1541" t="inlineStr">
        <is>
          <t>Fairness and validity analytics</t>
        </is>
      </c>
      <c r="G1541" t="inlineStr">
        <is>
          <t>New</t>
        </is>
      </c>
      <c r="I1541">
        <f>IF(H1541&lt;&gt;"",H1541,G1541)</f>
        <v/>
      </c>
      <c r="J1541" t="inlineStr">
        <is>
          <t>Proctoring track · phase 2</t>
        </is>
      </c>
      <c r="K1541" t="n">
        <v>3</v>
      </c>
      <c r="L1541" t="n">
        <v>3</v>
      </c>
      <c r="M1541" s="5" t="inlineStr">
        <is>
          <t>As a company hiring in NYC, I want a yearly bias-audit export so that we meet LL144.</t>
        </is>
      </c>
      <c r="N1541" s="5" t="inlineStr">
        <is>
          <t>• Given the NYC setting on, when the year closes, then each AI-scored hiring feature used for NYC jobs produces a bias-audit export (YX-EVAL-32).
• Given the export, when produced, then selection or scoring rates and impact ratios per category use the YX-EVAL-25 method (YX-EVAL-32).
• Given the setting off, when the year closes, then no export is made.</t>
        </is>
      </c>
      <c r="O1541" s="5" t="inlineStr">
        <is>
          <t>YX-EVAL-32</t>
        </is>
      </c>
      <c r="P1541" t="inlineStr">
        <is>
          <t>T05 §3 A13, P09 §4.9</t>
        </is>
      </c>
      <c r="Q1541" t="inlineStr">
        <is>
          <t>US-E-181</t>
        </is>
      </c>
      <c r="R1541" s="5" t="inlineStr"/>
    </row>
    <row r="1542">
      <c r="A1542" s="9" t="inlineStr">
        <is>
          <t>FT-E-21</t>
        </is>
      </c>
      <c r="B1542" s="9" t="n">
        <v>1880</v>
      </c>
      <c r="C1542" s="9" t="inlineStr">
        <is>
          <t>Feature</t>
        </is>
      </c>
      <c r="D1542" s="10" t="inlineStr">
        <is>
          <t xml:space="preserve">    Psychometric and behavioural assessments</t>
        </is>
      </c>
      <c r="E1542" s="9" t="inlineStr">
        <is>
          <t>Assessments &amp; proctoring</t>
        </is>
      </c>
      <c r="F1542" s="9" t="inlineStr">
        <is>
          <t>Psychometric and behavioural assessments</t>
        </is>
      </c>
      <c r="G1542" s="9" t="inlineStr">
        <is>
          <t>New</t>
        </is>
      </c>
      <c r="H1542" s="9" t="n"/>
      <c r="I1542" s="9">
        <f>IF(H1542&lt;&gt;"",H1542,G1542)</f>
        <v/>
      </c>
      <c r="J1542" s="9" t="inlineStr">
        <is>
          <t>Proctoring track · phase 2</t>
        </is>
      </c>
      <c r="K1542" s="9" t="n"/>
      <c r="L1542" s="9" t="n"/>
      <c r="M1542" s="10" t="inlineStr"/>
      <c r="N1542" s="10" t="inlineStr"/>
      <c r="O1542" s="10" t="inlineStr">
        <is>
          <t>YX-PSY-01, YX-PSY-02, YX-PSY-03, YX-PSY-04, YX-PSY-05, YX-PSY-06, YX-PSY-07, YX-PSY-08, YX-PSY-09, YX-PSY-10, YX-PSY-11</t>
        </is>
      </c>
      <c r="P1542" s="9" t="inlineStr">
        <is>
          <t>T06</t>
        </is>
      </c>
      <c r="Q1542" s="9" t="inlineStr"/>
      <c r="R1542" s="10" t="inlineStr"/>
      <c r="S1542" s="9" t="n"/>
    </row>
    <row r="1543">
      <c r="A1543" t="inlineStr">
        <is>
          <t>US-E-186</t>
        </is>
      </c>
      <c r="B1543" t="n">
        <v>1880</v>
      </c>
      <c r="C1543" t="inlineStr">
        <is>
          <t>Story</t>
        </is>
      </c>
      <c r="D1543" s="5" t="inlineStr">
        <is>
          <t xml:space="preserve">        Instrument library with reliability and validity evidence</t>
        </is>
      </c>
      <c r="E1543" t="inlineStr">
        <is>
          <t>Assessments &amp; proctoring</t>
        </is>
      </c>
      <c r="F1543" t="inlineStr">
        <is>
          <t>Psychometric and behavioural assessments</t>
        </is>
      </c>
      <c r="G1543" t="inlineStr">
        <is>
          <t>New</t>
        </is>
      </c>
      <c r="I1543">
        <f>IF(H1543&lt;&gt;"",H1543,G1543)</f>
        <v/>
      </c>
      <c r="J1543" t="inlineStr">
        <is>
          <t>Proctoring track · phase 2</t>
        </is>
      </c>
      <c r="K1543" t="n">
        <v>5</v>
      </c>
      <c r="L1543" t="n">
        <v>1</v>
      </c>
      <c r="M1543" s="5" t="inlineStr">
        <is>
          <t>As an assessment admin, I want only proven instruments used for hiring so that decisions are defensible.</t>
        </is>
      </c>
      <c r="N1543" s="5" t="inlineStr">
        <is>
          <t>• Given an instrument, when shown to customers, then reliability and validity evidence with a version are published (YX-PSY-02).
• Given an instrument without enough evidence, when used, then only "research / development" mode is allowed (YX-PSY-02).
• Given a tenant-built instrument, when made, then it follows the T01 review workflow and must reach the evidence bar before hiring use (YX-PSY-09).</t>
        </is>
      </c>
      <c r="O1543" s="5" t="inlineStr">
        <is>
          <t>YX-PSY-02, YX-PSY-09</t>
        </is>
      </c>
      <c r="P1543" t="inlineStr">
        <is>
          <t>T06</t>
        </is>
      </c>
      <c r="Q1543" t="inlineStr">
        <is>
          <t>US-E-085</t>
        </is>
      </c>
      <c r="R1543" s="5" t="inlineStr"/>
    </row>
    <row r="1544">
      <c r="A1544" t="inlineStr">
        <is>
          <t>US-E-187</t>
        </is>
      </c>
      <c r="B1544" t="n">
        <v>1880</v>
      </c>
      <c r="C1544" t="inlineStr">
        <is>
          <t>Story</t>
        </is>
      </c>
      <c r="D1544" s="5" t="inlineStr">
        <is>
          <t xml:space="preserve">        Likert, forced-choice and SJT items with norm-group scoring</t>
        </is>
      </c>
      <c r="E1544" t="inlineStr">
        <is>
          <t>Assessments &amp; proctoring</t>
        </is>
      </c>
      <c r="F1544" t="inlineStr">
        <is>
          <t>Psychometric and behavioural assessments</t>
        </is>
      </c>
      <c r="G1544" t="inlineStr">
        <is>
          <t>New</t>
        </is>
      </c>
      <c r="I1544">
        <f>IF(H1544&lt;&gt;"",H1544,G1544)</f>
        <v/>
      </c>
      <c r="J1544" t="inlineStr">
        <is>
          <t>Proctoring track · phase 2</t>
        </is>
      </c>
      <c r="K1544" t="n">
        <v>8</v>
      </c>
      <c r="L1544" t="n">
        <v>1</v>
      </c>
      <c r="M1544" s="5" t="inlineStr">
        <is>
          <t>As a test author, I want personality and SJT items scored against named norms so that results are meaningful.</t>
        </is>
      </c>
      <c r="N1544" s="5" t="inlineStr">
        <is>
          <t>• Given trait scales, when scored, then results are against a named norm group with confidence bands (YX-PSY-03).
• Given a comparison, when it mixes norm groups, then it is blocked (YX-PSY-03).
• Given personality and SJT items, when served, then they are not timed per item; cognitive items are timed (YX-PSY-04).</t>
        </is>
      </c>
      <c r="O1544" s="5" t="inlineStr">
        <is>
          <t>YX-PSY-03, YX-PSY-04</t>
        </is>
      </c>
      <c r="P1544" t="inlineStr">
        <is>
          <t>T06</t>
        </is>
      </c>
      <c r="Q1544" t="inlineStr">
        <is>
          <t>US-E-186</t>
        </is>
      </c>
      <c r="R1544" s="5" t="inlineStr"/>
    </row>
    <row r="1545">
      <c r="A1545" t="inlineStr">
        <is>
          <t>US-E-188</t>
        </is>
      </c>
      <c r="B1545" t="n">
        <v>1880</v>
      </c>
      <c r="C1545" t="inlineStr">
        <is>
          <t>Story</t>
        </is>
      </c>
      <c r="D1545" s="5" t="inlineStr">
        <is>
          <t xml:space="preserve">        Response-quality flags</t>
        </is>
      </c>
      <c r="E1545" t="inlineStr">
        <is>
          <t>Assessments &amp; proctoring</t>
        </is>
      </c>
      <c r="F1545" t="inlineStr">
        <is>
          <t>Psychometric and behavioural assessments</t>
        </is>
      </c>
      <c r="G1545" t="inlineStr">
        <is>
          <t>New</t>
        </is>
      </c>
      <c r="I1545">
        <f>IF(H1545&lt;&gt;"",H1545,G1545)</f>
        <v/>
      </c>
      <c r="J1545" t="inlineStr">
        <is>
          <t>Proctoring track · phase 2</t>
        </is>
      </c>
      <c r="K1545" t="n">
        <v>2</v>
      </c>
      <c r="L1545" t="n">
        <v>1</v>
      </c>
      <c r="M1545" s="5" t="inlineStr">
        <is>
          <t>As a reviewer, I want too-fast or straight-lined answers flagged so that I can check them.</t>
        </is>
      </c>
      <c r="N1545" s="5" t="inlineStr">
        <is>
          <t>• Given too-fast answers, straight-lining or inconsistency, when found, then a reviewer flag is raised (YX-PSY-05).
• Given such a flag, when raised, then it never invalidates the attempt automatically (YX-PSY-05).
• Given the report, when shown, then flags appear with their reason.</t>
        </is>
      </c>
      <c r="O1545" s="5" t="inlineStr">
        <is>
          <t>YX-PSY-05</t>
        </is>
      </c>
      <c r="P1545" t="inlineStr">
        <is>
          <t>T06</t>
        </is>
      </c>
      <c r="Q1545" t="inlineStr">
        <is>
          <t>US-E-187</t>
        </is>
      </c>
      <c r="R1545" s="5" t="inlineStr"/>
    </row>
    <row r="1546">
      <c r="A1546" t="inlineStr">
        <is>
          <t>US-E-189</t>
        </is>
      </c>
      <c r="B1546" t="n">
        <v>1880</v>
      </c>
      <c r="C1546" t="inlineStr">
        <is>
          <t>Story</t>
        </is>
      </c>
      <c r="D1546" s="5" t="inlineStr">
        <is>
          <t xml:space="preserve">        Advisory psychometric reports with fit ranges</t>
        </is>
      </c>
      <c r="E1546" t="inlineStr">
        <is>
          <t>Assessments &amp; proctoring</t>
        </is>
      </c>
      <c r="F1546" t="inlineStr">
        <is>
          <t>Psychometric and behavioural assessments</t>
        </is>
      </c>
      <c r="G1546" t="inlineStr">
        <is>
          <t>New</t>
        </is>
      </c>
      <c r="I1546">
        <f>IF(H1546&lt;&gt;"",H1546,G1546)</f>
        <v/>
      </c>
      <c r="J1546" t="inlineStr">
        <is>
          <t>Proctoring track · phase 2</t>
        </is>
      </c>
      <c r="K1546" t="n">
        <v>5</v>
      </c>
      <c r="L1546" t="n">
        <v>1</v>
      </c>
      <c r="M1546" s="5" t="inlineStr">
        <is>
          <t>As a hiring manager, I want a report with probe questions, not a pass / fail, so that I use it correctly.</t>
        </is>
      </c>
      <c r="N1546" s="5" t="inlineStr">
        <is>
          <t>• Given a result, when used in the ATS, then it is advisory and a stage cannot auto-reject on it (YX-PSY-01).
• Given report text, when published, then it is checked against the banned-claims list; no clinical inference and no emotion recognition (YX-PSY-06).
• Given job-profile fit, when shown, then it shows ranges and interviewer probe prompts, never a pass / fail badge (YX-PSY-10).</t>
        </is>
      </c>
      <c r="O1546" s="5" t="inlineStr">
        <is>
          <t>YX-PSY-01, YX-PSY-06, YX-PSY-10</t>
        </is>
      </c>
      <c r="P1546" t="inlineStr">
        <is>
          <t>T06</t>
        </is>
      </c>
      <c r="Q1546" t="inlineStr">
        <is>
          <t>US-E-187</t>
        </is>
      </c>
      <c r="R1546" s="5" t="inlineStr"/>
    </row>
    <row r="1547">
      <c r="A1547" t="inlineStr">
        <is>
          <t>US-E-190</t>
        </is>
      </c>
      <c r="B1547" t="n">
        <v>1880</v>
      </c>
      <c r="C1547" t="inlineStr">
        <is>
          <t>Story</t>
        </is>
      </c>
      <c r="D1547" s="5" t="inlineStr">
        <is>
          <t xml:space="preserve">        Psychometric consent and candidate feedback report</t>
        </is>
      </c>
      <c r="E1547" t="inlineStr">
        <is>
          <t>Assessments &amp; proctoring</t>
        </is>
      </c>
      <c r="F1547" t="inlineStr">
        <is>
          <t>Psychometric and behavioural assessments</t>
        </is>
      </c>
      <c r="G1547" t="inlineStr">
        <is>
          <t>New</t>
        </is>
      </c>
      <c r="I1547">
        <f>IF(H1547&lt;&gt;"",H1547,G1547)</f>
        <v/>
      </c>
      <c r="J1547" t="inlineStr">
        <is>
          <t>Proctoring track · phase 2</t>
        </is>
      </c>
      <c r="K1547" t="n">
        <v>2</v>
      </c>
      <c r="L1547" t="n">
        <v>1</v>
      </c>
      <c r="M1547" s="5" t="inlineStr">
        <is>
          <t>As a candidate, I want to know why I take the test and see my own feedback so that the process feels fair.</t>
        </is>
      </c>
      <c r="N1547" s="5" t="inlineStr">
        <is>
          <t>• Given consent, when shown, then it states purpose, who sees results and retention (YX-PSY-07).
• Given the company enables it, when results are ready, then I get my own feedback report (YX-PSY-07).
• Given the company does not enable it, when results are ready, then no candidate report is sent.</t>
        </is>
      </c>
      <c r="O1547" s="5" t="inlineStr">
        <is>
          <t>YX-PSY-07</t>
        </is>
      </c>
      <c r="P1547" t="inlineStr">
        <is>
          <t>T06</t>
        </is>
      </c>
      <c r="Q1547" t="inlineStr">
        <is>
          <t>US-E-189</t>
        </is>
      </c>
      <c r="R1547" s="5" t="inlineStr"/>
    </row>
    <row r="1548">
      <c r="A1548" t="inlineStr">
        <is>
          <t>US-E-191</t>
        </is>
      </c>
      <c r="B1548" t="n">
        <v>1880</v>
      </c>
      <c r="C1548" t="inlineStr">
        <is>
          <t>Story</t>
        </is>
      </c>
      <c r="D1548" s="5" t="inlineStr">
        <is>
          <t xml:space="preserve">        Adverse impact monitoring per instrument</t>
        </is>
      </c>
      <c r="E1548" t="inlineStr">
        <is>
          <t>Assessments &amp; proctoring</t>
        </is>
      </c>
      <c r="F1548" t="inlineStr">
        <is>
          <t>Psychometric and behavioural assessments</t>
        </is>
      </c>
      <c r="G1548" t="inlineStr">
        <is>
          <t>New</t>
        </is>
      </c>
      <c r="I1548">
        <f>IF(H1548&lt;&gt;"",H1548,G1548)</f>
        <v/>
      </c>
      <c r="J1548" t="inlineStr">
        <is>
          <t>Proctoring track · phase 2</t>
        </is>
      </c>
      <c r="K1548" t="n">
        <v>2</v>
      </c>
      <c r="L1548" t="n">
        <v>2</v>
      </c>
      <c r="M1548" s="5" t="inlineStr">
        <is>
          <t>As an instrument owner, I want adverse impact watched per instrument so that bias is caught.</t>
        </is>
      </c>
      <c r="N1548" s="5" t="inlineStr">
        <is>
          <t>• Given each instrument and tenant use, when analysed, then adverse impact and DIF are monitored (YX-PSY-08).
• Given a result below 4/5ths, when found, then a review alert goes to the instrument owner (YX-PSY-08).
• Given small groups, when shown, then suppression applies.</t>
        </is>
      </c>
      <c r="O1548" s="5" t="inlineStr">
        <is>
          <t>YX-PSY-08</t>
        </is>
      </c>
      <c r="P1548" t="inlineStr">
        <is>
          <t>T06</t>
        </is>
      </c>
      <c r="Q1548" t="inlineStr">
        <is>
          <t>US-E-181, US-E-187</t>
        </is>
      </c>
      <c r="R1548" s="5" t="inlineStr"/>
    </row>
    <row r="1549">
      <c r="A1549" t="inlineStr">
        <is>
          <t>US-E-192</t>
        </is>
      </c>
      <c r="B1549" t="n">
        <v>1880</v>
      </c>
      <c r="C1549" t="inlineStr">
        <is>
          <t>Story</t>
        </is>
      </c>
      <c r="D1549" s="5" t="inlineStr">
        <is>
          <t xml:space="preserve">        Employee psychometrics for development</t>
        </is>
      </c>
      <c r="E1549" t="inlineStr">
        <is>
          <t>Assessments &amp; proctoring</t>
        </is>
      </c>
      <c r="F1549" t="inlineStr">
        <is>
          <t>Psychometric and behavioural assessments</t>
        </is>
      </c>
      <c r="G1549" t="inlineStr">
        <is>
          <t>New</t>
        </is>
      </c>
      <c r="I1549">
        <f>IF(H1549&lt;&gt;"",H1549,G1549)</f>
        <v/>
      </c>
      <c r="J1549" t="inlineStr">
        <is>
          <t>Proctoring track · phase 2</t>
        </is>
      </c>
      <c r="K1549" t="n">
        <v>3</v>
      </c>
      <c r="L1549" t="n">
        <v>2</v>
      </c>
      <c r="M1549" s="5" t="inlineStr">
        <is>
          <t>As an employee, I want my psychometric results for my own growth so that they are not used against me without notice.</t>
        </is>
      </c>
      <c r="N1549" s="5" t="inlineStr">
        <is>
          <t>• Given an employee result, when made, then it is for development by default and visible to the employee (YX-PSY-11).
• Given use in promotion or termination, when wanted, then the company must enable it per assessment, HR-only approval and prior notice are required (YX-PSY-11).
• Given such use, when it happens, then it is audited (YX-PSY-11).</t>
        </is>
      </c>
      <c r="O1549" s="5" t="inlineStr">
        <is>
          <t>YX-PSY-11</t>
        </is>
      </c>
      <c r="P1549" t="inlineStr">
        <is>
          <t>T06</t>
        </is>
      </c>
      <c r="Q1549" t="inlineStr">
        <is>
          <t>US-E-189, US-E-130</t>
        </is>
      </c>
      <c r="R1549" s="5" t="inlineStr"/>
    </row>
    <row r="1550">
      <c r="A1550" s="9" t="inlineStr">
        <is>
          <t>FT-E-22</t>
        </is>
      </c>
      <c r="B1550" s="9" t="n">
        <v>1900</v>
      </c>
      <c r="C1550" s="9" t="inlineStr">
        <is>
          <t>Feature</t>
        </is>
      </c>
      <c r="D1550" s="10" t="inlineStr">
        <is>
          <t xml:space="preserve">    Project coding and live technical interview</t>
        </is>
      </c>
      <c r="E1550" s="9" t="inlineStr">
        <is>
          <t>Assessments &amp; proctoring</t>
        </is>
      </c>
      <c r="F1550" s="9" t="inlineStr">
        <is>
          <t>Project coding and live technical interview</t>
        </is>
      </c>
      <c r="G1550" s="9" t="inlineStr">
        <is>
          <t>New</t>
        </is>
      </c>
      <c r="H1550" s="9" t="n"/>
      <c r="I1550" s="9">
        <f>IF(H1550&lt;&gt;"",H1550,G1550)</f>
        <v/>
      </c>
      <c r="J1550" s="9" t="inlineStr">
        <is>
          <t>Proctoring track · phase 2</t>
        </is>
      </c>
      <c r="K1550" s="9" t="n"/>
      <c r="L1550" s="9" t="n"/>
      <c r="M1550" s="10" t="inlineStr"/>
      <c r="N1550" s="10" t="inlineStr"/>
      <c r="O1550" s="10" t="inlineStr">
        <is>
          <t>YX-CODE-01, YX-CODE-02, YX-CODE-03, YX-CODE-04, YX-CODE-05, YX-CODE-06, YX-CODE-07, YX-CODE-08, YX-CODE-09</t>
        </is>
      </c>
      <c r="P1550" s="9" t="inlineStr">
        <is>
          <t>T07</t>
        </is>
      </c>
      <c r="Q1550" s="9" t="inlineStr"/>
      <c r="R1550" s="10" t="inlineStr"/>
      <c r="S1550" s="9" t="n"/>
    </row>
    <row r="1551">
      <c r="A1551" t="inlineStr">
        <is>
          <t>US-E-193</t>
        </is>
      </c>
      <c r="B1551" t="n">
        <v>1900</v>
      </c>
      <c r="C1551" t="inlineStr">
        <is>
          <t>Story</t>
        </is>
      </c>
      <c r="D1551" s="5" t="inlineStr">
        <is>
          <t xml:space="preserve">        Isolated multi-file coding workspaces</t>
        </is>
      </c>
      <c r="E1551" t="inlineStr">
        <is>
          <t>Assessments &amp; proctoring</t>
        </is>
      </c>
      <c r="F1551" t="inlineStr">
        <is>
          <t>Project coding and live technical interview</t>
        </is>
      </c>
      <c r="G1551" t="inlineStr">
        <is>
          <t>New</t>
        </is>
      </c>
      <c r="I1551">
        <f>IF(H1551&lt;&gt;"",H1551,G1551)</f>
        <v/>
      </c>
      <c r="J1551" t="inlineStr">
        <is>
          <t>Proctoring track · phase 2</t>
        </is>
      </c>
      <c r="K1551" t="n">
        <v>8</v>
      </c>
      <c r="L1551" t="n">
        <v>1</v>
      </c>
      <c r="M1551" s="5" t="inlineStr">
        <is>
          <t>As a candidate, I want a real multi-file project workspace so that I can show real skills.</t>
        </is>
      </c>
      <c r="N1551" s="5" t="inlineStr">
        <is>
          <t>• Given an attempt, when the workspace starts, then it is isolated with no network except the allow-listed package mirror (YX-CODE-01).
• Given a template, when used, then CPU, memory and time limits apply (YX-CODE-01).
• Given submission, when the snapshot is taken, then the workspace is destroyed after retention (YX-CODE-01).
• Given usage beyond fair use, when metered, then it follows the D18 usage add-on (YX-CODE-09).</t>
        </is>
      </c>
      <c r="O1551" s="5" t="inlineStr">
        <is>
          <t>YX-CODE-01, YX-CODE-09</t>
        </is>
      </c>
      <c r="P1551" t="inlineStr">
        <is>
          <t>T07</t>
        </is>
      </c>
      <c r="Q1551" t="inlineStr">
        <is>
          <t>US-E-108</t>
        </is>
      </c>
      <c r="R1551" s="5" t="inlineStr"/>
    </row>
    <row r="1552">
      <c r="A1552" t="inlineStr">
        <is>
          <t>US-E-194</t>
        </is>
      </c>
      <c r="B1552" t="n">
        <v>1900</v>
      </c>
      <c r="C1552" t="inlineStr">
        <is>
          <t>Story</t>
        </is>
      </c>
      <c r="D1552" s="5" t="inlineStr">
        <is>
          <t xml:space="preserve">        Separate grader and immutable submission snapshot</t>
        </is>
      </c>
      <c r="E1552" t="inlineStr">
        <is>
          <t>Assessments &amp; proctoring</t>
        </is>
      </c>
      <c r="F1552" t="inlineStr">
        <is>
          <t>Project coding and live technical interview</t>
        </is>
      </c>
      <c r="G1552" t="inlineStr">
        <is>
          <t>New</t>
        </is>
      </c>
      <c r="I1552">
        <f>IF(H1552&lt;&gt;"",H1552,G1552)</f>
        <v/>
      </c>
      <c r="J1552" t="inlineStr">
        <is>
          <t>Proctoring track · phase 2</t>
        </is>
      </c>
      <c r="K1552" t="n">
        <v>5</v>
      </c>
      <c r="L1552" t="n">
        <v>1</v>
      </c>
      <c r="M1552" s="5" t="inlineStr">
        <is>
          <t>As a test owner, I want grading in a separate container on a frozen snapshot so that results cannot be gamed.</t>
        </is>
      </c>
      <c r="N1552" s="5" t="inlineStr">
        <is>
          <t>• Given hidden tests, reference solutions and grading scripts, when grading runs, then they never enter the candidate workspace (YX-CODE-02).
• Given submission, when made, then an immutable snapshot (files + commit hash) is stored (YX-CODE-03).
• Given a score, when stored, then it references the snapshot and template version (YX-CODE-03).</t>
        </is>
      </c>
      <c r="O1552" s="5" t="inlineStr">
        <is>
          <t>YX-CODE-02, YX-CODE-03</t>
        </is>
      </c>
      <c r="P1552" t="inlineStr">
        <is>
          <t>T07</t>
        </is>
      </c>
      <c r="Q1552" t="inlineStr">
        <is>
          <t>US-E-193</t>
        </is>
      </c>
      <c r="R1552" s="5" t="inlineStr"/>
    </row>
    <row r="1553">
      <c r="A1553" t="inlineStr">
        <is>
          <t>US-E-195</t>
        </is>
      </c>
      <c r="B1553" t="n">
        <v>1900</v>
      </c>
      <c r="C1553" t="inlineStr">
        <is>
          <t>Story</t>
        </is>
      </c>
      <c r="D1553" s="5" t="inlineStr">
        <is>
          <t xml:space="preserve">        Keystroke playback for reviewers</t>
        </is>
      </c>
      <c r="E1553" t="inlineStr">
        <is>
          <t>Assessments &amp; proctoring</t>
        </is>
      </c>
      <c r="F1553" t="inlineStr">
        <is>
          <t>Project coding and live technical interview</t>
        </is>
      </c>
      <c r="G1553" t="inlineStr">
        <is>
          <t>New</t>
        </is>
      </c>
      <c r="I1553">
        <f>IF(H1553&lt;&gt;"",H1553,G1553)</f>
        <v/>
      </c>
      <c r="J1553" t="inlineStr">
        <is>
          <t>Proctoring track · phase 2</t>
        </is>
      </c>
      <c r="K1553" t="n">
        <v>3</v>
      </c>
      <c r="L1553" t="n">
        <v>1</v>
      </c>
      <c r="M1553" s="5" t="inlineStr">
        <is>
          <t>As a reviewer, I want to replay how code was written so that I can judge the work.</t>
        </is>
      </c>
      <c r="N1553" s="5" t="inlineStr">
        <is>
          <t>• Given any workspace or interview session, when used, then playback events are recorded (YX-CODE-04).
• Given playback, when needed, then reviewers and incidents can open it (YX-CODE-04).
• Given consent, when shown, then it tells candidates their editing is recorded (YX-CODE-04).</t>
        </is>
      </c>
      <c r="O1553" s="5" t="inlineStr">
        <is>
          <t>YX-CODE-04</t>
        </is>
      </c>
      <c r="P1553" t="inlineStr">
        <is>
          <t>T07</t>
        </is>
      </c>
      <c r="Q1553" t="inlineStr">
        <is>
          <t>US-E-193</t>
        </is>
      </c>
      <c r="R1553" s="5" t="inlineStr"/>
    </row>
    <row r="1554">
      <c r="A1554" t="inlineStr">
        <is>
          <t>US-E-196</t>
        </is>
      </c>
      <c r="B1554" t="n">
        <v>1900</v>
      </c>
      <c r="C1554" t="inlineStr">
        <is>
          <t>Story</t>
        </is>
      </c>
      <c r="D1554" s="5" t="inlineStr">
        <is>
          <t xml:space="preserve">        Take-home tasks with deadlines</t>
        </is>
      </c>
      <c r="E1554" t="inlineStr">
        <is>
          <t>Assessments &amp; proctoring</t>
        </is>
      </c>
      <c r="F1554" t="inlineStr">
        <is>
          <t>Project coding and live technical interview</t>
        </is>
      </c>
      <c r="G1554" t="inlineStr">
        <is>
          <t>New</t>
        </is>
      </c>
      <c r="I1554">
        <f>IF(H1554&lt;&gt;"",H1554,G1554)</f>
        <v/>
      </c>
      <c r="J1554" t="inlineStr">
        <is>
          <t>Proctoring track · phase 2</t>
        </is>
      </c>
      <c r="K1554" t="n">
        <v>3</v>
      </c>
      <c r="L1554" t="n">
        <v>2</v>
      </c>
      <c r="M1554" s="5" t="inlineStr">
        <is>
          <t>As a recruiter, I want take-home tasks with a clear deadline so that candidates work on their own time.</t>
        </is>
      </c>
      <c r="N1554" s="5" t="inlineStr">
        <is>
          <t>• Given a take-home, when sent, then the deadline is shown in the candidate’s time zone (YX-CODE-05).
• Given commits after the deadline, when made, then they are marked late (YX-CODE-05).
• Given company policy, when set, then late work is accepted or not (YX-CODE-05).</t>
        </is>
      </c>
      <c r="O1554" s="5" t="inlineStr">
        <is>
          <t>YX-CODE-05</t>
        </is>
      </c>
      <c r="P1554" t="inlineStr">
        <is>
          <t>T07</t>
        </is>
      </c>
      <c r="Q1554" t="inlineStr">
        <is>
          <t>US-E-194</t>
        </is>
      </c>
      <c r="R1554" s="5" t="inlineStr"/>
    </row>
    <row r="1555">
      <c r="A1555" t="inlineStr">
        <is>
          <t>US-E-197</t>
        </is>
      </c>
      <c r="B1555" t="n">
        <v>1900</v>
      </c>
      <c r="C1555" t="inlineStr">
        <is>
          <t>Story</t>
        </is>
      </c>
      <c r="D1555" s="5" t="inlineStr">
        <is>
          <t xml:space="preserve">        Live interview room with a shared editor</t>
        </is>
      </c>
      <c r="E1555" t="inlineStr">
        <is>
          <t>Assessments &amp; proctoring</t>
        </is>
      </c>
      <c r="F1555" t="inlineStr">
        <is>
          <t>Project coding and live technical interview</t>
        </is>
      </c>
      <c r="G1555" t="inlineStr">
        <is>
          <t>New</t>
        </is>
      </c>
      <c r="I1555">
        <f>IF(H1555&lt;&gt;"",H1555,G1555)</f>
        <v/>
      </c>
      <c r="J1555" t="inlineStr">
        <is>
          <t>Proctoring track · phase 2</t>
        </is>
      </c>
      <c r="K1555" t="n">
        <v>8</v>
      </c>
      <c r="L1555" t="n">
        <v>1</v>
      </c>
      <c r="M1555" s="5" t="inlineStr">
        <is>
          <t>As an interviewer, I want a live coding room with notes so that I interview technical candidates well.</t>
        </is>
      </c>
      <c r="N1555" s="5" t="inlineStr">
        <is>
          <t>• Given a live interview, when open, then candidate and panel share an editor and run code.
• Given notes and rubric scores, when written, then they are private to the panel until submitted, and feed the M10 scorecard (YX-CODE-07).
• Given video recording, when wanted, then it follows the company setting and needs consent at join (YX-CODE-07).
• Given automatic scores, AI review and similarity, when shown, then they are advisory; an interviewer recommendation is required to move on (YX-CODE-06).</t>
        </is>
      </c>
      <c r="O1555" s="5" t="inlineStr">
        <is>
          <t>YX-CODE-06, YX-CODE-07</t>
        </is>
      </c>
      <c r="P1555" t="inlineStr">
        <is>
          <t>T07</t>
        </is>
      </c>
      <c r="Q1555" t="inlineStr">
        <is>
          <t>US-E-195, US-E-029</t>
        </is>
      </c>
      <c r="R1555" s="5" t="inlineStr"/>
    </row>
    <row r="1556">
      <c r="A1556" t="inlineStr">
        <is>
          <t>US-E-198</t>
        </is>
      </c>
      <c r="B1556" t="n">
        <v>1900</v>
      </c>
      <c r="C1556" t="inlineStr">
        <is>
          <t>Story</t>
        </is>
      </c>
      <c r="D1556" s="5" t="inlineStr">
        <is>
          <t xml:space="preserve">        Multi-file similarity checks</t>
        </is>
      </c>
      <c r="E1556" t="inlineStr">
        <is>
          <t>Assessments &amp; proctoring</t>
        </is>
      </c>
      <c r="F1556" t="inlineStr">
        <is>
          <t>Project coding and live technical interview</t>
        </is>
      </c>
      <c r="G1556" t="inlineStr">
        <is>
          <t>Active</t>
        </is>
      </c>
      <c r="I1556">
        <f>IF(H1556&lt;&gt;"",H1556,G1556)</f>
        <v/>
      </c>
      <c r="J1556" t="inlineStr">
        <is>
          <t>Proctoring track · phase 2</t>
        </is>
      </c>
      <c r="K1556" t="n">
        <v>3</v>
      </c>
      <c r="L1556" t="n">
        <v>1</v>
      </c>
      <c r="M1556" s="5" t="inlineStr">
        <is>
          <t>As a reviewer, I want copied projects found so that plagiarism is reviewed.</t>
        </is>
      </c>
      <c r="N1556" s="5" t="inlineStr">
        <is>
          <t>• Given multi-file submissions, when compared, then the 5-gram engine runs across attempts in the tenant (YX-CODE-08).
• Given the partner add-on, when on, then public solutions are checked (YX-CODE-08).
• Given a match, when found, then it is an integrity flag only (YX-EVAL-07).</t>
        </is>
      </c>
      <c r="O1556" s="5" t="inlineStr">
        <is>
          <t>YX-CODE-08</t>
        </is>
      </c>
      <c r="P1556" t="inlineStr">
        <is>
          <t>T07</t>
        </is>
      </c>
      <c r="Q1556" t="inlineStr">
        <is>
          <t>US-E-194</t>
        </is>
      </c>
      <c r="R1556" s="5" t="inlineStr">
        <is>
          <t>apps/exam-runtime/src/integrity/similarity.ts — single-file 5-gram engine exists; multi-file is new</t>
        </is>
      </c>
    </row>
    <row r="1557">
      <c r="A1557" s="9" t="inlineStr">
        <is>
          <t>FT-E-23</t>
        </is>
      </c>
      <c r="B1557" s="9" t="n">
        <v>1930</v>
      </c>
      <c r="C1557" s="9" t="inlineStr">
        <is>
          <t>Feature</t>
        </is>
      </c>
      <c r="D1557" s="10" t="inlineStr">
        <is>
          <t xml:space="preserve">    YukthiX secure client</t>
        </is>
      </c>
      <c r="E1557" s="9" t="inlineStr">
        <is>
          <t>Assessments &amp; proctoring</t>
        </is>
      </c>
      <c r="F1557" s="9" t="inlineStr">
        <is>
          <t>YukthiX secure client</t>
        </is>
      </c>
      <c r="G1557" s="9" t="inlineStr">
        <is>
          <t>New</t>
        </is>
      </c>
      <c r="H1557" s="9" t="n"/>
      <c r="I1557" s="9">
        <f>IF(H1557&lt;&gt;"",H1557,G1557)</f>
        <v/>
      </c>
      <c r="J1557" s="9" t="inlineStr">
        <is>
          <t>Proctoring track · phase 2</t>
        </is>
      </c>
      <c r="K1557" s="9" t="n"/>
      <c r="L1557" s="9" t="n"/>
      <c r="M1557" s="10" t="inlineStr"/>
      <c r="N1557" s="10" t="inlineStr"/>
      <c r="O1557" s="10" t="inlineStr">
        <is>
          <t>YX-SCL-01, YX-SCL-02, YX-SCL-03, YX-SCL-04, YX-SCL-05, YX-SCL-06, YX-SCL-07, YX-SCL-08, YX-SCL-09</t>
        </is>
      </c>
      <c r="P1557" s="9" t="inlineStr">
        <is>
          <t>T08</t>
        </is>
      </c>
      <c r="Q1557" s="9" t="inlineStr"/>
      <c r="R1557" s="10" t="inlineStr"/>
      <c r="S1557" s="9" t="n"/>
    </row>
    <row r="1558">
      <c r="A1558" t="inlineStr">
        <is>
          <t>US-E-199</t>
        </is>
      </c>
      <c r="B1558" t="n">
        <v>1930</v>
      </c>
      <c r="C1558" t="inlineStr">
        <is>
          <t>Story</t>
        </is>
      </c>
      <c r="D1558" s="5" t="inlineStr">
        <is>
          <t xml:space="preserve">        Signed client with launch token and minimum version</t>
        </is>
      </c>
      <c r="E1558" t="inlineStr">
        <is>
          <t>Assessments &amp; proctoring</t>
        </is>
      </c>
      <c r="F1558" t="inlineStr">
        <is>
          <t>YukthiX secure client</t>
        </is>
      </c>
      <c r="G1558" t="inlineStr">
        <is>
          <t>New</t>
        </is>
      </c>
      <c r="I1558">
        <f>IF(H1558&lt;&gt;"",H1558,G1558)</f>
        <v/>
      </c>
      <c r="J1558" t="inlineStr">
        <is>
          <t>Proctoring track · phase 2</t>
        </is>
      </c>
      <c r="K1558" t="n">
        <v>8</v>
      </c>
      <c r="L1558" t="n">
        <v>1</v>
      </c>
      <c r="M1558" s="5" t="inlineStr">
        <is>
          <t>As a test owner, I want only a genuine, current client to run tests so that tampered clients are blocked.</t>
        </is>
      </c>
      <c r="N1558" s="5" t="inlineStr">
        <is>
          <t>• Given the client, when it starts, then it is code-signed and verifies its own integrity (YX-SCL-01).
• Given the test minimum version, when the client is older, then it is refused (YX-SCL-01).
• Given a session, when opened, then the server accepts it only with a valid one-time launch token bound to the attempt (YX-SCL-01).
• Given a vulnerable version, when found, then P12 SLAs apply and the minimum version blocks it (YX-SCL-07).</t>
        </is>
      </c>
      <c r="O1558" s="5" t="inlineStr">
        <is>
          <t>YX-SCL-01, YX-SCL-07</t>
        </is>
      </c>
      <c r="P1558" t="inlineStr">
        <is>
          <t>T08</t>
        </is>
      </c>
      <c r="Q1558" t="inlineStr">
        <is>
          <t>US-E-145</t>
        </is>
      </c>
      <c r="R1558" s="5" t="inlineStr"/>
    </row>
    <row r="1559">
      <c r="A1559" t="inlineStr">
        <is>
          <t>US-E-200</t>
        </is>
      </c>
      <c r="B1559" t="n">
        <v>1930</v>
      </c>
      <c r="C1559" t="inlineStr">
        <is>
          <t>Story</t>
        </is>
      </c>
      <c r="D1559" s="5" t="inlineStr">
        <is>
          <t xml:space="preserve">        No background service and clean uninstall</t>
        </is>
      </c>
      <c r="E1559" t="inlineStr">
        <is>
          <t>Assessments &amp; proctoring</t>
        </is>
      </c>
      <c r="F1559" t="inlineStr">
        <is>
          <t>YukthiX secure client</t>
        </is>
      </c>
      <c r="G1559" t="inlineStr">
        <is>
          <t>New</t>
        </is>
      </c>
      <c r="I1559">
        <f>IF(H1559&lt;&gt;"",H1559,G1559)</f>
        <v/>
      </c>
      <c r="J1559" t="inlineStr">
        <is>
          <t>Proctoring track · phase 2</t>
        </is>
      </c>
      <c r="K1559" t="n">
        <v>3</v>
      </c>
      <c r="L1559" t="n">
        <v>1</v>
      </c>
      <c r="M1559" s="5" t="inlineStr">
        <is>
          <t>As a candidate, I want the client to leave nothing behind so that my computer stays mine.</t>
        </is>
      </c>
      <c r="N1559" s="5" t="inlineStr">
        <is>
          <t>• Given the client, when installed, then there is no always-on service or kernel driver (YX-SCL-02).
• Given exit, when the attempt ends, then no data is kept except crash logs (YX-SCL-02).
• Given uninstall, when run, then it removes everything (YX-SCL-02).</t>
        </is>
      </c>
      <c r="O1559" s="5" t="inlineStr">
        <is>
          <t>YX-SCL-02</t>
        </is>
      </c>
      <c r="P1559" t="inlineStr">
        <is>
          <t>T08</t>
        </is>
      </c>
      <c r="Q1559" t="inlineStr">
        <is>
          <t>US-E-199</t>
        </is>
      </c>
      <c r="R1559" s="5" t="inlineStr"/>
    </row>
    <row r="1560">
      <c r="A1560" t="inlineStr">
        <is>
          <t>US-E-201</t>
        </is>
      </c>
      <c r="B1560" t="n">
        <v>1930</v>
      </c>
      <c r="C1560" t="inlineStr">
        <is>
          <t>Story</t>
        </is>
      </c>
      <c r="D1560" s="5" t="inlineStr">
        <is>
          <t xml:space="preserve">        Process, VM, virtual device and mirroring detection</t>
        </is>
      </c>
      <c r="E1560" t="inlineStr">
        <is>
          <t>Assessments &amp; proctoring</t>
        </is>
      </c>
      <c r="F1560" t="inlineStr">
        <is>
          <t>YukthiX secure client</t>
        </is>
      </c>
      <c r="G1560" t="inlineStr">
        <is>
          <t>New</t>
        </is>
      </c>
      <c r="I1560">
        <f>IF(H1560&lt;&gt;"",H1560,G1560)</f>
        <v/>
      </c>
      <c r="J1560" t="inlineStr">
        <is>
          <t>Proctoring track · phase 2</t>
        </is>
      </c>
      <c r="K1560" t="n">
        <v>8</v>
      </c>
      <c r="L1560" t="n">
        <v>1</v>
      </c>
      <c r="M1560" s="5" t="inlineStr">
        <is>
          <t>As a proctor, I want cheating tools detected on the computer so that I can review them.</t>
        </is>
      </c>
      <c r="N1560" s="5" t="inlineStr">
        <is>
          <t>• Given VM, virtual camera / audio, mirroring, remote control or blocked processes, when found, then signals go through the T04 matrix; nothing auto-fails (YX-SCL-03).
• Given the platform blocked list, when a tenant adds entries or allows exceptions per test, then they apply (YX-SCL-04).
• Given an approved assistive technology accommodation, when it runs, then the accommodation wins (YX-SCL-04).</t>
        </is>
      </c>
      <c r="O1560" s="5" t="inlineStr">
        <is>
          <t>YX-SCL-03, YX-SCL-04</t>
        </is>
      </c>
      <c r="P1560" t="inlineStr">
        <is>
          <t>T08</t>
        </is>
      </c>
      <c r="Q1560" t="inlineStr">
        <is>
          <t>US-E-199, US-E-139</t>
        </is>
      </c>
      <c r="R1560" s="5" t="inlineStr"/>
    </row>
    <row r="1561">
      <c r="A1561" t="inlineStr">
        <is>
          <t>US-E-202</t>
        </is>
      </c>
      <c r="B1561" t="n">
        <v>1930</v>
      </c>
      <c r="C1561" t="inlineStr">
        <is>
          <t>Story</t>
        </is>
      </c>
      <c r="D1561" s="5" t="inlineStr">
        <is>
          <t xml:space="preserve">        Client collects only consented data</t>
        </is>
      </c>
      <c r="E1561" t="inlineStr">
        <is>
          <t>Assessments &amp; proctoring</t>
        </is>
      </c>
      <c r="F1561" t="inlineStr">
        <is>
          <t>YukthiX secure client</t>
        </is>
      </c>
      <c r="G1561" t="inlineStr">
        <is>
          <t>New</t>
        </is>
      </c>
      <c r="I1561">
        <f>IF(H1561&lt;&gt;"",H1561,G1561)</f>
        <v/>
      </c>
      <c r="J1561" t="inlineStr">
        <is>
          <t>Proctoring track · phase 2</t>
        </is>
      </c>
      <c r="K1561" t="n">
        <v>2</v>
      </c>
      <c r="L1561" t="n">
        <v>1</v>
      </c>
      <c r="M1561" s="5" t="inlineStr">
        <is>
          <t>As a candidate, I want the client to read only what I agreed to so that my privacy is safe.</t>
        </is>
      </c>
      <c r="N1561" s="5" t="inlineStr">
        <is>
          <t>• Given the consent list, when the client runs, then it collects only process names, device types, display count and VM indicators (YX-SCL-05).
• Given files, keystrokes outside the test, browsing history or documents, when the client runs, then it never reads them (YX-SCL-05).
• Given a privacy test, when run in CI, then the client sends no other fields.</t>
        </is>
      </c>
      <c r="O1561" s="5" t="inlineStr">
        <is>
          <t>YX-SCL-05</t>
        </is>
      </c>
      <c r="P1561" t="inlineStr">
        <is>
          <t>T08</t>
        </is>
      </c>
      <c r="Q1561" t="inlineStr">
        <is>
          <t>US-E-201</t>
        </is>
      </c>
      <c r="R1561" s="5" t="inlineStr"/>
    </row>
    <row r="1562">
      <c r="A1562" t="inlineStr">
        <is>
          <t>US-E-203</t>
        </is>
      </c>
      <c r="B1562" t="n">
        <v>1930</v>
      </c>
      <c r="C1562" t="inlineStr">
        <is>
          <t>Story</t>
        </is>
      </c>
      <c r="D1562" s="5" t="inlineStr">
        <is>
          <t xml:space="preserve">        Optional LAN second-device hint</t>
        </is>
      </c>
      <c r="E1562" t="inlineStr">
        <is>
          <t>Assessments &amp; proctoring</t>
        </is>
      </c>
      <c r="F1562" t="inlineStr">
        <is>
          <t>YukthiX secure client</t>
        </is>
      </c>
      <c r="G1562" t="inlineStr">
        <is>
          <t>New</t>
        </is>
      </c>
      <c r="I1562">
        <f>IF(H1562&lt;&gt;"",H1562,G1562)</f>
        <v/>
      </c>
      <c r="J1562" t="inlineStr">
        <is>
          <t>Proctoring track · phase 2</t>
        </is>
      </c>
      <c r="K1562" t="n">
        <v>3</v>
      </c>
      <c r="L1562" t="n">
        <v>3</v>
      </c>
      <c r="M1562" s="5" t="inlineStr">
        <is>
          <t>As a test owner, I want a passive hint of other devices nearby so that I can review possible help.</t>
        </is>
      </c>
      <c r="N1562" s="5" t="inlineStr">
        <is>
          <t>• Given the hint is on and consented, when it runs, then it only passively discovers advertising devices (YX-SCL-06).
• Given results, when stored, then only a count and device class are kept (YX-SCL-06).
• Given the hint, when used, then it is never the sole reason for action (YX-SCL-06).</t>
        </is>
      </c>
      <c r="O1562" s="5" t="inlineStr">
        <is>
          <t>YX-SCL-06</t>
        </is>
      </c>
      <c r="P1562" t="inlineStr">
        <is>
          <t>T08</t>
        </is>
      </c>
      <c r="Q1562" t="inlineStr">
        <is>
          <t>US-E-201</t>
        </is>
      </c>
      <c r="R1562" s="5" t="inlineStr"/>
    </row>
    <row r="1563">
      <c r="A1563" t="inlineStr">
        <is>
          <t>US-E-204</t>
        </is>
      </c>
      <c r="B1563" t="n">
        <v>1930</v>
      </c>
      <c r="C1563" t="inlineStr">
        <is>
          <t>Story</t>
        </is>
      </c>
      <c r="D1563" s="5" t="inlineStr">
        <is>
          <t xml:space="preserve">        Crash recovery without penalty</t>
        </is>
      </c>
      <c r="E1563" t="inlineStr">
        <is>
          <t>Assessments &amp; proctoring</t>
        </is>
      </c>
      <c r="F1563" t="inlineStr">
        <is>
          <t>YukthiX secure client</t>
        </is>
      </c>
      <c r="G1563" t="inlineStr">
        <is>
          <t>New</t>
        </is>
      </c>
      <c r="I1563">
        <f>IF(H1563&lt;&gt;"",H1563,G1563)</f>
        <v/>
      </c>
      <c r="J1563" t="inlineStr">
        <is>
          <t>Proctoring track · phase 2</t>
        </is>
      </c>
      <c r="K1563" t="n">
        <v>2</v>
      </c>
      <c r="L1563" t="n">
        <v>1</v>
      </c>
      <c r="M1563" s="5" t="inlineStr">
        <is>
          <t>As a candidate, I want a crash to be recovered like a network drop so that I do not lose my test.</t>
        </is>
      </c>
      <c r="N1563" s="5" t="inlineStr">
        <is>
          <t>• Given a client crash or device failure, when I restart, then auto-save, time credit and re-auth apply (YX-SCL-08).
• Given a crash, when logged, then it is not treated as a violation (YX-SCL-08).
• Given crash logs, when sent, then they include no personal content.</t>
        </is>
      </c>
      <c r="O1563" s="5" t="inlineStr">
        <is>
          <t>YX-SCL-08</t>
        </is>
      </c>
      <c r="P1563" t="inlineStr">
        <is>
          <t>T08</t>
        </is>
      </c>
      <c r="Q1563" t="inlineStr">
        <is>
          <t>US-E-199, US-E-123</t>
        </is>
      </c>
      <c r="R1563" s="5" t="inlineStr"/>
    </row>
    <row r="1564">
      <c r="A1564" t="inlineStr">
        <is>
          <t>US-E-205</t>
        </is>
      </c>
      <c r="B1564" t="n">
        <v>1930</v>
      </c>
      <c r="C1564" t="inlineStr">
        <is>
          <t>Story</t>
        </is>
      </c>
      <c r="D1564" s="5" t="inlineStr">
        <is>
          <t xml:space="preserve">        Overlay assistant and second-device voice tool detection</t>
        </is>
      </c>
      <c r="E1564" t="inlineStr">
        <is>
          <t>Assessments &amp; proctoring</t>
        </is>
      </c>
      <c r="F1564" t="inlineStr">
        <is>
          <t>YukthiX secure client</t>
        </is>
      </c>
      <c r="G1564" t="inlineStr">
        <is>
          <t>New</t>
        </is>
      </c>
      <c r="I1564">
        <f>IF(H1564&lt;&gt;"",H1564,G1564)</f>
        <v/>
      </c>
      <c r="J1564" t="inlineStr">
        <is>
          <t>Proctoring track · phase 2</t>
        </is>
      </c>
      <c r="K1564" t="n">
        <v>5</v>
      </c>
      <c r="L1564" t="n">
        <v>1</v>
      </c>
      <c r="M1564" s="5" t="inlineStr">
        <is>
          <t>As a proctor, I want hidden AI overlays detected so that invisible help is flagged.</t>
        </is>
      </c>
      <c r="N1564" s="5" t="inlineStr">
        <is>
          <t>• Given always-on-top, transparent or click-through windows over the runner, when found, then an overlay assistant signal is raised (YX-SCL-09).
• Given the shared screen image alone, when checked, then it is never trusted as proof of no overlay (YX-SCL-09).
• Given the signal, when raised, then it is a review flag only (YX-PROC-03).</t>
        </is>
      </c>
      <c r="O1564" s="5" t="inlineStr">
        <is>
          <t>YX-SCL-09</t>
        </is>
      </c>
      <c r="P1564" t="inlineStr">
        <is>
          <t>T08</t>
        </is>
      </c>
      <c r="Q1564" t="inlineStr">
        <is>
          <t>US-E-201</t>
        </is>
      </c>
      <c r="R1564" s="5" t="inlineStr"/>
    </row>
  </sheetData>
  <autoFilter ref="A1:S1564"/>
  <conditionalFormatting sqref="I2:I1564">
    <cfRule type="expression" priority="1" dxfId="0">
      <formula>ISNUMBER(SEARCH("Done",I2))</formula>
    </cfRule>
    <cfRule type="expression" priority="2" dxfId="1">
      <formula>ISNUMBER(SEARCH("Active",I2))</formula>
    </cfRule>
  </conditionalFormatting>
  <dataValidations count="1">
    <dataValidation sqref="H2:H1564" showDropDown="0" showInputMessage="0" showErrorMessage="0" allowBlank="1" type="list">
      <formula1>"New,Active,Done,Removed"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8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0" customWidth="1" min="3" max="3"/>
    <col width="60" customWidth="1" min="4" max="4"/>
    <col width="9" customWidth="1" min="5" max="5"/>
    <col width="9" customWidth="1" min="6" max="6"/>
    <col width="8" customWidth="1" min="7" max="7"/>
    <col width="8" customWidth="1" min="8" max="8"/>
    <col width="8" customWidth="1" min="9" max="9"/>
    <col width="12" customWidth="1" min="10" max="10"/>
  </cols>
  <sheetData>
    <row r="1">
      <c r="A1" s="4" t="inlineStr">
        <is>
          <t>Phase</t>
        </is>
      </c>
      <c r="B1" s="4" t="inlineStr">
        <is>
          <t>Roadmap step</t>
        </is>
      </c>
      <c r="C1" s="4" t="inlineStr">
        <is>
          <t>Starts at order</t>
        </is>
      </c>
      <c r="D1" s="4" t="inlineStr">
        <is>
          <t>Epics</t>
        </is>
      </c>
      <c r="E1" s="4" t="inlineStr">
        <is>
          <t>Stories</t>
        </is>
      </c>
      <c r="F1" s="4" t="inlineStr">
        <is>
          <t>Points</t>
        </is>
      </c>
      <c r="G1" s="4" t="inlineStr">
        <is>
          <t>Done</t>
        </is>
      </c>
      <c r="H1" s="4" t="inlineStr">
        <is>
          <t>Active</t>
        </is>
      </c>
      <c r="I1" s="4" t="inlineStr">
        <is>
          <t>New</t>
        </is>
      </c>
      <c r="J1" s="4" t="inlineStr">
        <is>
          <t>% done (points)</t>
        </is>
      </c>
    </row>
    <row r="2">
      <c r="A2" t="inlineStr">
        <is>
          <t>Step 0</t>
        </is>
      </c>
      <c r="B2" t="inlineStr">
        <is>
          <t>Step 0</t>
        </is>
      </c>
      <c r="C2" t="n">
        <v>11</v>
      </c>
      <c r="D2" s="5" t="inlineStr">
        <is>
          <t>Step 0 · PostgreSQL and tenant isolation</t>
        </is>
      </c>
      <c r="E2">
        <f>COUNTIFS(Backlog!$J$2:$J$1564,$A2,Backlog!$C$2:$C$1564,"Story")</f>
        <v/>
      </c>
      <c r="F2">
        <f>SUMIFS(Backlog!$K$2:$K$1564,Backlog!$J$2:$J$1564,$A2,Backlog!$C$2:$C$1564,"Story")</f>
        <v/>
      </c>
      <c r="G2">
        <f>COUNTIFS(Backlog!$J$2:$J$1564,$A2,Backlog!$C$2:$C$1564,"Story",Backlog!$I$2:$I$1564,"Done")</f>
        <v/>
      </c>
      <c r="H2">
        <f>COUNTIFS(Backlog!$J$2:$J$1564,$A2,Backlog!$C$2:$C$1564,"Story",Backlog!$I$2:$I$1564,"Active")</f>
        <v/>
      </c>
      <c r="I2">
        <f>COUNTIFS(Backlog!$J$2:$J$1564,$A2,Backlog!$C$2:$C$1564,"Story",Backlog!$I$2:$I$1564,"New")</f>
        <v/>
      </c>
      <c r="J2" s="6">
        <f>IF(F2=0,"",SUMIFS(Backlog!$K$2:$K$1564,Backlog!$J$2:$J$1564,$A2,Backlog!$C$2:$C$1564,"Story",Backlog!$I$2:$I$1564,"Done")/F2)</f>
        <v/>
      </c>
    </row>
    <row r="3">
      <c r="A3" t="inlineStr">
        <is>
          <t>Step 1a</t>
        </is>
      </c>
      <c r="B3" t="inlineStr">
        <is>
          <t>Step 1</t>
        </is>
      </c>
      <c r="C3" t="n">
        <v>111</v>
      </c>
      <c r="D3" s="5" t="inlineStr">
        <is>
          <t>Step 1 · Login and security</t>
        </is>
      </c>
      <c r="E3">
        <f>COUNTIFS(Backlog!$J$2:$J$1564,$A3,Backlog!$C$2:$C$1564,"Story")</f>
        <v/>
      </c>
      <c r="F3">
        <f>SUMIFS(Backlog!$K$2:$K$1564,Backlog!$J$2:$J$1564,$A3,Backlog!$C$2:$C$1564,"Story")</f>
        <v/>
      </c>
      <c r="G3">
        <f>COUNTIFS(Backlog!$J$2:$J$1564,$A3,Backlog!$C$2:$C$1564,"Story",Backlog!$I$2:$I$1564,"Done")</f>
        <v/>
      </c>
      <c r="H3">
        <f>COUNTIFS(Backlog!$J$2:$J$1564,$A3,Backlog!$C$2:$C$1564,"Story",Backlog!$I$2:$I$1564,"Active")</f>
        <v/>
      </c>
      <c r="I3">
        <f>COUNTIFS(Backlog!$J$2:$J$1564,$A3,Backlog!$C$2:$C$1564,"Story",Backlog!$I$2:$I$1564,"New")</f>
        <v/>
      </c>
      <c r="J3" s="6">
        <f>IF(F3=0,"",SUMIFS(Backlog!$K$2:$K$1564,Backlog!$J$2:$J$1564,$A3,Backlog!$C$2:$C$1564,"Story",Backlog!$I$2:$I$1564,"Done")/F3)</f>
        <v/>
      </c>
    </row>
    <row r="4">
      <c r="A4" t="inlineStr">
        <is>
          <t>Step 1 lockout-policy</t>
        </is>
      </c>
      <c r="B4" t="inlineStr">
        <is>
          <t>Step 1</t>
        </is>
      </c>
      <c r="C4" t="n">
        <v>113</v>
      </c>
      <c r="D4" s="5" t="inlineStr">
        <is>
          <t>Step 1 · Login and security</t>
        </is>
      </c>
      <c r="E4">
        <f>COUNTIFS(Backlog!$J$2:$J$1564,$A4,Backlog!$C$2:$C$1564,"Story")</f>
        <v/>
      </c>
      <c r="F4">
        <f>SUMIFS(Backlog!$K$2:$K$1564,Backlog!$J$2:$J$1564,$A4,Backlog!$C$2:$C$1564,"Story")</f>
        <v/>
      </c>
      <c r="G4">
        <f>COUNTIFS(Backlog!$J$2:$J$1564,$A4,Backlog!$C$2:$C$1564,"Story",Backlog!$I$2:$I$1564,"Done")</f>
        <v/>
      </c>
      <c r="H4">
        <f>COUNTIFS(Backlog!$J$2:$J$1564,$A4,Backlog!$C$2:$C$1564,"Story",Backlog!$I$2:$I$1564,"Active")</f>
        <v/>
      </c>
      <c r="I4">
        <f>COUNTIFS(Backlog!$J$2:$J$1564,$A4,Backlog!$C$2:$C$1564,"Story",Backlog!$I$2:$I$1564,"New")</f>
        <v/>
      </c>
      <c r="J4" s="6">
        <f>IF(F4=0,"",SUMIFS(Backlog!$K$2:$K$1564,Backlog!$J$2:$J$1564,$A4,Backlog!$C$2:$C$1564,"Story",Backlog!$I$2:$I$1564,"Done")/F4)</f>
        <v/>
      </c>
    </row>
    <row r="5">
      <c r="A5" t="inlineStr">
        <is>
          <t>Step 1 fix-review</t>
        </is>
      </c>
      <c r="B5" t="inlineStr">
        <is>
          <t>Step 1</t>
        </is>
      </c>
      <c r="C5" t="n">
        <v>114</v>
      </c>
      <c r="D5" s="5" t="inlineStr">
        <is>
          <t>Step 1 · Login and security</t>
        </is>
      </c>
      <c r="E5">
        <f>COUNTIFS(Backlog!$J$2:$J$1564,$A5,Backlog!$C$2:$C$1564,"Story")</f>
        <v/>
      </c>
      <c r="F5">
        <f>SUMIFS(Backlog!$K$2:$K$1564,Backlog!$J$2:$J$1564,$A5,Backlog!$C$2:$C$1564,"Story")</f>
        <v/>
      </c>
      <c r="G5">
        <f>COUNTIFS(Backlog!$J$2:$J$1564,$A5,Backlog!$C$2:$C$1564,"Story",Backlog!$I$2:$I$1564,"Done")</f>
        <v/>
      </c>
      <c r="H5">
        <f>COUNTIFS(Backlog!$J$2:$J$1564,$A5,Backlog!$C$2:$C$1564,"Story",Backlog!$I$2:$I$1564,"Active")</f>
        <v/>
      </c>
      <c r="I5">
        <f>COUNTIFS(Backlog!$J$2:$J$1564,$A5,Backlog!$C$2:$C$1564,"Story",Backlog!$I$2:$I$1564,"New")</f>
        <v/>
      </c>
      <c r="J5" s="6">
        <f>IF(F5=0,"",SUMIFS(Backlog!$K$2:$K$1564,Backlog!$J$2:$J$1564,$A5,Backlog!$C$2:$C$1564,"Story",Backlog!$I$2:$I$1564,"Done")/F5)</f>
        <v/>
      </c>
    </row>
    <row r="6">
      <c r="A6" t="inlineStr">
        <is>
          <t>Step 1b</t>
        </is>
      </c>
      <c r="B6" t="inlineStr">
        <is>
          <t>Step 1</t>
        </is>
      </c>
      <c r="C6" t="n">
        <v>121</v>
      </c>
      <c r="D6" s="5" t="inlineStr">
        <is>
          <t>Step 1 · Login and security</t>
        </is>
      </c>
      <c r="E6">
        <f>COUNTIFS(Backlog!$J$2:$J$1564,$A6,Backlog!$C$2:$C$1564,"Story")</f>
        <v/>
      </c>
      <c r="F6">
        <f>SUMIFS(Backlog!$K$2:$K$1564,Backlog!$J$2:$J$1564,$A6,Backlog!$C$2:$C$1564,"Story")</f>
        <v/>
      </c>
      <c r="G6">
        <f>COUNTIFS(Backlog!$J$2:$J$1564,$A6,Backlog!$C$2:$C$1564,"Story",Backlog!$I$2:$I$1564,"Done")</f>
        <v/>
      </c>
      <c r="H6">
        <f>COUNTIFS(Backlog!$J$2:$J$1564,$A6,Backlog!$C$2:$C$1564,"Story",Backlog!$I$2:$I$1564,"Active")</f>
        <v/>
      </c>
      <c r="I6">
        <f>COUNTIFS(Backlog!$J$2:$J$1564,$A6,Backlog!$C$2:$C$1564,"Story",Backlog!$I$2:$I$1564,"New")</f>
        <v/>
      </c>
      <c r="J6" s="6">
        <f>IF(F6=0,"",SUMIFS(Backlog!$K$2:$K$1564,Backlog!$J$2:$J$1564,$A6,Backlog!$C$2:$C$1564,"Story",Backlog!$I$2:$I$1564,"Done")/F6)</f>
        <v/>
      </c>
    </row>
    <row r="7">
      <c r="A7" t="inlineStr">
        <is>
          <t>Step 1c</t>
        </is>
      </c>
      <c r="B7" t="inlineStr">
        <is>
          <t>Step 1</t>
        </is>
      </c>
      <c r="C7" t="n">
        <v>131</v>
      </c>
      <c r="D7" s="5" t="inlineStr">
        <is>
          <t>Step 1 · Login and security</t>
        </is>
      </c>
      <c r="E7">
        <f>COUNTIFS(Backlog!$J$2:$J$1564,$A7,Backlog!$C$2:$C$1564,"Story")</f>
        <v/>
      </c>
      <c r="F7">
        <f>SUMIFS(Backlog!$K$2:$K$1564,Backlog!$J$2:$J$1564,$A7,Backlog!$C$2:$C$1564,"Story")</f>
        <v/>
      </c>
      <c r="G7">
        <f>COUNTIFS(Backlog!$J$2:$J$1564,$A7,Backlog!$C$2:$C$1564,"Story",Backlog!$I$2:$I$1564,"Done")</f>
        <v/>
      </c>
      <c r="H7">
        <f>COUNTIFS(Backlog!$J$2:$J$1564,$A7,Backlog!$C$2:$C$1564,"Story",Backlog!$I$2:$I$1564,"Active")</f>
        <v/>
      </c>
      <c r="I7">
        <f>COUNTIFS(Backlog!$J$2:$J$1564,$A7,Backlog!$C$2:$C$1564,"Story",Backlog!$I$2:$I$1564,"New")</f>
        <v/>
      </c>
      <c r="J7" s="6">
        <f>IF(F7=0,"",SUMIFS(Backlog!$K$2:$K$1564,Backlog!$J$2:$J$1564,$A7,Backlog!$C$2:$C$1564,"Story",Backlog!$I$2:$I$1564,"Done")/F7)</f>
        <v/>
      </c>
    </row>
    <row r="8">
      <c r="A8" t="inlineStr">
        <is>
          <t>Step 1d</t>
        </is>
      </c>
      <c r="B8" t="inlineStr">
        <is>
          <t>Step 1</t>
        </is>
      </c>
      <c r="C8" t="n">
        <v>141</v>
      </c>
      <c r="D8" s="5" t="inlineStr">
        <is>
          <t>Step 1 · Login and security</t>
        </is>
      </c>
      <c r="E8">
        <f>COUNTIFS(Backlog!$J$2:$J$1564,$A8,Backlog!$C$2:$C$1564,"Story")</f>
        <v/>
      </c>
      <c r="F8">
        <f>SUMIFS(Backlog!$K$2:$K$1564,Backlog!$J$2:$J$1564,$A8,Backlog!$C$2:$C$1564,"Story")</f>
        <v/>
      </c>
      <c r="G8">
        <f>COUNTIFS(Backlog!$J$2:$J$1564,$A8,Backlog!$C$2:$C$1564,"Story",Backlog!$I$2:$I$1564,"Done")</f>
        <v/>
      </c>
      <c r="H8">
        <f>COUNTIFS(Backlog!$J$2:$J$1564,$A8,Backlog!$C$2:$C$1564,"Story",Backlog!$I$2:$I$1564,"Active")</f>
        <v/>
      </c>
      <c r="I8">
        <f>COUNTIFS(Backlog!$J$2:$J$1564,$A8,Backlog!$C$2:$C$1564,"Story",Backlog!$I$2:$I$1564,"New")</f>
        <v/>
      </c>
      <c r="J8" s="6">
        <f>IF(F8=0,"",SUMIFS(Backlog!$K$2:$K$1564,Backlog!$J$2:$J$1564,$A8,Backlog!$C$2:$C$1564,"Story",Backlog!$I$2:$I$1564,"Done")/F8)</f>
        <v/>
      </c>
    </row>
    <row r="9">
      <c r="A9" t="inlineStr">
        <is>
          <t>Step 1 sms-channel</t>
        </is>
      </c>
      <c r="B9" t="inlineStr">
        <is>
          <t>Step 1</t>
        </is>
      </c>
      <c r="C9" t="n">
        <v>142</v>
      </c>
      <c r="D9" s="5" t="inlineStr">
        <is>
          <t>Step 1 · Login and security</t>
        </is>
      </c>
      <c r="E9">
        <f>COUNTIFS(Backlog!$J$2:$J$1564,$A9,Backlog!$C$2:$C$1564,"Story")</f>
        <v/>
      </c>
      <c r="F9">
        <f>SUMIFS(Backlog!$K$2:$K$1564,Backlog!$J$2:$J$1564,$A9,Backlog!$C$2:$C$1564,"Story")</f>
        <v/>
      </c>
      <c r="G9">
        <f>COUNTIFS(Backlog!$J$2:$J$1564,$A9,Backlog!$C$2:$C$1564,"Story",Backlog!$I$2:$I$1564,"Done")</f>
        <v/>
      </c>
      <c r="H9">
        <f>COUNTIFS(Backlog!$J$2:$J$1564,$A9,Backlog!$C$2:$C$1564,"Story",Backlog!$I$2:$I$1564,"Active")</f>
        <v/>
      </c>
      <c r="I9">
        <f>COUNTIFS(Backlog!$J$2:$J$1564,$A9,Backlog!$C$2:$C$1564,"Story",Backlog!$I$2:$I$1564,"New")</f>
        <v/>
      </c>
      <c r="J9" s="6">
        <f>IF(F9=0,"",SUMIFS(Backlog!$K$2:$K$1564,Backlog!$J$2:$J$1564,$A9,Backlog!$C$2:$C$1564,"Story",Backlog!$I$2:$I$1564,"Done")/F9)</f>
        <v/>
      </c>
    </row>
    <row r="10">
      <c r="A10" t="inlineStr">
        <is>
          <t>Step 1e</t>
        </is>
      </c>
      <c r="B10" t="inlineStr">
        <is>
          <t>Step 1</t>
        </is>
      </c>
      <c r="C10" t="n">
        <v>151</v>
      </c>
      <c r="D10" s="5" t="inlineStr">
        <is>
          <t>Step 1 · Login and security</t>
        </is>
      </c>
      <c r="E10">
        <f>COUNTIFS(Backlog!$J$2:$J$1564,$A10,Backlog!$C$2:$C$1564,"Story")</f>
        <v/>
      </c>
      <c r="F10">
        <f>SUMIFS(Backlog!$K$2:$K$1564,Backlog!$J$2:$J$1564,$A10,Backlog!$C$2:$C$1564,"Story")</f>
        <v/>
      </c>
      <c r="G10">
        <f>COUNTIFS(Backlog!$J$2:$J$1564,$A10,Backlog!$C$2:$C$1564,"Story",Backlog!$I$2:$I$1564,"Done")</f>
        <v/>
      </c>
      <c r="H10">
        <f>COUNTIFS(Backlog!$J$2:$J$1564,$A10,Backlog!$C$2:$C$1564,"Story",Backlog!$I$2:$I$1564,"Active")</f>
        <v/>
      </c>
      <c r="I10">
        <f>COUNTIFS(Backlog!$J$2:$J$1564,$A10,Backlog!$C$2:$C$1564,"Story",Backlog!$I$2:$I$1564,"New")</f>
        <v/>
      </c>
      <c r="J10" s="6">
        <f>IF(F10=0,"",SUMIFS(Backlog!$K$2:$K$1564,Backlog!$J$2:$J$1564,$A10,Backlog!$C$2:$C$1564,"Story",Backlog!$I$2:$I$1564,"Done")/F10)</f>
        <v/>
      </c>
    </row>
    <row r="11">
      <c r="A11" t="inlineStr">
        <is>
          <t>Step 1 login-no-code</t>
        </is>
      </c>
      <c r="B11" t="inlineStr">
        <is>
          <t>Step 1</t>
        </is>
      </c>
      <c r="C11" t="n">
        <v>161</v>
      </c>
      <c r="D11" s="5" t="inlineStr">
        <is>
          <t>Step 1 · Login and security</t>
        </is>
      </c>
      <c r="E11">
        <f>COUNTIFS(Backlog!$J$2:$J$1564,$A11,Backlog!$C$2:$C$1564,"Story")</f>
        <v/>
      </c>
      <c r="F11">
        <f>SUMIFS(Backlog!$K$2:$K$1564,Backlog!$J$2:$J$1564,$A11,Backlog!$C$2:$C$1564,"Story")</f>
        <v/>
      </c>
      <c r="G11">
        <f>COUNTIFS(Backlog!$J$2:$J$1564,$A11,Backlog!$C$2:$C$1564,"Story",Backlog!$I$2:$I$1564,"Done")</f>
        <v/>
      </c>
      <c r="H11">
        <f>COUNTIFS(Backlog!$J$2:$J$1564,$A11,Backlog!$C$2:$C$1564,"Story",Backlog!$I$2:$I$1564,"Active")</f>
        <v/>
      </c>
      <c r="I11">
        <f>COUNTIFS(Backlog!$J$2:$J$1564,$A11,Backlog!$C$2:$C$1564,"Story",Backlog!$I$2:$I$1564,"New")</f>
        <v/>
      </c>
      <c r="J11" s="6">
        <f>IF(F11=0,"",SUMIFS(Backlog!$K$2:$K$1564,Backlog!$J$2:$J$1564,$A11,Backlog!$C$2:$C$1564,"Story",Backlog!$I$2:$I$1564,"Done")/F11)</f>
        <v/>
      </c>
    </row>
    <row r="12">
      <c r="A12" t="inlineStr">
        <is>
          <t>Step 1 follow-up</t>
        </is>
      </c>
      <c r="B12" t="inlineStr">
        <is>
          <t>Step 1</t>
        </is>
      </c>
      <c r="C12" t="n">
        <v>170</v>
      </c>
      <c r="D12" s="5" t="inlineStr">
        <is>
          <t>Step 1 · Login and security</t>
        </is>
      </c>
      <c r="E12">
        <f>COUNTIFS(Backlog!$J$2:$J$1564,$A12,Backlog!$C$2:$C$1564,"Story")</f>
        <v/>
      </c>
      <c r="F12">
        <f>SUMIFS(Backlog!$K$2:$K$1564,Backlog!$J$2:$J$1564,$A12,Backlog!$C$2:$C$1564,"Story")</f>
        <v/>
      </c>
      <c r="G12">
        <f>COUNTIFS(Backlog!$J$2:$J$1564,$A12,Backlog!$C$2:$C$1564,"Story",Backlog!$I$2:$I$1564,"Done")</f>
        <v/>
      </c>
      <c r="H12">
        <f>COUNTIFS(Backlog!$J$2:$J$1564,$A12,Backlog!$C$2:$C$1564,"Story",Backlog!$I$2:$I$1564,"Active")</f>
        <v/>
      </c>
      <c r="I12">
        <f>COUNTIFS(Backlog!$J$2:$J$1564,$A12,Backlog!$C$2:$C$1564,"Story",Backlog!$I$2:$I$1564,"New")</f>
        <v/>
      </c>
      <c r="J12" s="6">
        <f>IF(F12=0,"",SUMIFS(Backlog!$K$2:$K$1564,Backlog!$J$2:$J$1564,$A12,Backlog!$C$2:$C$1564,"Story",Backlog!$I$2:$I$1564,"Done")/F12)</f>
        <v/>
      </c>
    </row>
    <row r="13">
      <c r="A13" t="inlineStr">
        <is>
          <t>Step 1g</t>
        </is>
      </c>
      <c r="B13" t="inlineStr">
        <is>
          <t>Step 1</t>
        </is>
      </c>
      <c r="C13" t="n">
        <v>181</v>
      </c>
      <c r="D13" s="5" t="inlineStr">
        <is>
          <t>Step 1 · Login and security</t>
        </is>
      </c>
      <c r="E13">
        <f>COUNTIFS(Backlog!$J$2:$J$1564,$A13,Backlog!$C$2:$C$1564,"Story")</f>
        <v/>
      </c>
      <c r="F13">
        <f>SUMIFS(Backlog!$K$2:$K$1564,Backlog!$J$2:$J$1564,$A13,Backlog!$C$2:$C$1564,"Story")</f>
        <v/>
      </c>
      <c r="G13">
        <f>COUNTIFS(Backlog!$J$2:$J$1564,$A13,Backlog!$C$2:$C$1564,"Story",Backlog!$I$2:$I$1564,"Done")</f>
        <v/>
      </c>
      <c r="H13">
        <f>COUNTIFS(Backlog!$J$2:$J$1564,$A13,Backlog!$C$2:$C$1564,"Story",Backlog!$I$2:$I$1564,"Active")</f>
        <v/>
      </c>
      <c r="I13">
        <f>COUNTIFS(Backlog!$J$2:$J$1564,$A13,Backlog!$C$2:$C$1564,"Story",Backlog!$I$2:$I$1564,"New")</f>
        <v/>
      </c>
      <c r="J13" s="6">
        <f>IF(F13=0,"",SUMIFS(Backlog!$K$2:$K$1564,Backlog!$J$2:$J$1564,$A13,Backlog!$C$2:$C$1564,"Story",Backlog!$I$2:$I$1564,"Done")/F13)</f>
        <v/>
      </c>
    </row>
    <row r="14">
      <c r="A14" t="inlineStr">
        <is>
          <t>UI prototype</t>
        </is>
      </c>
      <c r="B14" t="inlineStr">
        <is>
          <t>UI prototype</t>
        </is>
      </c>
      <c r="C14" t="n">
        <v>211</v>
      </c>
      <c r="D14" s="5" t="inlineStr">
        <is>
          <t>Design docs and UI prototype</t>
        </is>
      </c>
      <c r="E14">
        <f>COUNTIFS(Backlog!$J$2:$J$1564,$A14,Backlog!$C$2:$C$1564,"Story")</f>
        <v/>
      </c>
      <c r="F14">
        <f>SUMIFS(Backlog!$K$2:$K$1564,Backlog!$J$2:$J$1564,$A14,Backlog!$C$2:$C$1564,"Story")</f>
        <v/>
      </c>
      <c r="G14">
        <f>COUNTIFS(Backlog!$J$2:$J$1564,$A14,Backlog!$C$2:$C$1564,"Story",Backlog!$I$2:$I$1564,"Done")</f>
        <v/>
      </c>
      <c r="H14">
        <f>COUNTIFS(Backlog!$J$2:$J$1564,$A14,Backlog!$C$2:$C$1564,"Story",Backlog!$I$2:$I$1564,"Active")</f>
        <v/>
      </c>
      <c r="I14">
        <f>COUNTIFS(Backlog!$J$2:$J$1564,$A14,Backlog!$C$2:$C$1564,"Story",Backlog!$I$2:$I$1564,"New")</f>
        <v/>
      </c>
      <c r="J14" s="6">
        <f>IF(F14=0,"",SUMIFS(Backlog!$K$2:$K$1564,Backlog!$J$2:$J$1564,$A14,Backlog!$C$2:$C$1564,"Story",Backlog!$I$2:$I$1564,"Done")/F14)</f>
        <v/>
      </c>
    </row>
    <row r="15">
      <c r="A15" t="inlineStr">
        <is>
          <t>Exam app (existing)</t>
        </is>
      </c>
      <c r="B15" t="inlineStr">
        <is>
          <t>Step 2</t>
        </is>
      </c>
      <c r="C15" t="n">
        <v>300</v>
      </c>
      <c r="D15" s="5" t="inlineStr">
        <is>
          <t>ATS: internal hiring, staffing desk and vendor portal; Assessments &amp; proctoring; Platform services</t>
        </is>
      </c>
      <c r="E15">
        <f>COUNTIFS(Backlog!$J$2:$J$1564,$A15,Backlog!$C$2:$C$1564,"Story")</f>
        <v/>
      </c>
      <c r="F15">
        <f>SUMIFS(Backlog!$K$2:$K$1564,Backlog!$J$2:$J$1564,$A15,Backlog!$C$2:$C$1564,"Story")</f>
        <v/>
      </c>
      <c r="G15">
        <f>COUNTIFS(Backlog!$J$2:$J$1564,$A15,Backlog!$C$2:$C$1564,"Story",Backlog!$I$2:$I$1564,"Done")</f>
        <v/>
      </c>
      <c r="H15">
        <f>COUNTIFS(Backlog!$J$2:$J$1564,$A15,Backlog!$C$2:$C$1564,"Story",Backlog!$I$2:$I$1564,"Active")</f>
        <v/>
      </c>
      <c r="I15">
        <f>COUNTIFS(Backlog!$J$2:$J$1564,$A15,Backlog!$C$2:$C$1564,"Story",Backlog!$I$2:$I$1564,"New")</f>
        <v/>
      </c>
      <c r="J15" s="6">
        <f>IF(F15=0,"",SUMIFS(Backlog!$K$2:$K$1564,Backlog!$J$2:$J$1564,$A15,Backlog!$C$2:$C$1564,"Story",Backlog!$I$2:$I$1564,"Done")/F15)</f>
        <v/>
      </c>
    </row>
    <row r="16">
      <c r="A16" t="inlineStr">
        <is>
          <t>Step 2 · infra decisions</t>
        </is>
      </c>
      <c r="B16" t="inlineStr">
        <is>
          <t>Step 2</t>
        </is>
      </c>
      <c r="C16" t="n">
        <v>300</v>
      </c>
      <c r="D16" s="5" t="inlineStr">
        <is>
          <t>Platform services</t>
        </is>
      </c>
      <c r="E16">
        <f>COUNTIFS(Backlog!$J$2:$J$1564,$A16,Backlog!$C$2:$C$1564,"Story")</f>
        <v/>
      </c>
      <c r="F16">
        <f>SUMIFS(Backlog!$K$2:$K$1564,Backlog!$J$2:$J$1564,$A16,Backlog!$C$2:$C$1564,"Story")</f>
        <v/>
      </c>
      <c r="G16">
        <f>COUNTIFS(Backlog!$J$2:$J$1564,$A16,Backlog!$C$2:$C$1564,"Story",Backlog!$I$2:$I$1564,"Done")</f>
        <v/>
      </c>
      <c r="H16">
        <f>COUNTIFS(Backlog!$J$2:$J$1564,$A16,Backlog!$C$2:$C$1564,"Story",Backlog!$I$2:$I$1564,"Active")</f>
        <v/>
      </c>
      <c r="I16">
        <f>COUNTIFS(Backlog!$J$2:$J$1564,$A16,Backlog!$C$2:$C$1564,"Story",Backlog!$I$2:$I$1564,"New")</f>
        <v/>
      </c>
      <c r="J16" s="6">
        <f>IF(F16=0,"",SUMIFS(Backlog!$K$2:$K$1564,Backlog!$J$2:$J$1564,$A16,Backlog!$C$2:$C$1564,"Story",Backlog!$I$2:$I$1564,"Done")/F16)</f>
        <v/>
      </c>
    </row>
    <row r="17">
      <c r="A17" t="inlineStr">
        <is>
          <t>Step 2</t>
        </is>
      </c>
      <c r="B17" t="inlineStr">
        <is>
          <t>Step 2</t>
        </is>
      </c>
      <c r="C17" t="n">
        <v>300</v>
      </c>
      <c r="D17" s="5" t="inlineStr">
        <is>
          <t>Platform services</t>
        </is>
      </c>
      <c r="E17">
        <f>COUNTIFS(Backlog!$J$2:$J$1564,$A17,Backlog!$C$2:$C$1564,"Story")</f>
        <v/>
      </c>
      <c r="F17">
        <f>SUMIFS(Backlog!$K$2:$K$1564,Backlog!$J$2:$J$1564,$A17,Backlog!$C$2:$C$1564,"Story")</f>
        <v/>
      </c>
      <c r="G17">
        <f>COUNTIFS(Backlog!$J$2:$J$1564,$A17,Backlog!$C$2:$C$1564,"Story",Backlog!$I$2:$I$1564,"Done")</f>
        <v/>
      </c>
      <c r="H17">
        <f>COUNTIFS(Backlog!$J$2:$J$1564,$A17,Backlog!$C$2:$C$1564,"Story",Backlog!$I$2:$I$1564,"Active")</f>
        <v/>
      </c>
      <c r="I17">
        <f>COUNTIFS(Backlog!$J$2:$J$1564,$A17,Backlog!$C$2:$C$1564,"Story",Backlog!$I$2:$I$1564,"New")</f>
        <v/>
      </c>
      <c r="J17" s="6">
        <f>IF(F17=0,"",SUMIFS(Backlog!$K$2:$K$1564,Backlog!$J$2:$J$1564,$A17,Backlog!$C$2:$C$1564,"Story",Backlog!$I$2:$I$1564,"Done")/F17)</f>
        <v/>
      </c>
    </row>
    <row r="18">
      <c r="A18" t="inlineStr">
        <is>
          <t>Step 2a</t>
        </is>
      </c>
      <c r="B18" t="inlineStr">
        <is>
          <t>Step 2</t>
        </is>
      </c>
      <c r="C18" t="n">
        <v>311</v>
      </c>
      <c r="D18" s="5" t="inlineStr">
        <is>
          <t>Step 2 · Organisation and employee core</t>
        </is>
      </c>
      <c r="E18">
        <f>COUNTIFS(Backlog!$J$2:$J$1564,$A18,Backlog!$C$2:$C$1564,"Story")</f>
        <v/>
      </c>
      <c r="F18">
        <f>SUMIFS(Backlog!$K$2:$K$1564,Backlog!$J$2:$J$1564,$A18,Backlog!$C$2:$C$1564,"Story")</f>
        <v/>
      </c>
      <c r="G18">
        <f>COUNTIFS(Backlog!$J$2:$J$1564,$A18,Backlog!$C$2:$C$1564,"Story",Backlog!$I$2:$I$1564,"Done")</f>
        <v/>
      </c>
      <c r="H18">
        <f>COUNTIFS(Backlog!$J$2:$J$1564,$A18,Backlog!$C$2:$C$1564,"Story",Backlog!$I$2:$I$1564,"Active")</f>
        <v/>
      </c>
      <c r="I18">
        <f>COUNTIFS(Backlog!$J$2:$J$1564,$A18,Backlog!$C$2:$C$1564,"Story",Backlog!$I$2:$I$1564,"New")</f>
        <v/>
      </c>
      <c r="J18" s="6">
        <f>IF(F18=0,"",SUMIFS(Backlog!$K$2:$K$1564,Backlog!$J$2:$J$1564,$A18,Backlog!$C$2:$C$1564,"Story",Backlog!$I$2:$I$1564,"Done")/F18)</f>
        <v/>
      </c>
    </row>
    <row r="19">
      <c r="A19" t="inlineStr">
        <is>
          <t>Step 2a follow-up</t>
        </is>
      </c>
      <c r="B19" t="inlineStr">
        <is>
          <t>Step 2</t>
        </is>
      </c>
      <c r="C19" t="n">
        <v>320</v>
      </c>
      <c r="D19" s="5" t="inlineStr">
        <is>
          <t>Step 2 · Organisation and employee core</t>
        </is>
      </c>
      <c r="E19">
        <f>COUNTIFS(Backlog!$J$2:$J$1564,$A19,Backlog!$C$2:$C$1564,"Story")</f>
        <v/>
      </c>
      <c r="F19">
        <f>SUMIFS(Backlog!$K$2:$K$1564,Backlog!$J$2:$J$1564,$A19,Backlog!$C$2:$C$1564,"Story")</f>
        <v/>
      </c>
      <c r="G19">
        <f>COUNTIFS(Backlog!$J$2:$J$1564,$A19,Backlog!$C$2:$C$1564,"Story",Backlog!$I$2:$I$1564,"Done")</f>
        <v/>
      </c>
      <c r="H19">
        <f>COUNTIFS(Backlog!$J$2:$J$1564,$A19,Backlog!$C$2:$C$1564,"Story",Backlog!$I$2:$I$1564,"Active")</f>
        <v/>
      </c>
      <c r="I19">
        <f>COUNTIFS(Backlog!$J$2:$J$1564,$A19,Backlog!$C$2:$C$1564,"Story",Backlog!$I$2:$I$1564,"New")</f>
        <v/>
      </c>
      <c r="J19" s="6">
        <f>IF(F19=0,"",SUMIFS(Backlog!$K$2:$K$1564,Backlog!$J$2:$J$1564,$A19,Backlog!$C$2:$C$1564,"Story",Backlog!$I$2:$I$1564,"Done")/F19)</f>
        <v/>
      </c>
    </row>
    <row r="20">
      <c r="A20" t="inlineStr">
        <is>
          <t>Step 2b</t>
        </is>
      </c>
      <c r="B20" t="inlineStr">
        <is>
          <t>Step 2</t>
        </is>
      </c>
      <c r="C20" t="n">
        <v>331</v>
      </c>
      <c r="D20" s="5" t="inlineStr">
        <is>
          <t>Step 2 · Organisation and employee core</t>
        </is>
      </c>
      <c r="E20">
        <f>COUNTIFS(Backlog!$J$2:$J$1564,$A20,Backlog!$C$2:$C$1564,"Story")</f>
        <v/>
      </c>
      <c r="F20">
        <f>SUMIFS(Backlog!$K$2:$K$1564,Backlog!$J$2:$J$1564,$A20,Backlog!$C$2:$C$1564,"Story")</f>
        <v/>
      </c>
      <c r="G20">
        <f>COUNTIFS(Backlog!$J$2:$J$1564,$A20,Backlog!$C$2:$C$1564,"Story",Backlog!$I$2:$I$1564,"Done")</f>
        <v/>
      </c>
      <c r="H20">
        <f>COUNTIFS(Backlog!$J$2:$J$1564,$A20,Backlog!$C$2:$C$1564,"Story",Backlog!$I$2:$I$1564,"Active")</f>
        <v/>
      </c>
      <c r="I20">
        <f>COUNTIFS(Backlog!$J$2:$J$1564,$A20,Backlog!$C$2:$C$1564,"Story",Backlog!$I$2:$I$1564,"New")</f>
        <v/>
      </c>
      <c r="J20" s="6">
        <f>IF(F20=0,"",SUMIFS(Backlog!$K$2:$K$1564,Backlog!$J$2:$J$1564,$A20,Backlog!$C$2:$C$1564,"Story",Backlog!$I$2:$I$1564,"Done")/F20)</f>
        <v/>
      </c>
    </row>
    <row r="21">
      <c r="A21" t="inlineStr">
        <is>
          <t>Step 2c</t>
        </is>
      </c>
      <c r="B21" t="inlineStr">
        <is>
          <t>Step 2</t>
        </is>
      </c>
      <c r="C21" t="n">
        <v>341</v>
      </c>
      <c r="D21" s="5" t="inlineStr">
        <is>
          <t>Step 2 · Organisation and employee core</t>
        </is>
      </c>
      <c r="E21">
        <f>COUNTIFS(Backlog!$J$2:$J$1564,$A21,Backlog!$C$2:$C$1564,"Story")</f>
        <v/>
      </c>
      <c r="F21">
        <f>SUMIFS(Backlog!$K$2:$K$1564,Backlog!$J$2:$J$1564,$A21,Backlog!$C$2:$C$1564,"Story")</f>
        <v/>
      </c>
      <c r="G21">
        <f>COUNTIFS(Backlog!$J$2:$J$1564,$A21,Backlog!$C$2:$C$1564,"Story",Backlog!$I$2:$I$1564,"Done")</f>
        <v/>
      </c>
      <c r="H21">
        <f>COUNTIFS(Backlog!$J$2:$J$1564,$A21,Backlog!$C$2:$C$1564,"Story",Backlog!$I$2:$I$1564,"Active")</f>
        <v/>
      </c>
      <c r="I21">
        <f>COUNTIFS(Backlog!$J$2:$J$1564,$A21,Backlog!$C$2:$C$1564,"Story",Backlog!$I$2:$I$1564,"New")</f>
        <v/>
      </c>
      <c r="J21" s="6">
        <f>IF(F21=0,"",SUMIFS(Backlog!$K$2:$K$1564,Backlog!$J$2:$J$1564,$A21,Backlog!$C$2:$C$1564,"Story",Backlog!$I$2:$I$1564,"Done")/F21)</f>
        <v/>
      </c>
    </row>
    <row r="22">
      <c r="A22" t="inlineStr">
        <is>
          <t>Step 2d</t>
        </is>
      </c>
      <c r="B22" t="inlineStr">
        <is>
          <t>Step 2</t>
        </is>
      </c>
      <c r="C22" t="n">
        <v>361</v>
      </c>
      <c r="D22" s="5" t="inlineStr">
        <is>
          <t>Step 2 · Organisation and employee core</t>
        </is>
      </c>
      <c r="E22">
        <f>COUNTIFS(Backlog!$J$2:$J$1564,$A22,Backlog!$C$2:$C$1564,"Story")</f>
        <v/>
      </c>
      <c r="F22">
        <f>SUMIFS(Backlog!$K$2:$K$1564,Backlog!$J$2:$J$1564,$A22,Backlog!$C$2:$C$1564,"Story")</f>
        <v/>
      </c>
      <c r="G22">
        <f>COUNTIFS(Backlog!$J$2:$J$1564,$A22,Backlog!$C$2:$C$1564,"Story",Backlog!$I$2:$I$1564,"Done")</f>
        <v/>
      </c>
      <c r="H22">
        <f>COUNTIFS(Backlog!$J$2:$J$1564,$A22,Backlog!$C$2:$C$1564,"Story",Backlog!$I$2:$I$1564,"Active")</f>
        <v/>
      </c>
      <c r="I22">
        <f>COUNTIFS(Backlog!$J$2:$J$1564,$A22,Backlog!$C$2:$C$1564,"Story",Backlog!$I$2:$I$1564,"New")</f>
        <v/>
      </c>
      <c r="J22" s="6">
        <f>IF(F22=0,"",SUMIFS(Backlog!$K$2:$K$1564,Backlog!$J$2:$J$1564,$A22,Backlog!$C$2:$C$1564,"Story",Backlog!$I$2:$I$1564,"Done")/F22)</f>
        <v/>
      </c>
    </row>
    <row r="23">
      <c r="A23" t="inlineStr">
        <is>
          <t>Step 2e</t>
        </is>
      </c>
      <c r="B23" t="inlineStr">
        <is>
          <t>Step 2</t>
        </is>
      </c>
      <c r="C23" t="n">
        <v>381</v>
      </c>
      <c r="D23" s="5" t="inlineStr">
        <is>
          <t>Step 2 · Organisation and employee core</t>
        </is>
      </c>
      <c r="E23">
        <f>COUNTIFS(Backlog!$J$2:$J$1564,$A23,Backlog!$C$2:$C$1564,"Story")</f>
        <v/>
      </c>
      <c r="F23">
        <f>SUMIFS(Backlog!$K$2:$K$1564,Backlog!$J$2:$J$1564,$A23,Backlog!$C$2:$C$1564,"Story")</f>
        <v/>
      </c>
      <c r="G23">
        <f>COUNTIFS(Backlog!$J$2:$J$1564,$A23,Backlog!$C$2:$C$1564,"Story",Backlog!$I$2:$I$1564,"Done")</f>
        <v/>
      </c>
      <c r="H23">
        <f>COUNTIFS(Backlog!$J$2:$J$1564,$A23,Backlog!$C$2:$C$1564,"Story",Backlog!$I$2:$I$1564,"Active")</f>
        <v/>
      </c>
      <c r="I23">
        <f>COUNTIFS(Backlog!$J$2:$J$1564,$A23,Backlog!$C$2:$C$1564,"Story",Backlog!$I$2:$I$1564,"New")</f>
        <v/>
      </c>
      <c r="J23" s="6">
        <f>IF(F23=0,"",SUMIFS(Backlog!$K$2:$K$1564,Backlog!$J$2:$J$1564,$A23,Backlog!$C$2:$C$1564,"Story",Backlog!$I$2:$I$1564,"Done")/F23)</f>
        <v/>
      </c>
    </row>
    <row r="24">
      <c r="A24" t="inlineStr">
        <is>
          <t>Step 2 review</t>
        </is>
      </c>
      <c r="B24" t="inlineStr">
        <is>
          <t>Step 2</t>
        </is>
      </c>
      <c r="C24" t="n">
        <v>391</v>
      </c>
      <c r="D24" s="5" t="inlineStr">
        <is>
          <t>Step 2 · Organisation and employee core</t>
        </is>
      </c>
      <c r="E24">
        <f>COUNTIFS(Backlog!$J$2:$J$1564,$A24,Backlog!$C$2:$C$1564,"Story")</f>
        <v/>
      </c>
      <c r="F24">
        <f>SUMIFS(Backlog!$K$2:$K$1564,Backlog!$J$2:$J$1564,$A24,Backlog!$C$2:$C$1564,"Story")</f>
        <v/>
      </c>
      <c r="G24">
        <f>COUNTIFS(Backlog!$J$2:$J$1564,$A24,Backlog!$C$2:$C$1564,"Story",Backlog!$I$2:$I$1564,"Done")</f>
        <v/>
      </c>
      <c r="H24">
        <f>COUNTIFS(Backlog!$J$2:$J$1564,$A24,Backlog!$C$2:$C$1564,"Story",Backlog!$I$2:$I$1564,"Active")</f>
        <v/>
      </c>
      <c r="I24">
        <f>COUNTIFS(Backlog!$J$2:$J$1564,$A24,Backlog!$C$2:$C$1564,"Story",Backlog!$I$2:$I$1564,"New")</f>
        <v/>
      </c>
      <c r="J24" s="6">
        <f>IF(F24=0,"",SUMIFS(Backlog!$K$2:$K$1564,Backlog!$J$2:$J$1564,$A24,Backlog!$C$2:$C$1564,"Story",Backlog!$I$2:$I$1564,"Done")/F24)</f>
        <v/>
      </c>
    </row>
    <row r="25">
      <c r="A25" t="inlineStr">
        <is>
          <t>Step 3-a</t>
        </is>
      </c>
      <c r="B25" t="inlineStr">
        <is>
          <t>Step 3</t>
        </is>
      </c>
      <c r="C25" t="n">
        <v>401</v>
      </c>
      <c r="D25" s="5" t="inlineStr">
        <is>
          <t>Step 3 · Platform console</t>
        </is>
      </c>
      <c r="E25">
        <f>COUNTIFS(Backlog!$J$2:$J$1564,$A25,Backlog!$C$2:$C$1564,"Story")</f>
        <v/>
      </c>
      <c r="F25">
        <f>SUMIFS(Backlog!$K$2:$K$1564,Backlog!$J$2:$J$1564,$A25,Backlog!$C$2:$C$1564,"Story")</f>
        <v/>
      </c>
      <c r="G25">
        <f>COUNTIFS(Backlog!$J$2:$J$1564,$A25,Backlog!$C$2:$C$1564,"Story",Backlog!$I$2:$I$1564,"Done")</f>
        <v/>
      </c>
      <c r="H25">
        <f>COUNTIFS(Backlog!$J$2:$J$1564,$A25,Backlog!$C$2:$C$1564,"Story",Backlog!$I$2:$I$1564,"Active")</f>
        <v/>
      </c>
      <c r="I25">
        <f>COUNTIFS(Backlog!$J$2:$J$1564,$A25,Backlog!$C$2:$C$1564,"Story",Backlog!$I$2:$I$1564,"New")</f>
        <v/>
      </c>
      <c r="J25" s="6">
        <f>IF(F25=0,"",SUMIFS(Backlog!$K$2:$K$1564,Backlog!$J$2:$J$1564,$A25,Backlog!$C$2:$C$1564,"Story",Backlog!$I$2:$I$1564,"Done")/F25)</f>
        <v/>
      </c>
    </row>
    <row r="26">
      <c r="A26" t="inlineStr">
        <is>
          <t>Step 3</t>
        </is>
      </c>
      <c r="B26" t="inlineStr">
        <is>
          <t>Step 3</t>
        </is>
      </c>
      <c r="C26" t="n">
        <v>411</v>
      </c>
      <c r="D26" s="5" t="inlineStr">
        <is>
          <t>Design docs and UI prototype; Later steps · rules from the step 0–2 docs; Platform services</t>
        </is>
      </c>
      <c r="E26">
        <f>COUNTIFS(Backlog!$J$2:$J$1564,$A26,Backlog!$C$2:$C$1564,"Story")</f>
        <v/>
      </c>
      <c r="F26">
        <f>SUMIFS(Backlog!$K$2:$K$1564,Backlog!$J$2:$J$1564,$A26,Backlog!$C$2:$C$1564,"Story")</f>
        <v/>
      </c>
      <c r="G26">
        <f>COUNTIFS(Backlog!$J$2:$J$1564,$A26,Backlog!$C$2:$C$1564,"Story",Backlog!$I$2:$I$1564,"Done")</f>
        <v/>
      </c>
      <c r="H26">
        <f>COUNTIFS(Backlog!$J$2:$J$1564,$A26,Backlog!$C$2:$C$1564,"Story",Backlog!$I$2:$I$1564,"Active")</f>
        <v/>
      </c>
      <c r="I26">
        <f>COUNTIFS(Backlog!$J$2:$J$1564,$A26,Backlog!$C$2:$C$1564,"Story",Backlog!$I$2:$I$1564,"New")</f>
        <v/>
      </c>
      <c r="J26" s="6">
        <f>IF(F26=0,"",SUMIFS(Backlog!$K$2:$K$1564,Backlog!$J$2:$J$1564,$A26,Backlog!$C$2:$C$1564,"Story",Backlog!$I$2:$I$1564,"Done")/F26)</f>
        <v/>
      </c>
    </row>
    <row r="27">
      <c r="A27" t="inlineStr">
        <is>
          <t>Step 3-b</t>
        </is>
      </c>
      <c r="B27" t="inlineStr">
        <is>
          <t>Step 3</t>
        </is>
      </c>
      <c r="C27" t="n">
        <v>420</v>
      </c>
      <c r="D27" s="5" t="inlineStr">
        <is>
          <t>Step 3 · Platform console</t>
        </is>
      </c>
      <c r="E27">
        <f>COUNTIFS(Backlog!$J$2:$J$1564,$A27,Backlog!$C$2:$C$1564,"Story")</f>
        <v/>
      </c>
      <c r="F27">
        <f>SUMIFS(Backlog!$K$2:$K$1564,Backlog!$J$2:$J$1564,$A27,Backlog!$C$2:$C$1564,"Story")</f>
        <v/>
      </c>
      <c r="G27">
        <f>COUNTIFS(Backlog!$J$2:$J$1564,$A27,Backlog!$C$2:$C$1564,"Story",Backlog!$I$2:$I$1564,"Done")</f>
        <v/>
      </c>
      <c r="H27">
        <f>COUNTIFS(Backlog!$J$2:$J$1564,$A27,Backlog!$C$2:$C$1564,"Story",Backlog!$I$2:$I$1564,"Active")</f>
        <v/>
      </c>
      <c r="I27">
        <f>COUNTIFS(Backlog!$J$2:$J$1564,$A27,Backlog!$C$2:$C$1564,"Story",Backlog!$I$2:$I$1564,"New")</f>
        <v/>
      </c>
      <c r="J27" s="6">
        <f>IF(F27=0,"",SUMIFS(Backlog!$K$2:$K$1564,Backlog!$J$2:$J$1564,$A27,Backlog!$C$2:$C$1564,"Story",Backlog!$I$2:$I$1564,"Done")/F27)</f>
        <v/>
      </c>
    </row>
    <row r="28">
      <c r="A28" t="inlineStr">
        <is>
          <t>Step 3 · infra</t>
        </is>
      </c>
      <c r="B28" t="inlineStr">
        <is>
          <t>Step 3</t>
        </is>
      </c>
      <c r="C28" t="n">
        <v>450</v>
      </c>
      <c r="D28" s="5" t="inlineStr">
        <is>
          <t>Platform services</t>
        </is>
      </c>
      <c r="E28">
        <f>COUNTIFS(Backlog!$J$2:$J$1564,$A28,Backlog!$C$2:$C$1564,"Story")</f>
        <v/>
      </c>
      <c r="F28">
        <f>SUMIFS(Backlog!$K$2:$K$1564,Backlog!$J$2:$J$1564,$A28,Backlog!$C$2:$C$1564,"Story")</f>
        <v/>
      </c>
      <c r="G28">
        <f>COUNTIFS(Backlog!$J$2:$J$1564,$A28,Backlog!$C$2:$C$1564,"Story",Backlog!$I$2:$I$1564,"Done")</f>
        <v/>
      </c>
      <c r="H28">
        <f>COUNTIFS(Backlog!$J$2:$J$1564,$A28,Backlog!$C$2:$C$1564,"Story",Backlog!$I$2:$I$1564,"Active")</f>
        <v/>
      </c>
      <c r="I28">
        <f>COUNTIFS(Backlog!$J$2:$J$1564,$A28,Backlog!$C$2:$C$1564,"Story",Backlog!$I$2:$I$1564,"New")</f>
        <v/>
      </c>
      <c r="J28" s="6">
        <f>IF(F28=0,"",SUMIFS(Backlog!$K$2:$K$1564,Backlog!$J$2:$J$1564,$A28,Backlog!$C$2:$C$1564,"Story",Backlog!$I$2:$I$1564,"Done")/F28)</f>
        <v/>
      </c>
    </row>
    <row r="29">
      <c r="A29" t="inlineStr">
        <is>
          <t>Step 3b-1</t>
        </is>
      </c>
      <c r="B29" t="inlineStr">
        <is>
          <t>Step 3b</t>
        </is>
      </c>
      <c r="C29" t="n">
        <v>501</v>
      </c>
      <c r="D29" s="5" t="inlineStr">
        <is>
          <t>Step 3b · YukthiX Service Desk (ITSM + ESM)</t>
        </is>
      </c>
      <c r="E29">
        <f>COUNTIFS(Backlog!$J$2:$J$1564,$A29,Backlog!$C$2:$C$1564,"Story")</f>
        <v/>
      </c>
      <c r="F29">
        <f>SUMIFS(Backlog!$K$2:$K$1564,Backlog!$J$2:$J$1564,$A29,Backlog!$C$2:$C$1564,"Story")</f>
        <v/>
      </c>
      <c r="G29">
        <f>COUNTIFS(Backlog!$J$2:$J$1564,$A29,Backlog!$C$2:$C$1564,"Story",Backlog!$I$2:$I$1564,"Done")</f>
        <v/>
      </c>
      <c r="H29">
        <f>COUNTIFS(Backlog!$J$2:$J$1564,$A29,Backlog!$C$2:$C$1564,"Story",Backlog!$I$2:$I$1564,"Active")</f>
        <v/>
      </c>
      <c r="I29">
        <f>COUNTIFS(Backlog!$J$2:$J$1564,$A29,Backlog!$C$2:$C$1564,"Story",Backlog!$I$2:$I$1564,"New")</f>
        <v/>
      </c>
      <c r="J29" s="6">
        <f>IF(F29=0,"",SUMIFS(Backlog!$K$2:$K$1564,Backlog!$J$2:$J$1564,$A29,Backlog!$C$2:$C$1564,"Story",Backlog!$I$2:$I$1564,"Done")/F29)</f>
        <v/>
      </c>
    </row>
    <row r="30">
      <c r="A30" t="inlineStr">
        <is>
          <t>Step 3b</t>
        </is>
      </c>
      <c r="B30" t="inlineStr">
        <is>
          <t>Step 3b</t>
        </is>
      </c>
      <c r="C30" t="n">
        <v>510</v>
      </c>
      <c r="D30" s="5" t="inlineStr">
        <is>
          <t>Design docs and UI prototype; Later steps · rules from the step 0–2 docs; Platform services</t>
        </is>
      </c>
      <c r="E30">
        <f>COUNTIFS(Backlog!$J$2:$J$1564,$A30,Backlog!$C$2:$C$1564,"Story")</f>
        <v/>
      </c>
      <c r="F30">
        <f>SUMIFS(Backlog!$K$2:$K$1564,Backlog!$J$2:$J$1564,$A30,Backlog!$C$2:$C$1564,"Story")</f>
        <v/>
      </c>
      <c r="G30">
        <f>COUNTIFS(Backlog!$J$2:$J$1564,$A30,Backlog!$C$2:$C$1564,"Story",Backlog!$I$2:$I$1564,"Done")</f>
        <v/>
      </c>
      <c r="H30">
        <f>COUNTIFS(Backlog!$J$2:$J$1564,$A30,Backlog!$C$2:$C$1564,"Story",Backlog!$I$2:$I$1564,"Active")</f>
        <v/>
      </c>
      <c r="I30">
        <f>COUNTIFS(Backlog!$J$2:$J$1564,$A30,Backlog!$C$2:$C$1564,"Story",Backlog!$I$2:$I$1564,"New")</f>
        <v/>
      </c>
      <c r="J30" s="6">
        <f>IF(F30=0,"",SUMIFS(Backlog!$K$2:$K$1564,Backlog!$J$2:$J$1564,$A30,Backlog!$C$2:$C$1564,"Story",Backlog!$I$2:$I$1564,"Done")/F30)</f>
        <v/>
      </c>
    </row>
    <row r="31">
      <c r="A31" t="inlineStr">
        <is>
          <t>Step 3b-2</t>
        </is>
      </c>
      <c r="B31" t="inlineStr">
        <is>
          <t>Step 3b</t>
        </is>
      </c>
      <c r="C31" t="n">
        <v>540</v>
      </c>
      <c r="D31" s="5" t="inlineStr">
        <is>
          <t>Step 3b · YukthiX Service Desk (ITSM + ESM)</t>
        </is>
      </c>
      <c r="E31">
        <f>COUNTIFS(Backlog!$J$2:$J$1564,$A31,Backlog!$C$2:$C$1564,"Story")</f>
        <v/>
      </c>
      <c r="F31">
        <f>SUMIFS(Backlog!$K$2:$K$1564,Backlog!$J$2:$J$1564,$A31,Backlog!$C$2:$C$1564,"Story")</f>
        <v/>
      </c>
      <c r="G31">
        <f>COUNTIFS(Backlog!$J$2:$J$1564,$A31,Backlog!$C$2:$C$1564,"Story",Backlog!$I$2:$I$1564,"Done")</f>
        <v/>
      </c>
      <c r="H31">
        <f>COUNTIFS(Backlog!$J$2:$J$1564,$A31,Backlog!$C$2:$C$1564,"Story",Backlog!$I$2:$I$1564,"Active")</f>
        <v/>
      </c>
      <c r="I31">
        <f>COUNTIFS(Backlog!$J$2:$J$1564,$A31,Backlog!$C$2:$C$1564,"Story",Backlog!$I$2:$I$1564,"New")</f>
        <v/>
      </c>
      <c r="J31" s="6">
        <f>IF(F31=0,"",SUMIFS(Backlog!$K$2:$K$1564,Backlog!$J$2:$J$1564,$A31,Backlog!$C$2:$C$1564,"Story",Backlog!$I$2:$I$1564,"Done")/F31)</f>
        <v/>
      </c>
    </row>
    <row r="32">
      <c r="A32" t="inlineStr">
        <is>
          <t>Step 3b-3</t>
        </is>
      </c>
      <c r="B32" t="inlineStr">
        <is>
          <t>Step 3b</t>
        </is>
      </c>
      <c r="C32" t="n">
        <v>554</v>
      </c>
      <c r="D32" s="5" t="inlineStr">
        <is>
          <t>Step 3b · YukthiX Service Desk (ITSM + ESM)</t>
        </is>
      </c>
      <c r="E32">
        <f>COUNTIFS(Backlog!$J$2:$J$1564,$A32,Backlog!$C$2:$C$1564,"Story")</f>
        <v/>
      </c>
      <c r="F32">
        <f>SUMIFS(Backlog!$K$2:$K$1564,Backlog!$J$2:$J$1564,$A32,Backlog!$C$2:$C$1564,"Story")</f>
        <v/>
      </c>
      <c r="G32">
        <f>COUNTIFS(Backlog!$J$2:$J$1564,$A32,Backlog!$C$2:$C$1564,"Story",Backlog!$I$2:$I$1564,"Done")</f>
        <v/>
      </c>
      <c r="H32">
        <f>COUNTIFS(Backlog!$J$2:$J$1564,$A32,Backlog!$C$2:$C$1564,"Story",Backlog!$I$2:$I$1564,"Active")</f>
        <v/>
      </c>
      <c r="I32">
        <f>COUNTIFS(Backlog!$J$2:$J$1564,$A32,Backlog!$C$2:$C$1564,"Story",Backlog!$I$2:$I$1564,"New")</f>
        <v/>
      </c>
      <c r="J32" s="6">
        <f>IF(F32=0,"",SUMIFS(Backlog!$K$2:$K$1564,Backlog!$J$2:$J$1564,$A32,Backlog!$C$2:$C$1564,"Story",Backlog!$I$2:$I$1564,"Done")/F32)</f>
        <v/>
      </c>
    </row>
    <row r="33">
      <c r="A33" t="inlineStr">
        <is>
          <t>Step 3b-4</t>
        </is>
      </c>
      <c r="B33" t="inlineStr">
        <is>
          <t>Step 3b</t>
        </is>
      </c>
      <c r="C33" t="n">
        <v>576</v>
      </c>
      <c r="D33" s="5" t="inlineStr">
        <is>
          <t>Step 3b · YukthiX Service Desk (ITSM + ESM)</t>
        </is>
      </c>
      <c r="E33">
        <f>COUNTIFS(Backlog!$J$2:$J$1564,$A33,Backlog!$C$2:$C$1564,"Story")</f>
        <v/>
      </c>
      <c r="F33">
        <f>SUMIFS(Backlog!$K$2:$K$1564,Backlog!$J$2:$J$1564,$A33,Backlog!$C$2:$C$1564,"Story")</f>
        <v/>
      </c>
      <c r="G33">
        <f>COUNTIFS(Backlog!$J$2:$J$1564,$A33,Backlog!$C$2:$C$1564,"Story",Backlog!$I$2:$I$1564,"Done")</f>
        <v/>
      </c>
      <c r="H33">
        <f>COUNTIFS(Backlog!$J$2:$J$1564,$A33,Backlog!$C$2:$C$1564,"Story",Backlog!$I$2:$I$1564,"Active")</f>
        <v/>
      </c>
      <c r="I33">
        <f>COUNTIFS(Backlog!$J$2:$J$1564,$A33,Backlog!$C$2:$C$1564,"Story",Backlog!$I$2:$I$1564,"New")</f>
        <v/>
      </c>
      <c r="J33" s="6">
        <f>IF(F33=0,"",SUMIFS(Backlog!$K$2:$K$1564,Backlog!$J$2:$J$1564,$A33,Backlog!$C$2:$C$1564,"Story",Backlog!$I$2:$I$1564,"Done")/F33)</f>
        <v/>
      </c>
    </row>
    <row r="34">
      <c r="A34" t="inlineStr">
        <is>
          <t>Step 4-a workflow engine</t>
        </is>
      </c>
      <c r="B34" t="inlineStr">
        <is>
          <t>Step 4</t>
        </is>
      </c>
      <c r="C34" t="n">
        <v>601</v>
      </c>
      <c r="D34" s="5" t="inlineStr">
        <is>
          <t>Step 4 · Time and leave</t>
        </is>
      </c>
      <c r="E34">
        <f>COUNTIFS(Backlog!$J$2:$J$1564,$A34,Backlog!$C$2:$C$1564,"Story")</f>
        <v/>
      </c>
      <c r="F34">
        <f>SUMIFS(Backlog!$K$2:$K$1564,Backlog!$J$2:$J$1564,$A34,Backlog!$C$2:$C$1564,"Story")</f>
        <v/>
      </c>
      <c r="G34">
        <f>COUNTIFS(Backlog!$J$2:$J$1564,$A34,Backlog!$C$2:$C$1564,"Story",Backlog!$I$2:$I$1564,"Done")</f>
        <v/>
      </c>
      <c r="H34">
        <f>COUNTIFS(Backlog!$J$2:$J$1564,$A34,Backlog!$C$2:$C$1564,"Story",Backlog!$I$2:$I$1564,"Active")</f>
        <v/>
      </c>
      <c r="I34">
        <f>COUNTIFS(Backlog!$J$2:$J$1564,$A34,Backlog!$C$2:$C$1564,"Story",Backlog!$I$2:$I$1564,"New")</f>
        <v/>
      </c>
      <c r="J34" s="6">
        <f>IF(F34=0,"",SUMIFS(Backlog!$K$2:$K$1564,Backlog!$J$2:$J$1564,$A34,Backlog!$C$2:$C$1564,"Story",Backlog!$I$2:$I$1564,"Done")/F34)</f>
        <v/>
      </c>
    </row>
    <row r="35">
      <c r="A35" t="inlineStr">
        <is>
          <t>Step 4</t>
        </is>
      </c>
      <c r="B35" t="inlineStr">
        <is>
          <t>Step 4</t>
        </is>
      </c>
      <c r="C35" t="n">
        <v>602</v>
      </c>
      <c r="D35" s="5" t="inlineStr">
        <is>
          <t>Design docs and UI prototype; Later steps · rules from the step 0–2 docs; Platform services</t>
        </is>
      </c>
      <c r="E35">
        <f>COUNTIFS(Backlog!$J$2:$J$1564,$A35,Backlog!$C$2:$C$1564,"Story")</f>
        <v/>
      </c>
      <c r="F35">
        <f>SUMIFS(Backlog!$K$2:$K$1564,Backlog!$J$2:$J$1564,$A35,Backlog!$C$2:$C$1564,"Story")</f>
        <v/>
      </c>
      <c r="G35">
        <f>COUNTIFS(Backlog!$J$2:$J$1564,$A35,Backlog!$C$2:$C$1564,"Story",Backlog!$I$2:$I$1564,"Done")</f>
        <v/>
      </c>
      <c r="H35">
        <f>COUNTIFS(Backlog!$J$2:$J$1564,$A35,Backlog!$C$2:$C$1564,"Story",Backlog!$I$2:$I$1564,"Active")</f>
        <v/>
      </c>
      <c r="I35">
        <f>COUNTIFS(Backlog!$J$2:$J$1564,$A35,Backlog!$C$2:$C$1564,"Story",Backlog!$I$2:$I$1564,"New")</f>
        <v/>
      </c>
      <c r="J35" s="6">
        <f>IF(F35=0,"",SUMIFS(Backlog!$K$2:$K$1564,Backlog!$J$2:$J$1564,$A35,Backlog!$C$2:$C$1564,"Story",Backlog!$I$2:$I$1564,"Done")/F35)</f>
        <v/>
      </c>
    </row>
    <row r="36">
      <c r="A36" t="inlineStr">
        <is>
          <t>Step 4-a notifications</t>
        </is>
      </c>
      <c r="B36" t="inlineStr">
        <is>
          <t>Step 4</t>
        </is>
      </c>
      <c r="C36" t="n">
        <v>611</v>
      </c>
      <c r="D36" s="5" t="inlineStr">
        <is>
          <t>Step 4 · Time and leave</t>
        </is>
      </c>
      <c r="E36">
        <f>COUNTIFS(Backlog!$J$2:$J$1564,$A36,Backlog!$C$2:$C$1564,"Story")</f>
        <v/>
      </c>
      <c r="F36">
        <f>SUMIFS(Backlog!$K$2:$K$1564,Backlog!$J$2:$J$1564,$A36,Backlog!$C$2:$C$1564,"Story")</f>
        <v/>
      </c>
      <c r="G36">
        <f>COUNTIFS(Backlog!$J$2:$J$1564,$A36,Backlog!$C$2:$C$1564,"Story",Backlog!$I$2:$I$1564,"Done")</f>
        <v/>
      </c>
      <c r="H36">
        <f>COUNTIFS(Backlog!$J$2:$J$1564,$A36,Backlog!$C$2:$C$1564,"Story",Backlog!$I$2:$I$1564,"Active")</f>
        <v/>
      </c>
      <c r="I36">
        <f>COUNTIFS(Backlog!$J$2:$J$1564,$A36,Backlog!$C$2:$C$1564,"Story",Backlog!$I$2:$I$1564,"New")</f>
        <v/>
      </c>
      <c r="J36" s="6">
        <f>IF(F36=0,"",SUMIFS(Backlog!$K$2:$K$1564,Backlog!$J$2:$J$1564,$A36,Backlog!$C$2:$C$1564,"Story",Backlog!$I$2:$I$1564,"Done")/F36)</f>
        <v/>
      </c>
    </row>
    <row r="37">
      <c r="A37" t="inlineStr">
        <is>
          <t>Step 4-e later waves</t>
        </is>
      </c>
      <c r="B37" t="inlineStr">
        <is>
          <t>Step 4</t>
        </is>
      </c>
      <c r="C37" t="n">
        <v>621</v>
      </c>
      <c r="D37" s="5" t="inlineStr">
        <is>
          <t>Step 4 · Time and leave</t>
        </is>
      </c>
      <c r="E37">
        <f>COUNTIFS(Backlog!$J$2:$J$1564,$A37,Backlog!$C$2:$C$1564,"Story")</f>
        <v/>
      </c>
      <c r="F37">
        <f>SUMIFS(Backlog!$K$2:$K$1564,Backlog!$J$2:$J$1564,$A37,Backlog!$C$2:$C$1564,"Story")</f>
        <v/>
      </c>
      <c r="G37">
        <f>COUNTIFS(Backlog!$J$2:$J$1564,$A37,Backlog!$C$2:$C$1564,"Story",Backlog!$I$2:$I$1564,"Done")</f>
        <v/>
      </c>
      <c r="H37">
        <f>COUNTIFS(Backlog!$J$2:$J$1564,$A37,Backlog!$C$2:$C$1564,"Story",Backlog!$I$2:$I$1564,"Active")</f>
        <v/>
      </c>
      <c r="I37">
        <f>COUNTIFS(Backlog!$J$2:$J$1564,$A37,Backlog!$C$2:$C$1564,"Story",Backlog!$I$2:$I$1564,"New")</f>
        <v/>
      </c>
      <c r="J37" s="6">
        <f>IF(F37=0,"",SUMIFS(Backlog!$K$2:$K$1564,Backlog!$J$2:$J$1564,$A37,Backlog!$C$2:$C$1564,"Story",Backlog!$I$2:$I$1564,"Done")/F37)</f>
        <v/>
      </c>
    </row>
    <row r="38">
      <c r="A38" t="inlineStr">
        <is>
          <t>Step 4-a rule packs</t>
        </is>
      </c>
      <c r="B38" t="inlineStr">
        <is>
          <t>Step 4</t>
        </is>
      </c>
      <c r="C38" t="n">
        <v>622</v>
      </c>
      <c r="D38" s="5" t="inlineStr">
        <is>
          <t>Step 4 · Time and leave</t>
        </is>
      </c>
      <c r="E38">
        <f>COUNTIFS(Backlog!$J$2:$J$1564,$A38,Backlog!$C$2:$C$1564,"Story")</f>
        <v/>
      </c>
      <c r="F38">
        <f>SUMIFS(Backlog!$K$2:$K$1564,Backlog!$J$2:$J$1564,$A38,Backlog!$C$2:$C$1564,"Story")</f>
        <v/>
      </c>
      <c r="G38">
        <f>COUNTIFS(Backlog!$J$2:$J$1564,$A38,Backlog!$C$2:$C$1564,"Story",Backlog!$I$2:$I$1564,"Done")</f>
        <v/>
      </c>
      <c r="H38">
        <f>COUNTIFS(Backlog!$J$2:$J$1564,$A38,Backlog!$C$2:$C$1564,"Story",Backlog!$I$2:$I$1564,"Active")</f>
        <v/>
      </c>
      <c r="I38">
        <f>COUNTIFS(Backlog!$J$2:$J$1564,$A38,Backlog!$C$2:$C$1564,"Story",Backlog!$I$2:$I$1564,"New")</f>
        <v/>
      </c>
      <c r="J38" s="6">
        <f>IF(F38=0,"",SUMIFS(Backlog!$K$2:$K$1564,Backlog!$J$2:$J$1564,$A38,Backlog!$C$2:$C$1564,"Story",Backlog!$I$2:$I$1564,"Done")/F38)</f>
        <v/>
      </c>
    </row>
    <row r="39">
      <c r="A39" t="inlineStr">
        <is>
          <t>Step 4-a documents</t>
        </is>
      </c>
      <c r="B39" t="inlineStr">
        <is>
          <t>Step 4</t>
        </is>
      </c>
      <c r="C39" t="n">
        <v>628</v>
      </c>
      <c r="D39" s="5" t="inlineStr">
        <is>
          <t>Step 4 · Time and leave</t>
        </is>
      </c>
      <c r="E39">
        <f>COUNTIFS(Backlog!$J$2:$J$1564,$A39,Backlog!$C$2:$C$1564,"Story")</f>
        <v/>
      </c>
      <c r="F39">
        <f>SUMIFS(Backlog!$K$2:$K$1564,Backlog!$J$2:$J$1564,$A39,Backlog!$C$2:$C$1564,"Story")</f>
        <v/>
      </c>
      <c r="G39">
        <f>COUNTIFS(Backlog!$J$2:$J$1564,$A39,Backlog!$C$2:$C$1564,"Story",Backlog!$I$2:$I$1564,"Done")</f>
        <v/>
      </c>
      <c r="H39">
        <f>COUNTIFS(Backlog!$J$2:$J$1564,$A39,Backlog!$C$2:$C$1564,"Story",Backlog!$I$2:$I$1564,"Active")</f>
        <v/>
      </c>
      <c r="I39">
        <f>COUNTIFS(Backlog!$J$2:$J$1564,$A39,Backlog!$C$2:$C$1564,"Story",Backlog!$I$2:$I$1564,"New")</f>
        <v/>
      </c>
      <c r="J39" s="6">
        <f>IF(F39=0,"",SUMIFS(Backlog!$K$2:$K$1564,Backlog!$J$2:$J$1564,$A39,Backlog!$C$2:$C$1564,"Story",Backlog!$I$2:$I$1564,"Done")/F39)</f>
        <v/>
      </c>
    </row>
    <row r="40">
      <c r="A40" t="inlineStr">
        <is>
          <t>Step 4-b leave</t>
        </is>
      </c>
      <c r="B40" t="inlineStr">
        <is>
          <t>Step 4</t>
        </is>
      </c>
      <c r="C40" t="n">
        <v>631</v>
      </c>
      <c r="D40" s="5" t="inlineStr">
        <is>
          <t>Step 4 · Time and leave</t>
        </is>
      </c>
      <c r="E40">
        <f>COUNTIFS(Backlog!$J$2:$J$1564,$A40,Backlog!$C$2:$C$1564,"Story")</f>
        <v/>
      </c>
      <c r="F40">
        <f>SUMIFS(Backlog!$K$2:$K$1564,Backlog!$J$2:$J$1564,$A40,Backlog!$C$2:$C$1564,"Story")</f>
        <v/>
      </c>
      <c r="G40">
        <f>COUNTIFS(Backlog!$J$2:$J$1564,$A40,Backlog!$C$2:$C$1564,"Story",Backlog!$I$2:$I$1564,"Done")</f>
        <v/>
      </c>
      <c r="H40">
        <f>COUNTIFS(Backlog!$J$2:$J$1564,$A40,Backlog!$C$2:$C$1564,"Story",Backlog!$I$2:$I$1564,"Active")</f>
        <v/>
      </c>
      <c r="I40">
        <f>COUNTIFS(Backlog!$J$2:$J$1564,$A40,Backlog!$C$2:$C$1564,"Story",Backlog!$I$2:$I$1564,"New")</f>
        <v/>
      </c>
      <c r="J40" s="6">
        <f>IF(F40=0,"",SUMIFS(Backlog!$K$2:$K$1564,Backlog!$J$2:$J$1564,$A40,Backlog!$C$2:$C$1564,"Story",Backlog!$I$2:$I$1564,"Done")/F40)</f>
        <v/>
      </c>
    </row>
    <row r="41">
      <c r="A41" t="inlineStr">
        <is>
          <t>Step 4-c shifts and rosters</t>
        </is>
      </c>
      <c r="B41" t="inlineStr">
        <is>
          <t>Step 4</t>
        </is>
      </c>
      <c r="C41" t="n">
        <v>646</v>
      </c>
      <c r="D41" s="5" t="inlineStr">
        <is>
          <t>Step 4 · Time and leave</t>
        </is>
      </c>
      <c r="E41">
        <f>COUNTIFS(Backlog!$J$2:$J$1564,$A41,Backlog!$C$2:$C$1564,"Story")</f>
        <v/>
      </c>
      <c r="F41">
        <f>SUMIFS(Backlog!$K$2:$K$1564,Backlog!$J$2:$J$1564,$A41,Backlog!$C$2:$C$1564,"Story")</f>
        <v/>
      </c>
      <c r="G41">
        <f>COUNTIFS(Backlog!$J$2:$J$1564,$A41,Backlog!$C$2:$C$1564,"Story",Backlog!$I$2:$I$1564,"Done")</f>
        <v/>
      </c>
      <c r="H41">
        <f>COUNTIFS(Backlog!$J$2:$J$1564,$A41,Backlog!$C$2:$C$1564,"Story",Backlog!$I$2:$I$1564,"Active")</f>
        <v/>
      </c>
      <c r="I41">
        <f>COUNTIFS(Backlog!$J$2:$J$1564,$A41,Backlog!$C$2:$C$1564,"Story",Backlog!$I$2:$I$1564,"New")</f>
        <v/>
      </c>
      <c r="J41" s="6">
        <f>IF(F41=0,"",SUMIFS(Backlog!$K$2:$K$1564,Backlog!$J$2:$J$1564,$A41,Backlog!$C$2:$C$1564,"Story",Backlog!$I$2:$I$1564,"Done")/F41)</f>
        <v/>
      </c>
    </row>
    <row r="42">
      <c r="A42" t="inlineStr">
        <is>
          <t>Step 4-d punches and day engine</t>
        </is>
      </c>
      <c r="B42" t="inlineStr">
        <is>
          <t>Step 4</t>
        </is>
      </c>
      <c r="C42" t="n">
        <v>651</v>
      </c>
      <c r="D42" s="5" t="inlineStr">
        <is>
          <t>Step 4 · Time and leave</t>
        </is>
      </c>
      <c r="E42">
        <f>COUNTIFS(Backlog!$J$2:$J$1564,$A42,Backlog!$C$2:$C$1564,"Story")</f>
        <v/>
      </c>
      <c r="F42">
        <f>SUMIFS(Backlog!$K$2:$K$1564,Backlog!$J$2:$J$1564,$A42,Backlog!$C$2:$C$1564,"Story")</f>
        <v/>
      </c>
      <c r="G42">
        <f>COUNTIFS(Backlog!$J$2:$J$1564,$A42,Backlog!$C$2:$C$1564,"Story",Backlog!$I$2:$I$1564,"Done")</f>
        <v/>
      </c>
      <c r="H42">
        <f>COUNTIFS(Backlog!$J$2:$J$1564,$A42,Backlog!$C$2:$C$1564,"Story",Backlog!$I$2:$I$1564,"Active")</f>
        <v/>
      </c>
      <c r="I42">
        <f>COUNTIFS(Backlog!$J$2:$J$1564,$A42,Backlog!$C$2:$C$1564,"Story",Backlog!$I$2:$I$1564,"New")</f>
        <v/>
      </c>
      <c r="J42" s="6">
        <f>IF(F42=0,"",SUMIFS(Backlog!$K$2:$K$1564,Backlog!$J$2:$J$1564,$A42,Backlog!$C$2:$C$1564,"Story",Backlog!$I$2:$I$1564,"Done")/F42)</f>
        <v/>
      </c>
    </row>
    <row r="43">
      <c r="A43" t="inlineStr">
        <is>
          <t>Step 5</t>
        </is>
      </c>
      <c r="B43" t="inlineStr">
        <is>
          <t>Step 5</t>
        </is>
      </c>
      <c r="C43" t="n">
        <v>700</v>
      </c>
      <c r="D43" s="5" t="inlineStr">
        <is>
          <t>Design docs and UI prototype; Later steps · rules from the step 0–2 docs; Platform services</t>
        </is>
      </c>
      <c r="E43">
        <f>COUNTIFS(Backlog!$J$2:$J$1564,$A43,Backlog!$C$2:$C$1564,"Story")</f>
        <v/>
      </c>
      <c r="F43">
        <f>SUMIFS(Backlog!$K$2:$K$1564,Backlog!$J$2:$J$1564,$A43,Backlog!$C$2:$C$1564,"Story")</f>
        <v/>
      </c>
      <c r="G43">
        <f>COUNTIFS(Backlog!$J$2:$J$1564,$A43,Backlog!$C$2:$C$1564,"Story",Backlog!$I$2:$I$1564,"Done")</f>
        <v/>
      </c>
      <c r="H43">
        <f>COUNTIFS(Backlog!$J$2:$J$1564,$A43,Backlog!$C$2:$C$1564,"Story",Backlog!$I$2:$I$1564,"Active")</f>
        <v/>
      </c>
      <c r="I43">
        <f>COUNTIFS(Backlog!$J$2:$J$1564,$A43,Backlog!$C$2:$C$1564,"Story",Backlog!$I$2:$I$1564,"New")</f>
        <v/>
      </c>
      <c r="J43" s="6">
        <f>IF(F43=0,"",SUMIFS(Backlog!$K$2:$K$1564,Backlog!$J$2:$J$1564,$A43,Backlog!$C$2:$C$1564,"Story",Backlog!$I$2:$I$1564,"Done")/F43)</f>
        <v/>
      </c>
    </row>
    <row r="44">
      <c r="A44" t="inlineStr">
        <is>
          <t>Step 5-a period locks and audit</t>
        </is>
      </c>
      <c r="B44" t="inlineStr">
        <is>
          <t>Step 5</t>
        </is>
      </c>
      <c r="C44" t="n">
        <v>701</v>
      </c>
      <c r="D44" s="5" t="inlineStr">
        <is>
          <t>Step 5 · Payroll and statutory</t>
        </is>
      </c>
      <c r="E44">
        <f>COUNTIFS(Backlog!$J$2:$J$1564,$A44,Backlog!$C$2:$C$1564,"Story")</f>
        <v/>
      </c>
      <c r="F44">
        <f>SUMIFS(Backlog!$K$2:$K$1564,Backlog!$J$2:$J$1564,$A44,Backlog!$C$2:$C$1564,"Story")</f>
        <v/>
      </c>
      <c r="G44">
        <f>COUNTIFS(Backlog!$J$2:$J$1564,$A44,Backlog!$C$2:$C$1564,"Story",Backlog!$I$2:$I$1564,"Done")</f>
        <v/>
      </c>
      <c r="H44">
        <f>COUNTIFS(Backlog!$J$2:$J$1564,$A44,Backlog!$C$2:$C$1564,"Story",Backlog!$I$2:$I$1564,"Active")</f>
        <v/>
      </c>
      <c r="I44">
        <f>COUNTIFS(Backlog!$J$2:$J$1564,$A44,Backlog!$C$2:$C$1564,"Story",Backlog!$I$2:$I$1564,"New")</f>
        <v/>
      </c>
      <c r="J44" s="6">
        <f>IF(F44=0,"",SUMIFS(Backlog!$K$2:$K$1564,Backlog!$J$2:$J$1564,$A44,Backlog!$C$2:$C$1564,"Story",Backlog!$I$2:$I$1564,"Done")/F44)</f>
        <v/>
      </c>
    </row>
    <row r="45">
      <c r="A45" t="inlineStr">
        <is>
          <t>Step 5-b payroll setup</t>
        </is>
      </c>
      <c r="B45" t="inlineStr">
        <is>
          <t>Step 5</t>
        </is>
      </c>
      <c r="C45" t="n">
        <v>708</v>
      </c>
      <c r="D45" s="5" t="inlineStr">
        <is>
          <t>Step 5 · Payroll and statutory</t>
        </is>
      </c>
      <c r="E45">
        <f>COUNTIFS(Backlog!$J$2:$J$1564,$A45,Backlog!$C$2:$C$1564,"Story")</f>
        <v/>
      </c>
      <c r="F45">
        <f>SUMIFS(Backlog!$K$2:$K$1564,Backlog!$J$2:$J$1564,$A45,Backlog!$C$2:$C$1564,"Story")</f>
        <v/>
      </c>
      <c r="G45">
        <f>COUNTIFS(Backlog!$J$2:$J$1564,$A45,Backlog!$C$2:$C$1564,"Story",Backlog!$I$2:$I$1564,"Done")</f>
        <v/>
      </c>
      <c r="H45">
        <f>COUNTIFS(Backlog!$J$2:$J$1564,$A45,Backlog!$C$2:$C$1564,"Story",Backlog!$I$2:$I$1564,"Active")</f>
        <v/>
      </c>
      <c r="I45">
        <f>COUNTIFS(Backlog!$J$2:$J$1564,$A45,Backlog!$C$2:$C$1564,"Story",Backlog!$I$2:$I$1564,"New")</f>
        <v/>
      </c>
      <c r="J45" s="6">
        <f>IF(F45=0,"",SUMIFS(Backlog!$K$2:$K$1564,Backlog!$J$2:$J$1564,$A45,Backlog!$C$2:$C$1564,"Story",Backlog!$I$2:$I$1564,"Done")/F45)</f>
        <v/>
      </c>
    </row>
    <row r="46">
      <c r="A46" t="inlineStr">
        <is>
          <t>Step 5-c payroll run</t>
        </is>
      </c>
      <c r="B46" t="inlineStr">
        <is>
          <t>Step 5</t>
        </is>
      </c>
      <c r="C46" t="n">
        <v>720</v>
      </c>
      <c r="D46" s="5" t="inlineStr">
        <is>
          <t>Step 5 · Payroll and statutory</t>
        </is>
      </c>
      <c r="E46">
        <f>COUNTIFS(Backlog!$J$2:$J$1564,$A46,Backlog!$C$2:$C$1564,"Story")</f>
        <v/>
      </c>
      <c r="F46">
        <f>SUMIFS(Backlog!$K$2:$K$1564,Backlog!$J$2:$J$1564,$A46,Backlog!$C$2:$C$1564,"Story")</f>
        <v/>
      </c>
      <c r="G46">
        <f>COUNTIFS(Backlog!$J$2:$J$1564,$A46,Backlog!$C$2:$C$1564,"Story",Backlog!$I$2:$I$1564,"Done")</f>
        <v/>
      </c>
      <c r="H46">
        <f>COUNTIFS(Backlog!$J$2:$J$1564,$A46,Backlog!$C$2:$C$1564,"Story",Backlog!$I$2:$I$1564,"Active")</f>
        <v/>
      </c>
      <c r="I46">
        <f>COUNTIFS(Backlog!$J$2:$J$1564,$A46,Backlog!$C$2:$C$1564,"Story",Backlog!$I$2:$I$1564,"New")</f>
        <v/>
      </c>
      <c r="J46" s="6">
        <f>IF(F46=0,"",SUMIFS(Backlog!$K$2:$K$1564,Backlog!$J$2:$J$1564,$A46,Backlog!$C$2:$C$1564,"Story",Backlog!$I$2:$I$1564,"Done")/F46)</f>
        <v/>
      </c>
    </row>
    <row r="47">
      <c r="A47" t="inlineStr">
        <is>
          <t>Step 5-d pay-out and payslips</t>
        </is>
      </c>
      <c r="B47" t="inlineStr">
        <is>
          <t>Step 5</t>
        </is>
      </c>
      <c r="C47" t="n">
        <v>737</v>
      </c>
      <c r="D47" s="5" t="inlineStr">
        <is>
          <t>Step 5 · Payroll and statutory</t>
        </is>
      </c>
      <c r="E47">
        <f>COUNTIFS(Backlog!$J$2:$J$1564,$A47,Backlog!$C$2:$C$1564,"Story")</f>
        <v/>
      </c>
      <c r="F47">
        <f>SUMIFS(Backlog!$K$2:$K$1564,Backlog!$J$2:$J$1564,$A47,Backlog!$C$2:$C$1564,"Story")</f>
        <v/>
      </c>
      <c r="G47">
        <f>COUNTIFS(Backlog!$J$2:$J$1564,$A47,Backlog!$C$2:$C$1564,"Story",Backlog!$I$2:$I$1564,"Done")</f>
        <v/>
      </c>
      <c r="H47">
        <f>COUNTIFS(Backlog!$J$2:$J$1564,$A47,Backlog!$C$2:$C$1564,"Story",Backlog!$I$2:$I$1564,"Active")</f>
        <v/>
      </c>
      <c r="I47">
        <f>COUNTIFS(Backlog!$J$2:$J$1564,$A47,Backlog!$C$2:$C$1564,"Story",Backlog!$I$2:$I$1564,"New")</f>
        <v/>
      </c>
      <c r="J47" s="6">
        <f>IF(F47=0,"",SUMIFS(Backlog!$K$2:$K$1564,Backlog!$J$2:$J$1564,$A47,Backlog!$C$2:$C$1564,"Story",Backlog!$I$2:$I$1564,"Done")/F47)</f>
        <v/>
      </c>
    </row>
    <row r="48">
      <c r="A48" t="inlineStr">
        <is>
          <t>Step 5 · before payroll pilot</t>
        </is>
      </c>
      <c r="B48" t="inlineStr">
        <is>
          <t>Step 5</t>
        </is>
      </c>
      <c r="C48" t="n">
        <v>740</v>
      </c>
      <c r="D48" s="5" t="inlineStr">
        <is>
          <t>Platform services</t>
        </is>
      </c>
      <c r="E48">
        <f>COUNTIFS(Backlog!$J$2:$J$1564,$A48,Backlog!$C$2:$C$1564,"Story")</f>
        <v/>
      </c>
      <c r="F48">
        <f>SUMIFS(Backlog!$K$2:$K$1564,Backlog!$J$2:$J$1564,$A48,Backlog!$C$2:$C$1564,"Story")</f>
        <v/>
      </c>
      <c r="G48">
        <f>COUNTIFS(Backlog!$J$2:$J$1564,$A48,Backlog!$C$2:$C$1564,"Story",Backlog!$I$2:$I$1564,"Done")</f>
        <v/>
      </c>
      <c r="H48">
        <f>COUNTIFS(Backlog!$J$2:$J$1564,$A48,Backlog!$C$2:$C$1564,"Story",Backlog!$I$2:$I$1564,"Active")</f>
        <v/>
      </c>
      <c r="I48">
        <f>COUNTIFS(Backlog!$J$2:$J$1564,$A48,Backlog!$C$2:$C$1564,"Story",Backlog!$I$2:$I$1564,"New")</f>
        <v/>
      </c>
      <c r="J48" s="6">
        <f>IF(F48=0,"",SUMIFS(Backlog!$K$2:$K$1564,Backlog!$J$2:$J$1564,$A48,Backlog!$C$2:$C$1564,"Story",Backlog!$I$2:$I$1564,"Done")/F48)</f>
        <v/>
      </c>
    </row>
    <row r="49">
      <c r="A49" t="inlineStr">
        <is>
          <t>Step 5-e income tax</t>
        </is>
      </c>
      <c r="B49" t="inlineStr">
        <is>
          <t>Step 5</t>
        </is>
      </c>
      <c r="C49" t="n">
        <v>743</v>
      </c>
      <c r="D49" s="5" t="inlineStr">
        <is>
          <t>Step 5 · Payroll and statutory</t>
        </is>
      </c>
      <c r="E49">
        <f>COUNTIFS(Backlog!$J$2:$J$1564,$A49,Backlog!$C$2:$C$1564,"Story")</f>
        <v/>
      </c>
      <c r="F49">
        <f>SUMIFS(Backlog!$K$2:$K$1564,Backlog!$J$2:$J$1564,$A49,Backlog!$C$2:$C$1564,"Story")</f>
        <v/>
      </c>
      <c r="G49">
        <f>COUNTIFS(Backlog!$J$2:$J$1564,$A49,Backlog!$C$2:$C$1564,"Story",Backlog!$I$2:$I$1564,"Done")</f>
        <v/>
      </c>
      <c r="H49">
        <f>COUNTIFS(Backlog!$J$2:$J$1564,$A49,Backlog!$C$2:$C$1564,"Story",Backlog!$I$2:$I$1564,"Active")</f>
        <v/>
      </c>
      <c r="I49">
        <f>COUNTIFS(Backlog!$J$2:$J$1564,$A49,Backlog!$C$2:$C$1564,"Story",Backlog!$I$2:$I$1564,"New")</f>
        <v/>
      </c>
      <c r="J49" s="6">
        <f>IF(F49=0,"",SUMIFS(Backlog!$K$2:$K$1564,Backlog!$J$2:$J$1564,$A49,Backlog!$C$2:$C$1564,"Story",Backlog!$I$2:$I$1564,"Done")/F49)</f>
        <v/>
      </c>
    </row>
    <row r="50">
      <c r="A50" t="inlineStr">
        <is>
          <t>Step 5-f statutory filings</t>
        </is>
      </c>
      <c r="B50" t="inlineStr">
        <is>
          <t>Step 5</t>
        </is>
      </c>
      <c r="C50" t="n">
        <v>752</v>
      </c>
      <c r="D50" s="5" t="inlineStr">
        <is>
          <t>Step 5 · Payroll and statutory</t>
        </is>
      </c>
      <c r="E50">
        <f>COUNTIFS(Backlog!$J$2:$J$1564,$A50,Backlog!$C$2:$C$1564,"Story")</f>
        <v/>
      </c>
      <c r="F50">
        <f>SUMIFS(Backlog!$K$2:$K$1564,Backlog!$J$2:$J$1564,$A50,Backlog!$C$2:$C$1564,"Story")</f>
        <v/>
      </c>
      <c r="G50">
        <f>COUNTIFS(Backlog!$J$2:$J$1564,$A50,Backlog!$C$2:$C$1564,"Story",Backlog!$I$2:$I$1564,"Done")</f>
        <v/>
      </c>
      <c r="H50">
        <f>COUNTIFS(Backlog!$J$2:$J$1564,$A50,Backlog!$C$2:$C$1564,"Story",Backlog!$I$2:$I$1564,"Active")</f>
        <v/>
      </c>
      <c r="I50">
        <f>COUNTIFS(Backlog!$J$2:$J$1564,$A50,Backlog!$C$2:$C$1564,"Story",Backlog!$I$2:$I$1564,"New")</f>
        <v/>
      </c>
      <c r="J50" s="6">
        <f>IF(F50=0,"",SUMIFS(Backlog!$K$2:$K$1564,Backlog!$J$2:$J$1564,$A50,Backlog!$C$2:$C$1564,"Story",Backlog!$I$2:$I$1564,"Done")/F50)</f>
        <v/>
      </c>
    </row>
    <row r="51">
      <c r="A51" t="inlineStr">
        <is>
          <t>Before pilot</t>
        </is>
      </c>
      <c r="B51" t="inlineStr">
        <is>
          <t>Step 5</t>
        </is>
      </c>
      <c r="C51" t="n">
        <v>761</v>
      </c>
      <c r="D51" s="5" t="inlineStr">
        <is>
          <t>Later steps · rules from the step 0–2 docs</t>
        </is>
      </c>
      <c r="E51">
        <f>COUNTIFS(Backlog!$J$2:$J$1564,$A51,Backlog!$C$2:$C$1564,"Story")</f>
        <v/>
      </c>
      <c r="F51">
        <f>SUMIFS(Backlog!$K$2:$K$1564,Backlog!$J$2:$J$1564,$A51,Backlog!$C$2:$C$1564,"Story")</f>
        <v/>
      </c>
      <c r="G51">
        <f>COUNTIFS(Backlog!$J$2:$J$1564,$A51,Backlog!$C$2:$C$1564,"Story",Backlog!$I$2:$I$1564,"Done")</f>
        <v/>
      </c>
      <c r="H51">
        <f>COUNTIFS(Backlog!$J$2:$J$1564,$A51,Backlog!$C$2:$C$1564,"Story",Backlog!$I$2:$I$1564,"Active")</f>
        <v/>
      </c>
      <c r="I51">
        <f>COUNTIFS(Backlog!$J$2:$J$1564,$A51,Backlog!$C$2:$C$1564,"Story",Backlog!$I$2:$I$1564,"New")</f>
        <v/>
      </c>
      <c r="J51" s="6">
        <f>IF(F51=0,"",SUMIFS(Backlog!$K$2:$K$1564,Backlog!$J$2:$J$1564,$A51,Backlog!$C$2:$C$1564,"Story",Backlog!$I$2:$I$1564,"Done")/F51)</f>
        <v/>
      </c>
    </row>
    <row r="52">
      <c r="A52" t="inlineStr">
        <is>
          <t>Step 5-g off-cycle, arrears and F&amp;F</t>
        </is>
      </c>
      <c r="B52" t="inlineStr">
        <is>
          <t>Step 5</t>
        </is>
      </c>
      <c r="C52" t="n">
        <v>761</v>
      </c>
      <c r="D52" s="5" t="inlineStr">
        <is>
          <t>Step 5 · Payroll and statutory</t>
        </is>
      </c>
      <c r="E52">
        <f>COUNTIFS(Backlog!$J$2:$J$1564,$A52,Backlog!$C$2:$C$1564,"Story")</f>
        <v/>
      </c>
      <c r="F52">
        <f>SUMIFS(Backlog!$K$2:$K$1564,Backlog!$J$2:$J$1564,$A52,Backlog!$C$2:$C$1564,"Story")</f>
        <v/>
      </c>
      <c r="G52">
        <f>COUNTIFS(Backlog!$J$2:$J$1564,$A52,Backlog!$C$2:$C$1564,"Story",Backlog!$I$2:$I$1564,"Done")</f>
        <v/>
      </c>
      <c r="H52">
        <f>COUNTIFS(Backlog!$J$2:$J$1564,$A52,Backlog!$C$2:$C$1564,"Story",Backlog!$I$2:$I$1564,"Active")</f>
        <v/>
      </c>
      <c r="I52">
        <f>COUNTIFS(Backlog!$J$2:$J$1564,$A52,Backlog!$C$2:$C$1564,"Story",Backlog!$I$2:$I$1564,"New")</f>
        <v/>
      </c>
      <c r="J52" s="6">
        <f>IF(F52=0,"",SUMIFS(Backlog!$K$2:$K$1564,Backlog!$J$2:$J$1564,$A52,Backlog!$C$2:$C$1564,"Story",Backlog!$I$2:$I$1564,"Done")/F52)</f>
        <v/>
      </c>
    </row>
    <row r="53">
      <c r="A53" t="inlineStr">
        <is>
          <t>Step 5-h consultants</t>
        </is>
      </c>
      <c r="B53" t="inlineStr">
        <is>
          <t>Step 5</t>
        </is>
      </c>
      <c r="C53" t="n">
        <v>768</v>
      </c>
      <c r="D53" s="5" t="inlineStr">
        <is>
          <t>Step 5 · Payroll and statutory</t>
        </is>
      </c>
      <c r="E53">
        <f>COUNTIFS(Backlog!$J$2:$J$1564,$A53,Backlog!$C$2:$C$1564,"Story")</f>
        <v/>
      </c>
      <c r="F53">
        <f>SUMIFS(Backlog!$K$2:$K$1564,Backlog!$J$2:$J$1564,$A53,Backlog!$C$2:$C$1564,"Story")</f>
        <v/>
      </c>
      <c r="G53">
        <f>COUNTIFS(Backlog!$J$2:$J$1564,$A53,Backlog!$C$2:$C$1564,"Story",Backlog!$I$2:$I$1564,"Done")</f>
        <v/>
      </c>
      <c r="H53">
        <f>COUNTIFS(Backlog!$J$2:$J$1564,$A53,Backlog!$C$2:$C$1564,"Story",Backlog!$I$2:$I$1564,"Active")</f>
        <v/>
      </c>
      <c r="I53">
        <f>COUNTIFS(Backlog!$J$2:$J$1564,$A53,Backlog!$C$2:$C$1564,"Story",Backlog!$I$2:$I$1564,"New")</f>
        <v/>
      </c>
      <c r="J53" s="6">
        <f>IF(F53=0,"",SUMIFS(Backlog!$K$2:$K$1564,Backlog!$J$2:$J$1564,$A53,Backlog!$C$2:$C$1564,"Story",Backlog!$I$2:$I$1564,"Done")/F53)</f>
        <v/>
      </c>
    </row>
    <row r="54">
      <c r="A54" t="inlineStr">
        <is>
          <t>Step 5-i special pay (later waves)</t>
        </is>
      </c>
      <c r="B54" t="inlineStr">
        <is>
          <t>Step 5</t>
        </is>
      </c>
      <c r="C54" t="n">
        <v>772</v>
      </c>
      <c r="D54" s="5" t="inlineStr">
        <is>
          <t>Step 5 · Payroll and statutory</t>
        </is>
      </c>
      <c r="E54">
        <f>COUNTIFS(Backlog!$J$2:$J$1564,$A54,Backlog!$C$2:$C$1564,"Story")</f>
        <v/>
      </c>
      <c r="F54">
        <f>SUMIFS(Backlog!$K$2:$K$1564,Backlog!$J$2:$J$1564,$A54,Backlog!$C$2:$C$1564,"Story")</f>
        <v/>
      </c>
      <c r="G54">
        <f>COUNTIFS(Backlog!$J$2:$J$1564,$A54,Backlog!$C$2:$C$1564,"Story",Backlog!$I$2:$I$1564,"Done")</f>
        <v/>
      </c>
      <c r="H54">
        <f>COUNTIFS(Backlog!$J$2:$J$1564,$A54,Backlog!$C$2:$C$1564,"Story",Backlog!$I$2:$I$1564,"Active")</f>
        <v/>
      </c>
      <c r="I54">
        <f>COUNTIFS(Backlog!$J$2:$J$1564,$A54,Backlog!$C$2:$C$1564,"Story",Backlog!$I$2:$I$1564,"New")</f>
        <v/>
      </c>
      <c r="J54" s="6">
        <f>IF(F54=0,"",SUMIFS(Backlog!$K$2:$K$1564,Backlog!$J$2:$J$1564,$A54,Backlog!$C$2:$C$1564,"Story",Backlog!$I$2:$I$1564,"Done")/F54)</f>
        <v/>
      </c>
    </row>
    <row r="55">
      <c r="A55" t="inlineStr">
        <is>
          <t>Step 5-j payroll screens</t>
        </is>
      </c>
      <c r="B55" t="inlineStr">
        <is>
          <t>Step 5</t>
        </is>
      </c>
      <c r="C55" t="n">
        <v>784</v>
      </c>
      <c r="D55" s="5" t="inlineStr">
        <is>
          <t>Step 5 · Payroll and statutory</t>
        </is>
      </c>
      <c r="E55">
        <f>COUNTIFS(Backlog!$J$2:$J$1564,$A55,Backlog!$C$2:$C$1564,"Story")</f>
        <v/>
      </c>
      <c r="F55">
        <f>SUMIFS(Backlog!$K$2:$K$1564,Backlog!$J$2:$J$1564,$A55,Backlog!$C$2:$C$1564,"Story")</f>
        <v/>
      </c>
      <c r="G55">
        <f>COUNTIFS(Backlog!$J$2:$J$1564,$A55,Backlog!$C$2:$C$1564,"Story",Backlog!$I$2:$I$1564,"Done")</f>
        <v/>
      </c>
      <c r="H55">
        <f>COUNTIFS(Backlog!$J$2:$J$1564,$A55,Backlog!$C$2:$C$1564,"Story",Backlog!$I$2:$I$1564,"Active")</f>
        <v/>
      </c>
      <c r="I55">
        <f>COUNTIFS(Backlog!$J$2:$J$1564,$A55,Backlog!$C$2:$C$1564,"Story",Backlog!$I$2:$I$1564,"New")</f>
        <v/>
      </c>
      <c r="J55" s="6">
        <f>IF(F55=0,"",SUMIFS(Backlog!$K$2:$K$1564,Backlog!$J$2:$J$1564,$A55,Backlog!$C$2:$C$1564,"Story",Backlog!$I$2:$I$1564,"Done")/F55)</f>
        <v/>
      </c>
    </row>
    <row r="56">
      <c r="A56" t="inlineStr">
        <is>
          <t>Step 5 · before paid pilot</t>
        </is>
      </c>
      <c r="B56" t="inlineStr">
        <is>
          <t>Step 5</t>
        </is>
      </c>
      <c r="C56" t="n">
        <v>790</v>
      </c>
      <c r="D56" s="5" t="inlineStr">
        <is>
          <t>Platform services</t>
        </is>
      </c>
      <c r="E56">
        <f>COUNTIFS(Backlog!$J$2:$J$1564,$A56,Backlog!$C$2:$C$1564,"Story")</f>
        <v/>
      </c>
      <c r="F56">
        <f>SUMIFS(Backlog!$K$2:$K$1564,Backlog!$J$2:$J$1564,$A56,Backlog!$C$2:$C$1564,"Story")</f>
        <v/>
      </c>
      <c r="G56">
        <f>COUNTIFS(Backlog!$J$2:$J$1564,$A56,Backlog!$C$2:$C$1564,"Story",Backlog!$I$2:$I$1564,"Done")</f>
        <v/>
      </c>
      <c r="H56">
        <f>COUNTIFS(Backlog!$J$2:$J$1564,$A56,Backlog!$C$2:$C$1564,"Story",Backlog!$I$2:$I$1564,"Active")</f>
        <v/>
      </c>
      <c r="I56">
        <f>COUNTIFS(Backlog!$J$2:$J$1564,$A56,Backlog!$C$2:$C$1564,"Story",Backlog!$I$2:$I$1564,"New")</f>
        <v/>
      </c>
      <c r="J56" s="6">
        <f>IF(F56=0,"",SUMIFS(Backlog!$K$2:$K$1564,Backlog!$J$2:$J$1564,$A56,Backlog!$C$2:$C$1564,"Story",Backlog!$I$2:$I$1564,"Done")/F56)</f>
        <v/>
      </c>
    </row>
    <row r="57">
      <c r="A57" t="inlineStr">
        <is>
          <t>Before public launch</t>
        </is>
      </c>
      <c r="B57" t="inlineStr">
        <is>
          <t>Step 5</t>
        </is>
      </c>
      <c r="C57" t="n">
        <v>793</v>
      </c>
      <c r="D57" s="5" t="inlineStr">
        <is>
          <t>Platform services</t>
        </is>
      </c>
      <c r="E57">
        <f>COUNTIFS(Backlog!$J$2:$J$1564,$A57,Backlog!$C$2:$C$1564,"Story")</f>
        <v/>
      </c>
      <c r="F57">
        <f>SUMIFS(Backlog!$K$2:$K$1564,Backlog!$J$2:$J$1564,$A57,Backlog!$C$2:$C$1564,"Story")</f>
        <v/>
      </c>
      <c r="G57">
        <f>COUNTIFS(Backlog!$J$2:$J$1564,$A57,Backlog!$C$2:$C$1564,"Story",Backlog!$I$2:$I$1564,"Done")</f>
        <v/>
      </c>
      <c r="H57">
        <f>COUNTIFS(Backlog!$J$2:$J$1564,$A57,Backlog!$C$2:$C$1564,"Story",Backlog!$I$2:$I$1564,"Active")</f>
        <v/>
      </c>
      <c r="I57">
        <f>COUNTIFS(Backlog!$J$2:$J$1564,$A57,Backlog!$C$2:$C$1564,"Story",Backlog!$I$2:$I$1564,"New")</f>
        <v/>
      </c>
      <c r="J57" s="6">
        <f>IF(F57=0,"",SUMIFS(Backlog!$K$2:$K$1564,Backlog!$J$2:$J$1564,$A57,Backlog!$C$2:$C$1564,"Story",Backlog!$I$2:$I$1564,"Done")/F57)</f>
        <v/>
      </c>
    </row>
    <row r="58">
      <c r="A58" t="inlineStr">
        <is>
          <t>Wave 2 · Mobile app</t>
        </is>
      </c>
      <c r="B58" t="inlineStr">
        <is>
          <t>Step 6+ HR modules</t>
        </is>
      </c>
      <c r="C58" t="n">
        <v>801</v>
      </c>
      <c r="D58" s="5" t="inlineStr">
        <is>
          <t>Mobile app for employees and managers</t>
        </is>
      </c>
      <c r="E58">
        <f>COUNTIFS(Backlog!$J$2:$J$1564,$A58,Backlog!$C$2:$C$1564,"Story")</f>
        <v/>
      </c>
      <c r="F58">
        <f>SUMIFS(Backlog!$K$2:$K$1564,Backlog!$J$2:$J$1564,$A58,Backlog!$C$2:$C$1564,"Story")</f>
        <v/>
      </c>
      <c r="G58">
        <f>COUNTIFS(Backlog!$J$2:$J$1564,$A58,Backlog!$C$2:$C$1564,"Story",Backlog!$I$2:$I$1564,"Done")</f>
        <v/>
      </c>
      <c r="H58">
        <f>COUNTIFS(Backlog!$J$2:$J$1564,$A58,Backlog!$C$2:$C$1564,"Story",Backlog!$I$2:$I$1564,"Active")</f>
        <v/>
      </c>
      <c r="I58">
        <f>COUNTIFS(Backlog!$J$2:$J$1564,$A58,Backlog!$C$2:$C$1564,"Story",Backlog!$I$2:$I$1564,"New")</f>
        <v/>
      </c>
      <c r="J58" s="6">
        <f>IF(F58=0,"",SUMIFS(Backlog!$K$2:$K$1564,Backlog!$J$2:$J$1564,$A58,Backlog!$C$2:$C$1564,"Story",Backlog!$I$2:$I$1564,"Done")/F58)</f>
        <v/>
      </c>
    </row>
    <row r="59">
      <c r="A59" t="inlineStr">
        <is>
          <t>Step 6+</t>
        </is>
      </c>
      <c r="B59" t="inlineStr">
        <is>
          <t>Step 6+ HR modules</t>
        </is>
      </c>
      <c r="C59" t="n">
        <v>811</v>
      </c>
      <c r="D59" s="5" t="inlineStr">
        <is>
          <t>Design docs and UI prototype; Later steps · rules from the step 0–2 docs</t>
        </is>
      </c>
      <c r="E59">
        <f>COUNTIFS(Backlog!$J$2:$J$1564,$A59,Backlog!$C$2:$C$1564,"Story")</f>
        <v/>
      </c>
      <c r="F59">
        <f>SUMIFS(Backlog!$K$2:$K$1564,Backlog!$J$2:$J$1564,$A59,Backlog!$C$2:$C$1564,"Story")</f>
        <v/>
      </c>
      <c r="G59">
        <f>COUNTIFS(Backlog!$J$2:$J$1564,$A59,Backlog!$C$2:$C$1564,"Story",Backlog!$I$2:$I$1564,"Done")</f>
        <v/>
      </c>
      <c r="H59">
        <f>COUNTIFS(Backlog!$J$2:$J$1564,$A59,Backlog!$C$2:$C$1564,"Story",Backlog!$I$2:$I$1564,"Active")</f>
        <v/>
      </c>
      <c r="I59">
        <f>COUNTIFS(Backlog!$J$2:$J$1564,$A59,Backlog!$C$2:$C$1564,"Story",Backlog!$I$2:$I$1564,"New")</f>
        <v/>
      </c>
      <c r="J59" s="6">
        <f>IF(F59=0,"",SUMIFS(Backlog!$K$2:$K$1564,Backlog!$J$2:$J$1564,$A59,Backlog!$C$2:$C$1564,"Story",Backlog!$I$2:$I$1564,"Done")/F59)</f>
        <v/>
      </c>
    </row>
    <row r="60">
      <c r="A60" t="inlineStr">
        <is>
          <t>Step 6+ (HR modules)</t>
        </is>
      </c>
      <c r="B60" t="inlineStr">
        <is>
          <t>Step 6+ HR modules</t>
        </is>
      </c>
      <c r="C60" t="n">
        <v>820</v>
      </c>
      <c r="D60" s="5" t="inlineStr">
        <is>
          <t>Platform services</t>
        </is>
      </c>
      <c r="E60">
        <f>COUNTIFS(Backlog!$J$2:$J$1564,$A60,Backlog!$C$2:$C$1564,"Story")</f>
        <v/>
      </c>
      <c r="F60">
        <f>SUMIFS(Backlog!$K$2:$K$1564,Backlog!$J$2:$J$1564,$A60,Backlog!$C$2:$C$1564,"Story")</f>
        <v/>
      </c>
      <c r="G60">
        <f>COUNTIFS(Backlog!$J$2:$J$1564,$A60,Backlog!$C$2:$C$1564,"Story",Backlog!$I$2:$I$1564,"Done")</f>
        <v/>
      </c>
      <c r="H60">
        <f>COUNTIFS(Backlog!$J$2:$J$1564,$A60,Backlog!$C$2:$C$1564,"Story",Backlog!$I$2:$I$1564,"Active")</f>
        <v/>
      </c>
      <c r="I60">
        <f>COUNTIFS(Backlog!$J$2:$J$1564,$A60,Backlog!$C$2:$C$1564,"Story",Backlog!$I$2:$I$1564,"New")</f>
        <v/>
      </c>
      <c r="J60" s="6">
        <f>IF(F60=0,"",SUMIFS(Backlog!$K$2:$K$1564,Backlog!$J$2:$J$1564,$A60,Backlog!$C$2:$C$1564,"Story",Backlog!$I$2:$I$1564,"Done")/F60)</f>
        <v/>
      </c>
    </row>
    <row r="61">
      <c r="A61" t="inlineStr">
        <is>
          <t>Wave 3 · Mobile app</t>
        </is>
      </c>
      <c r="B61" t="inlineStr">
        <is>
          <t>Step 6+ HR modules</t>
        </is>
      </c>
      <c r="C61" t="n">
        <v>841</v>
      </c>
      <c r="D61" s="5" t="inlineStr">
        <is>
          <t>Mobile app for employees and managers</t>
        </is>
      </c>
      <c r="E61">
        <f>COUNTIFS(Backlog!$J$2:$J$1564,$A61,Backlog!$C$2:$C$1564,"Story")</f>
        <v/>
      </c>
      <c r="F61">
        <f>SUMIFS(Backlog!$K$2:$K$1564,Backlog!$J$2:$J$1564,$A61,Backlog!$C$2:$C$1564,"Story")</f>
        <v/>
      </c>
      <c r="G61">
        <f>COUNTIFS(Backlog!$J$2:$J$1564,$A61,Backlog!$C$2:$C$1564,"Story",Backlog!$I$2:$I$1564,"Done")</f>
        <v/>
      </c>
      <c r="H61">
        <f>COUNTIFS(Backlog!$J$2:$J$1564,$A61,Backlog!$C$2:$C$1564,"Story",Backlog!$I$2:$I$1564,"Active")</f>
        <v/>
      </c>
      <c r="I61">
        <f>COUNTIFS(Backlog!$J$2:$J$1564,$A61,Backlog!$C$2:$C$1564,"Story",Backlog!$I$2:$I$1564,"New")</f>
        <v/>
      </c>
      <c r="J61" s="6">
        <f>IF(F61=0,"",SUMIFS(Backlog!$K$2:$K$1564,Backlog!$J$2:$J$1564,$A61,Backlog!$C$2:$C$1564,"Story",Backlog!$I$2:$I$1564,"Done")/F61)</f>
        <v/>
      </c>
    </row>
    <row r="62">
      <c r="A62" t="inlineStr">
        <is>
          <t>Wave 3 · Benefits</t>
        </is>
      </c>
      <c r="B62" t="inlineStr">
        <is>
          <t>Step 6+ HR modules</t>
        </is>
      </c>
      <c r="C62" t="n">
        <v>851</v>
      </c>
      <c r="D62" s="5" t="inlineStr">
        <is>
          <t>Benefits administration and flexible benefit plan</t>
        </is>
      </c>
      <c r="E62">
        <f>COUNTIFS(Backlog!$J$2:$J$1564,$A62,Backlog!$C$2:$C$1564,"Story")</f>
        <v/>
      </c>
      <c r="F62">
        <f>SUMIFS(Backlog!$K$2:$K$1564,Backlog!$J$2:$J$1564,$A62,Backlog!$C$2:$C$1564,"Story")</f>
        <v/>
      </c>
      <c r="G62">
        <f>COUNTIFS(Backlog!$J$2:$J$1564,$A62,Backlog!$C$2:$C$1564,"Story",Backlog!$I$2:$I$1564,"Done")</f>
        <v/>
      </c>
      <c r="H62">
        <f>COUNTIFS(Backlog!$J$2:$J$1564,$A62,Backlog!$C$2:$C$1564,"Story",Backlog!$I$2:$I$1564,"Active")</f>
        <v/>
      </c>
      <c r="I62">
        <f>COUNTIFS(Backlog!$J$2:$J$1564,$A62,Backlog!$C$2:$C$1564,"Story",Backlog!$I$2:$I$1564,"New")</f>
        <v/>
      </c>
      <c r="J62" s="6">
        <f>IF(F62=0,"",SUMIFS(Backlog!$K$2:$K$1564,Backlog!$J$2:$J$1564,$A62,Backlog!$C$2:$C$1564,"Story",Backlog!$I$2:$I$1564,"Done")/F62)</f>
        <v/>
      </c>
    </row>
    <row r="63">
      <c r="A63" t="inlineStr">
        <is>
          <t>Wave 3 · Record extensions</t>
        </is>
      </c>
      <c r="B63" t="inlineStr">
        <is>
          <t>Step 6+ HR modules</t>
        </is>
      </c>
      <c r="C63" t="n">
        <v>852</v>
      </c>
      <c r="D63" s="5" t="inlineStr">
        <is>
          <t>Employee record extensions · diversity, unions, re-verification, regulated declarations (M01 §3.11)</t>
        </is>
      </c>
      <c r="E63">
        <f>COUNTIFS(Backlog!$J$2:$J$1564,$A63,Backlog!$C$2:$C$1564,"Story")</f>
        <v/>
      </c>
      <c r="F63">
        <f>SUMIFS(Backlog!$K$2:$K$1564,Backlog!$J$2:$J$1564,$A63,Backlog!$C$2:$C$1564,"Story")</f>
        <v/>
      </c>
      <c r="G63">
        <f>COUNTIFS(Backlog!$J$2:$J$1564,$A63,Backlog!$C$2:$C$1564,"Story",Backlog!$I$2:$I$1564,"Done")</f>
        <v/>
      </c>
      <c r="H63">
        <f>COUNTIFS(Backlog!$J$2:$J$1564,$A63,Backlog!$C$2:$C$1564,"Story",Backlog!$I$2:$I$1564,"Active")</f>
        <v/>
      </c>
      <c r="I63">
        <f>COUNTIFS(Backlog!$J$2:$J$1564,$A63,Backlog!$C$2:$C$1564,"Story",Backlog!$I$2:$I$1564,"New")</f>
        <v/>
      </c>
      <c r="J63" s="6">
        <f>IF(F63=0,"",SUMIFS(Backlog!$K$2:$K$1564,Backlog!$J$2:$J$1564,$A63,Backlog!$C$2:$C$1564,"Story",Backlog!$I$2:$I$1564,"Done")/F63)</f>
        <v/>
      </c>
    </row>
    <row r="64">
      <c r="A64" t="inlineStr">
        <is>
          <t>Wave 4 · Record extensions</t>
        </is>
      </c>
      <c r="B64" t="inlineStr">
        <is>
          <t>Step 6+ HR modules</t>
        </is>
      </c>
      <c r="C64" t="n">
        <v>901</v>
      </c>
      <c r="D64" s="5" t="inlineStr">
        <is>
          <t>Employee record extensions · diversity, unions, re-verification, regulated declarations (M01 §3.11)</t>
        </is>
      </c>
      <c r="E64">
        <f>COUNTIFS(Backlog!$J$2:$J$1564,$A64,Backlog!$C$2:$C$1564,"Story")</f>
        <v/>
      </c>
      <c r="F64">
        <f>SUMIFS(Backlog!$K$2:$K$1564,Backlog!$J$2:$J$1564,$A64,Backlog!$C$2:$C$1564,"Story")</f>
        <v/>
      </c>
      <c r="G64">
        <f>COUNTIFS(Backlog!$J$2:$J$1564,$A64,Backlog!$C$2:$C$1564,"Story",Backlog!$I$2:$I$1564,"Done")</f>
        <v/>
      </c>
      <c r="H64">
        <f>COUNTIFS(Backlog!$J$2:$J$1564,$A64,Backlog!$C$2:$C$1564,"Story",Backlog!$I$2:$I$1564,"Active")</f>
        <v/>
      </c>
      <c r="I64">
        <f>COUNTIFS(Backlog!$J$2:$J$1564,$A64,Backlog!$C$2:$C$1564,"Story",Backlog!$I$2:$I$1564,"New")</f>
        <v/>
      </c>
      <c r="J64" s="6">
        <f>IF(F64=0,"",SUMIFS(Backlog!$K$2:$K$1564,Backlog!$J$2:$J$1564,$A64,Backlog!$C$2:$C$1564,"Story",Backlog!$I$2:$I$1564,"Done")/F64)</f>
        <v/>
      </c>
    </row>
    <row r="65">
      <c r="A65" t="inlineStr">
        <is>
          <t>Wave 4 · Lifecycle</t>
        </is>
      </c>
      <c r="B65" t="inlineStr">
        <is>
          <t>Step 6+ HR modules</t>
        </is>
      </c>
      <c r="C65" t="n">
        <v>901</v>
      </c>
      <c r="D65" s="5" t="inlineStr">
        <is>
          <t>Employee lifecycle: onboarding, exit and F&amp;F</t>
        </is>
      </c>
      <c r="E65">
        <f>COUNTIFS(Backlog!$J$2:$J$1564,$A65,Backlog!$C$2:$C$1564,"Story")</f>
        <v/>
      </c>
      <c r="F65">
        <f>SUMIFS(Backlog!$K$2:$K$1564,Backlog!$J$2:$J$1564,$A65,Backlog!$C$2:$C$1564,"Story")</f>
        <v/>
      </c>
      <c r="G65">
        <f>COUNTIFS(Backlog!$J$2:$J$1564,$A65,Backlog!$C$2:$C$1564,"Story",Backlog!$I$2:$I$1564,"Done")</f>
        <v/>
      </c>
      <c r="H65">
        <f>COUNTIFS(Backlog!$J$2:$J$1564,$A65,Backlog!$C$2:$C$1564,"Story",Backlog!$I$2:$I$1564,"Active")</f>
        <v/>
      </c>
      <c r="I65">
        <f>COUNTIFS(Backlog!$J$2:$J$1564,$A65,Backlog!$C$2:$C$1564,"Story",Backlog!$I$2:$I$1564,"New")</f>
        <v/>
      </c>
      <c r="J65" s="6">
        <f>IF(F65=0,"",SUMIFS(Backlog!$K$2:$K$1564,Backlog!$J$2:$J$1564,$A65,Backlog!$C$2:$C$1564,"Story",Backlog!$I$2:$I$1564,"Done")/F65)</f>
        <v/>
      </c>
    </row>
    <row r="66">
      <c r="A66" t="inlineStr">
        <is>
          <t>Wave 4 · Cases &amp; policies</t>
        </is>
      </c>
      <c r="B66" t="inlineStr">
        <is>
          <t>Step 6+ HR modules</t>
        </is>
      </c>
      <c r="C66" t="n">
        <v>1031</v>
      </c>
      <c r="D66" s="5" t="inlineStr">
        <is>
          <t>Cases and policies: POSH, accidents, grievance, disciplinary, whistleblower</t>
        </is>
      </c>
      <c r="E66">
        <f>COUNTIFS(Backlog!$J$2:$J$1564,$A66,Backlog!$C$2:$C$1564,"Story")</f>
        <v/>
      </c>
      <c r="F66">
        <f>SUMIFS(Backlog!$K$2:$K$1564,Backlog!$J$2:$J$1564,$A66,Backlog!$C$2:$C$1564,"Story")</f>
        <v/>
      </c>
      <c r="G66">
        <f>COUNTIFS(Backlog!$J$2:$J$1564,$A66,Backlog!$C$2:$C$1564,"Story",Backlog!$I$2:$I$1564,"Done")</f>
        <v/>
      </c>
      <c r="H66">
        <f>COUNTIFS(Backlog!$J$2:$J$1564,$A66,Backlog!$C$2:$C$1564,"Story",Backlog!$I$2:$I$1564,"Active")</f>
        <v/>
      </c>
      <c r="I66">
        <f>COUNTIFS(Backlog!$J$2:$J$1564,$A66,Backlog!$C$2:$C$1564,"Story",Backlog!$I$2:$I$1564,"New")</f>
        <v/>
      </c>
      <c r="J66" s="6">
        <f>IF(F66=0,"",SUMIFS(Backlog!$K$2:$K$1564,Backlog!$J$2:$J$1564,$A66,Backlog!$C$2:$C$1564,"Story",Backlog!$I$2:$I$1564,"Done")/F66)</f>
        <v/>
      </c>
    </row>
    <row r="67">
      <c r="A67" t="inlineStr">
        <is>
          <t>Wave 4 · Contract labour</t>
        </is>
      </c>
      <c r="B67" t="inlineStr">
        <is>
          <t>Step 6+ HR modules</t>
        </is>
      </c>
      <c r="C67" t="n">
        <v>1081</v>
      </c>
      <c r="D67" s="5" t="inlineStr">
        <is>
          <t>Contract labour (CLRA / OSH Code) compliance</t>
        </is>
      </c>
      <c r="E67">
        <f>COUNTIFS(Backlog!$J$2:$J$1564,$A67,Backlog!$C$2:$C$1564,"Story")</f>
        <v/>
      </c>
      <c r="F67">
        <f>SUMIFS(Backlog!$K$2:$K$1564,Backlog!$J$2:$J$1564,$A67,Backlog!$C$2:$C$1564,"Story")</f>
        <v/>
      </c>
      <c r="G67">
        <f>COUNTIFS(Backlog!$J$2:$J$1564,$A67,Backlog!$C$2:$C$1564,"Story",Backlog!$I$2:$I$1564,"Done")</f>
        <v/>
      </c>
      <c r="H67">
        <f>COUNTIFS(Backlog!$J$2:$J$1564,$A67,Backlog!$C$2:$C$1564,"Story",Backlog!$I$2:$I$1564,"Active")</f>
        <v/>
      </c>
      <c r="I67">
        <f>COUNTIFS(Backlog!$J$2:$J$1564,$A67,Backlog!$C$2:$C$1564,"Story",Backlog!$I$2:$I$1564,"New")</f>
        <v/>
      </c>
      <c r="J67" s="6">
        <f>IF(F67=0,"",SUMIFS(Backlog!$K$2:$K$1564,Backlog!$J$2:$J$1564,$A67,Backlog!$C$2:$C$1564,"Story",Backlog!$I$2:$I$1564,"Done")/F67)</f>
        <v/>
      </c>
    </row>
    <row r="68">
      <c r="A68" t="inlineStr">
        <is>
          <t>Wave 5 · Expenses</t>
        </is>
      </c>
      <c r="B68" t="inlineStr">
        <is>
          <t>Step 6+ HR modules</t>
        </is>
      </c>
      <c r="C68" t="n">
        <v>1101</v>
      </c>
      <c r="D68" s="5" t="inlineStr">
        <is>
          <t>Expenses, advances and travel</t>
        </is>
      </c>
      <c r="E68">
        <f>COUNTIFS(Backlog!$J$2:$J$1564,$A68,Backlog!$C$2:$C$1564,"Story")</f>
        <v/>
      </c>
      <c r="F68">
        <f>SUMIFS(Backlog!$K$2:$K$1564,Backlog!$J$2:$J$1564,$A68,Backlog!$C$2:$C$1564,"Story")</f>
        <v/>
      </c>
      <c r="G68">
        <f>COUNTIFS(Backlog!$J$2:$J$1564,$A68,Backlog!$C$2:$C$1564,"Story",Backlog!$I$2:$I$1564,"Done")</f>
        <v/>
      </c>
      <c r="H68">
        <f>COUNTIFS(Backlog!$J$2:$J$1564,$A68,Backlog!$C$2:$C$1564,"Story",Backlog!$I$2:$I$1564,"Active")</f>
        <v/>
      </c>
      <c r="I68">
        <f>COUNTIFS(Backlog!$J$2:$J$1564,$A68,Backlog!$C$2:$C$1564,"Story",Backlog!$I$2:$I$1564,"New")</f>
        <v/>
      </c>
      <c r="J68" s="6">
        <f>IF(F68=0,"",SUMIFS(Backlog!$K$2:$K$1564,Backlog!$J$2:$J$1564,$A68,Backlog!$C$2:$C$1564,"Story",Backlog!$I$2:$I$1564,"Done")/F68)</f>
        <v/>
      </c>
    </row>
    <row r="69">
      <c r="A69" t="inlineStr">
        <is>
          <t>Wave 5 · Performance</t>
        </is>
      </c>
      <c r="B69" t="inlineStr">
        <is>
          <t>Step 6+ HR modules</t>
        </is>
      </c>
      <c r="C69" t="n">
        <v>1141</v>
      </c>
      <c r="D69" s="5" t="inlineStr">
        <is>
          <t>Performance, skills and career growth</t>
        </is>
      </c>
      <c r="E69">
        <f>COUNTIFS(Backlog!$J$2:$J$1564,$A69,Backlog!$C$2:$C$1564,"Story")</f>
        <v/>
      </c>
      <c r="F69">
        <f>SUMIFS(Backlog!$K$2:$K$1564,Backlog!$J$2:$J$1564,$A69,Backlog!$C$2:$C$1564,"Story")</f>
        <v/>
      </c>
      <c r="G69">
        <f>COUNTIFS(Backlog!$J$2:$J$1564,$A69,Backlog!$C$2:$C$1564,"Story",Backlog!$I$2:$I$1564,"Done")</f>
        <v/>
      </c>
      <c r="H69">
        <f>COUNTIFS(Backlog!$J$2:$J$1564,$A69,Backlog!$C$2:$C$1564,"Story",Backlog!$I$2:$I$1564,"Active")</f>
        <v/>
      </c>
      <c r="I69">
        <f>COUNTIFS(Backlog!$J$2:$J$1564,$A69,Backlog!$C$2:$C$1564,"Story",Backlog!$I$2:$I$1564,"New")</f>
        <v/>
      </c>
      <c r="J69" s="6">
        <f>IF(F69=0,"",SUMIFS(Backlog!$K$2:$K$1564,Backlog!$J$2:$J$1564,$A69,Backlog!$C$2:$C$1564,"Story",Backlog!$I$2:$I$1564,"Done")/F69)</f>
        <v/>
      </c>
    </row>
    <row r="70">
      <c r="A70" t="inlineStr">
        <is>
          <t>Wave 5 · Learning</t>
        </is>
      </c>
      <c r="B70" t="inlineStr">
        <is>
          <t>Step 6+ HR modules</t>
        </is>
      </c>
      <c r="C70" t="n">
        <v>1211</v>
      </c>
      <c r="D70" s="5" t="inlineStr">
        <is>
          <t>Learning and development</t>
        </is>
      </c>
      <c r="E70">
        <f>COUNTIFS(Backlog!$J$2:$J$1564,$A70,Backlog!$C$2:$C$1564,"Story")</f>
        <v/>
      </c>
      <c r="F70">
        <f>SUMIFS(Backlog!$K$2:$K$1564,Backlog!$J$2:$J$1564,$A70,Backlog!$C$2:$C$1564,"Story")</f>
        <v/>
      </c>
      <c r="G70">
        <f>COUNTIFS(Backlog!$J$2:$J$1564,$A70,Backlog!$C$2:$C$1564,"Story",Backlog!$I$2:$I$1564,"Done")</f>
        <v/>
      </c>
      <c r="H70">
        <f>COUNTIFS(Backlog!$J$2:$J$1564,$A70,Backlog!$C$2:$C$1564,"Story",Backlog!$I$2:$I$1564,"Active")</f>
        <v/>
      </c>
      <c r="I70">
        <f>COUNTIFS(Backlog!$J$2:$J$1564,$A70,Backlog!$C$2:$C$1564,"Story",Backlog!$I$2:$I$1564,"New")</f>
        <v/>
      </c>
      <c r="J70" s="6">
        <f>IF(F70=0,"",SUMIFS(Backlog!$K$2:$K$1564,Backlog!$J$2:$J$1564,$A70,Backlog!$C$2:$C$1564,"Story",Backlog!$I$2:$I$1564,"Done")/F70)</f>
        <v/>
      </c>
    </row>
    <row r="71">
      <c r="A71" t="inlineStr">
        <is>
          <t>Wave 5 · Cases &amp; policies</t>
        </is>
      </c>
      <c r="B71" t="inlineStr">
        <is>
          <t>Step 6+ HR modules</t>
        </is>
      </c>
      <c r="C71" t="n">
        <v>1271</v>
      </c>
      <c r="D71" s="5" t="inlineStr">
        <is>
          <t>Cases and policies: POSH, accidents, grievance, disciplinary, whistleblower</t>
        </is>
      </c>
      <c r="E71">
        <f>COUNTIFS(Backlog!$J$2:$J$1564,$A71,Backlog!$C$2:$C$1564,"Story")</f>
        <v/>
      </c>
      <c r="F71">
        <f>SUMIFS(Backlog!$K$2:$K$1564,Backlog!$J$2:$J$1564,$A71,Backlog!$C$2:$C$1564,"Story")</f>
        <v/>
      </c>
      <c r="G71">
        <f>COUNTIFS(Backlog!$J$2:$J$1564,$A71,Backlog!$C$2:$C$1564,"Story",Backlog!$I$2:$I$1564,"Done")</f>
        <v/>
      </c>
      <c r="H71">
        <f>COUNTIFS(Backlog!$J$2:$J$1564,$A71,Backlog!$C$2:$C$1564,"Story",Backlog!$I$2:$I$1564,"Active")</f>
        <v/>
      </c>
      <c r="I71">
        <f>COUNTIFS(Backlog!$J$2:$J$1564,$A71,Backlog!$C$2:$C$1564,"Story",Backlog!$I$2:$I$1564,"New")</f>
        <v/>
      </c>
      <c r="J71" s="6">
        <f>IF(F71=0,"",SUMIFS(Backlog!$K$2:$K$1564,Backlog!$J$2:$J$1564,$A71,Backlog!$C$2:$C$1564,"Story",Backlog!$I$2:$I$1564,"Done")/F71)</f>
        <v/>
      </c>
    </row>
    <row r="72">
      <c r="A72" t="inlineStr">
        <is>
          <t>Wave 5 · Engage</t>
        </is>
      </c>
      <c r="B72" t="inlineStr">
        <is>
          <t>Step 6+ HR modules</t>
        </is>
      </c>
      <c r="C72" t="n">
        <v>1301</v>
      </c>
      <c r="D72" s="5" t="inlineStr">
        <is>
          <t>Engage: feed, recognition and surveys</t>
        </is>
      </c>
      <c r="E72">
        <f>COUNTIFS(Backlog!$J$2:$J$1564,$A72,Backlog!$C$2:$C$1564,"Story")</f>
        <v/>
      </c>
      <c r="F72">
        <f>SUMIFS(Backlog!$K$2:$K$1564,Backlog!$J$2:$J$1564,$A72,Backlog!$C$2:$C$1564,"Story")</f>
        <v/>
      </c>
      <c r="G72">
        <f>COUNTIFS(Backlog!$J$2:$J$1564,$A72,Backlog!$C$2:$C$1564,"Story",Backlog!$I$2:$I$1564,"Done")</f>
        <v/>
      </c>
      <c r="H72">
        <f>COUNTIFS(Backlog!$J$2:$J$1564,$A72,Backlog!$C$2:$C$1564,"Story",Backlog!$I$2:$I$1564,"Active")</f>
        <v/>
      </c>
      <c r="I72">
        <f>COUNTIFS(Backlog!$J$2:$J$1564,$A72,Backlog!$C$2:$C$1564,"Story",Backlog!$I$2:$I$1564,"New")</f>
        <v/>
      </c>
      <c r="J72" s="6">
        <f>IF(F72=0,"",SUMIFS(Backlog!$K$2:$K$1564,Backlog!$J$2:$J$1564,$A72,Backlog!$C$2:$C$1564,"Story",Backlog!$I$2:$I$1564,"Done")/F72)</f>
        <v/>
      </c>
    </row>
    <row r="73">
      <c r="A73" t="inlineStr">
        <is>
          <t>Wave 5 · Projects</t>
        </is>
      </c>
      <c r="B73" t="inlineStr">
        <is>
          <t>Step 6+ HR modules</t>
        </is>
      </c>
      <c r="C73" t="n">
        <v>1331</v>
      </c>
      <c r="D73" s="5" t="inlineStr">
        <is>
          <t>Projects, timesheets and client billing</t>
        </is>
      </c>
      <c r="E73">
        <f>COUNTIFS(Backlog!$J$2:$J$1564,$A73,Backlog!$C$2:$C$1564,"Story")</f>
        <v/>
      </c>
      <c r="F73">
        <f>SUMIFS(Backlog!$K$2:$K$1564,Backlog!$J$2:$J$1564,$A73,Backlog!$C$2:$C$1564,"Story")</f>
        <v/>
      </c>
      <c r="G73">
        <f>COUNTIFS(Backlog!$J$2:$J$1564,$A73,Backlog!$C$2:$C$1564,"Story",Backlog!$I$2:$I$1564,"Done")</f>
        <v/>
      </c>
      <c r="H73">
        <f>COUNTIFS(Backlog!$J$2:$J$1564,$A73,Backlog!$C$2:$C$1564,"Story",Backlog!$I$2:$I$1564,"Active")</f>
        <v/>
      </c>
      <c r="I73">
        <f>COUNTIFS(Backlog!$J$2:$J$1564,$A73,Backlog!$C$2:$C$1564,"Story",Backlog!$I$2:$I$1564,"New")</f>
        <v/>
      </c>
      <c r="J73" s="6">
        <f>IF(F73=0,"",SUMIFS(Backlog!$K$2:$K$1564,Backlog!$J$2:$J$1564,$A73,Backlog!$C$2:$C$1564,"Story",Backlog!$I$2:$I$1564,"Done")/F73)</f>
        <v/>
      </c>
    </row>
    <row r="74">
      <c r="A74" t="inlineStr">
        <is>
          <t>Wave 5 · Contract labour</t>
        </is>
      </c>
      <c r="B74" t="inlineStr">
        <is>
          <t>Step 6+ HR modules</t>
        </is>
      </c>
      <c r="C74" t="n">
        <v>1391</v>
      </c>
      <c r="D74" s="5" t="inlineStr">
        <is>
          <t>Contract labour (CLRA / OSH Code) compliance</t>
        </is>
      </c>
      <c r="E74">
        <f>COUNTIFS(Backlog!$J$2:$J$1564,$A74,Backlog!$C$2:$C$1564,"Story")</f>
        <v/>
      </c>
      <c r="F74">
        <f>SUMIFS(Backlog!$K$2:$K$1564,Backlog!$J$2:$J$1564,$A74,Backlog!$C$2:$C$1564,"Story")</f>
        <v/>
      </c>
      <c r="G74">
        <f>COUNTIFS(Backlog!$J$2:$J$1564,$A74,Backlog!$C$2:$C$1564,"Story",Backlog!$I$2:$I$1564,"Done")</f>
        <v/>
      </c>
      <c r="H74">
        <f>COUNTIFS(Backlog!$J$2:$J$1564,$A74,Backlog!$C$2:$C$1564,"Story",Backlog!$I$2:$I$1564,"Active")</f>
        <v/>
      </c>
      <c r="I74">
        <f>COUNTIFS(Backlog!$J$2:$J$1564,$A74,Backlog!$C$2:$C$1564,"Story",Backlog!$I$2:$I$1564,"New")</f>
        <v/>
      </c>
      <c r="J74" s="6">
        <f>IF(F74=0,"",SUMIFS(Backlog!$K$2:$K$1564,Backlog!$J$2:$J$1564,$A74,Backlog!$C$2:$C$1564,"Story",Backlog!$I$2:$I$1564,"Done")/F74)</f>
        <v/>
      </c>
    </row>
    <row r="75">
      <c r="A75" t="inlineStr">
        <is>
          <t>Wave 6 · Record extensions</t>
        </is>
      </c>
      <c r="B75" t="inlineStr">
        <is>
          <t>Step 6+ HR modules</t>
        </is>
      </c>
      <c r="C75" t="n">
        <v>1401</v>
      </c>
      <c r="D75" s="5" t="inlineStr">
        <is>
          <t>Employee record extensions · diversity, unions, re-verification, regulated declarations (M01 §3.11)</t>
        </is>
      </c>
      <c r="E75">
        <f>COUNTIFS(Backlog!$J$2:$J$1564,$A75,Backlog!$C$2:$C$1564,"Story")</f>
        <v/>
      </c>
      <c r="F75">
        <f>SUMIFS(Backlog!$K$2:$K$1564,Backlog!$J$2:$J$1564,$A75,Backlog!$C$2:$C$1564,"Story")</f>
        <v/>
      </c>
      <c r="G75">
        <f>COUNTIFS(Backlog!$J$2:$J$1564,$A75,Backlog!$C$2:$C$1564,"Story",Backlog!$I$2:$I$1564,"Done")</f>
        <v/>
      </c>
      <c r="H75">
        <f>COUNTIFS(Backlog!$J$2:$J$1564,$A75,Backlog!$C$2:$C$1564,"Story",Backlog!$I$2:$I$1564,"Active")</f>
        <v/>
      </c>
      <c r="I75">
        <f>COUNTIFS(Backlog!$J$2:$J$1564,$A75,Backlog!$C$2:$C$1564,"Story",Backlog!$I$2:$I$1564,"New")</f>
        <v/>
      </c>
      <c r="J75" s="6">
        <f>IF(F75=0,"",SUMIFS(Backlog!$K$2:$K$1564,Backlog!$J$2:$J$1564,$A75,Backlog!$C$2:$C$1564,"Story",Backlog!$I$2:$I$1564,"Done")/F75)</f>
        <v/>
      </c>
    </row>
    <row r="76">
      <c r="A76" t="inlineStr">
        <is>
          <t>Wave 5 · Mobile app</t>
        </is>
      </c>
      <c r="B76" t="inlineStr">
        <is>
          <t>Step 6+ HR modules</t>
        </is>
      </c>
      <c r="C76" t="n">
        <v>1431</v>
      </c>
      <c r="D76" s="5" t="inlineStr">
        <is>
          <t>Mobile app for employees and managers</t>
        </is>
      </c>
      <c r="E76">
        <f>COUNTIFS(Backlog!$J$2:$J$1564,$A76,Backlog!$C$2:$C$1564,"Story")</f>
        <v/>
      </c>
      <c r="F76">
        <f>SUMIFS(Backlog!$K$2:$K$1564,Backlog!$J$2:$J$1564,$A76,Backlog!$C$2:$C$1564,"Story")</f>
        <v/>
      </c>
      <c r="G76">
        <f>COUNTIFS(Backlog!$J$2:$J$1564,$A76,Backlog!$C$2:$C$1564,"Story",Backlog!$I$2:$I$1564,"Done")</f>
        <v/>
      </c>
      <c r="H76">
        <f>COUNTIFS(Backlog!$J$2:$J$1564,$A76,Backlog!$C$2:$C$1564,"Story",Backlog!$I$2:$I$1564,"Active")</f>
        <v/>
      </c>
      <c r="I76">
        <f>COUNTIFS(Backlog!$J$2:$J$1564,$A76,Backlog!$C$2:$C$1564,"Story",Backlog!$I$2:$I$1564,"New")</f>
        <v/>
      </c>
      <c r="J76" s="6">
        <f>IF(F76=0,"",SUMIFS(Backlog!$K$2:$K$1564,Backlog!$J$2:$J$1564,$A76,Backlog!$C$2:$C$1564,"Story",Backlog!$I$2:$I$1564,"Done")/F76)</f>
        <v/>
      </c>
    </row>
    <row r="77">
      <c r="A77" t="inlineStr">
        <is>
          <t>Global readiness</t>
        </is>
      </c>
      <c r="B77" t="inlineStr">
        <is>
          <t>Step 6+ HR modules</t>
        </is>
      </c>
      <c r="C77" t="n">
        <v>1450</v>
      </c>
      <c r="D77" s="5" t="inlineStr">
        <is>
          <t>Platform services</t>
        </is>
      </c>
      <c r="E77">
        <f>COUNTIFS(Backlog!$J$2:$J$1564,$A77,Backlog!$C$2:$C$1564,"Story")</f>
        <v/>
      </c>
      <c r="F77">
        <f>SUMIFS(Backlog!$K$2:$K$1564,Backlog!$J$2:$J$1564,$A77,Backlog!$C$2:$C$1564,"Story")</f>
        <v/>
      </c>
      <c r="G77">
        <f>COUNTIFS(Backlog!$J$2:$J$1564,$A77,Backlog!$C$2:$C$1564,"Story",Backlog!$I$2:$I$1564,"Done")</f>
        <v/>
      </c>
      <c r="H77">
        <f>COUNTIFS(Backlog!$J$2:$J$1564,$A77,Backlog!$C$2:$C$1564,"Story",Backlog!$I$2:$I$1564,"Active")</f>
        <v/>
      </c>
      <c r="I77">
        <f>COUNTIFS(Backlog!$J$2:$J$1564,$A77,Backlog!$C$2:$C$1564,"Story",Backlog!$I$2:$I$1564,"New")</f>
        <v/>
      </c>
      <c r="J77" s="6">
        <f>IF(F77=0,"",SUMIFS(Backlog!$K$2:$K$1564,Backlog!$J$2:$J$1564,$A77,Backlog!$C$2:$C$1564,"Story",Backlog!$I$2:$I$1564,"Done")/F77)</f>
        <v/>
      </c>
    </row>
    <row r="78">
      <c r="A78" t="inlineStr">
        <is>
          <t>Wave 6 · Performance</t>
        </is>
      </c>
      <c r="B78" t="inlineStr">
        <is>
          <t>Step 6+ HR modules</t>
        </is>
      </c>
      <c r="C78" t="n">
        <v>1451</v>
      </c>
      <c r="D78" s="5" t="inlineStr">
        <is>
          <t>Performance, skills and career growth</t>
        </is>
      </c>
      <c r="E78">
        <f>COUNTIFS(Backlog!$J$2:$J$1564,$A78,Backlog!$C$2:$C$1564,"Story")</f>
        <v/>
      </c>
      <c r="F78">
        <f>SUMIFS(Backlog!$K$2:$K$1564,Backlog!$J$2:$J$1564,$A78,Backlog!$C$2:$C$1564,"Story")</f>
        <v/>
      </c>
      <c r="G78">
        <f>COUNTIFS(Backlog!$J$2:$J$1564,$A78,Backlog!$C$2:$C$1564,"Story",Backlog!$I$2:$I$1564,"Done")</f>
        <v/>
      </c>
      <c r="H78">
        <f>COUNTIFS(Backlog!$J$2:$J$1564,$A78,Backlog!$C$2:$C$1564,"Story",Backlog!$I$2:$I$1564,"Active")</f>
        <v/>
      </c>
      <c r="I78">
        <f>COUNTIFS(Backlog!$J$2:$J$1564,$A78,Backlog!$C$2:$C$1564,"Story",Backlog!$I$2:$I$1564,"New")</f>
        <v/>
      </c>
      <c r="J78" s="6">
        <f>IF(F78=0,"",SUMIFS(Backlog!$K$2:$K$1564,Backlog!$J$2:$J$1564,$A78,Backlog!$C$2:$C$1564,"Story",Backlog!$I$2:$I$1564,"Done")/F78)</f>
        <v/>
      </c>
    </row>
    <row r="79">
      <c r="A79" t="inlineStr">
        <is>
          <t>Wave 6 · Learning</t>
        </is>
      </c>
      <c r="B79" t="inlineStr">
        <is>
          <t>Step 6+ HR modules</t>
        </is>
      </c>
      <c r="C79" t="n">
        <v>1456</v>
      </c>
      <c r="D79" s="5" t="inlineStr">
        <is>
          <t>Learning and development</t>
        </is>
      </c>
      <c r="E79">
        <f>COUNTIFS(Backlog!$J$2:$J$1564,$A79,Backlog!$C$2:$C$1564,"Story")</f>
        <v/>
      </c>
      <c r="F79">
        <f>SUMIFS(Backlog!$K$2:$K$1564,Backlog!$J$2:$J$1564,$A79,Backlog!$C$2:$C$1564,"Story")</f>
        <v/>
      </c>
      <c r="G79">
        <f>COUNTIFS(Backlog!$J$2:$J$1564,$A79,Backlog!$C$2:$C$1564,"Story",Backlog!$I$2:$I$1564,"Done")</f>
        <v/>
      </c>
      <c r="H79">
        <f>COUNTIFS(Backlog!$J$2:$J$1564,$A79,Backlog!$C$2:$C$1564,"Story",Backlog!$I$2:$I$1564,"Active")</f>
        <v/>
      </c>
      <c r="I79">
        <f>COUNTIFS(Backlog!$J$2:$J$1564,$A79,Backlog!$C$2:$C$1564,"Story",Backlog!$I$2:$I$1564,"New")</f>
        <v/>
      </c>
      <c r="J79" s="6">
        <f>IF(F79=0,"",SUMIFS(Backlog!$K$2:$K$1564,Backlog!$J$2:$J$1564,$A79,Backlog!$C$2:$C$1564,"Story",Backlog!$I$2:$I$1564,"Done")/F79)</f>
        <v/>
      </c>
    </row>
    <row r="80">
      <c r="A80" t="inlineStr">
        <is>
          <t>Wave 6 · Mobile app</t>
        </is>
      </c>
      <c r="B80" t="inlineStr">
        <is>
          <t>Step 6+ HR modules</t>
        </is>
      </c>
      <c r="C80" t="n">
        <v>1466</v>
      </c>
      <c r="D80" s="5" t="inlineStr">
        <is>
          <t>Mobile app for employees and managers</t>
        </is>
      </c>
      <c r="E80">
        <f>COUNTIFS(Backlog!$J$2:$J$1564,$A80,Backlog!$C$2:$C$1564,"Story")</f>
        <v/>
      </c>
      <c r="F80">
        <f>SUMIFS(Backlog!$K$2:$K$1564,Backlog!$J$2:$J$1564,$A80,Backlog!$C$2:$C$1564,"Story")</f>
        <v/>
      </c>
      <c r="G80">
        <f>COUNTIFS(Backlog!$J$2:$J$1564,$A80,Backlog!$C$2:$C$1564,"Story",Backlog!$I$2:$I$1564,"Done")</f>
        <v/>
      </c>
      <c r="H80">
        <f>COUNTIFS(Backlog!$J$2:$J$1564,$A80,Backlog!$C$2:$C$1564,"Story",Backlog!$I$2:$I$1564,"Active")</f>
        <v/>
      </c>
      <c r="I80">
        <f>COUNTIFS(Backlog!$J$2:$J$1564,$A80,Backlog!$C$2:$C$1564,"Story",Backlog!$I$2:$I$1564,"New")</f>
        <v/>
      </c>
      <c r="J80" s="6">
        <f>IF(F80=0,"",SUMIFS(Backlog!$K$2:$K$1564,Backlog!$J$2:$J$1564,$A80,Backlog!$C$2:$C$1564,"Story",Backlog!$I$2:$I$1564,"Done")/F80)</f>
        <v/>
      </c>
    </row>
    <row r="81">
      <c r="A81" t="inlineStr">
        <is>
          <t>Wave 6 · Expenses</t>
        </is>
      </c>
      <c r="B81" t="inlineStr">
        <is>
          <t>Step 6+ HR modules</t>
        </is>
      </c>
      <c r="C81" t="n">
        <v>1471</v>
      </c>
      <c r="D81" s="5" t="inlineStr">
        <is>
          <t>Expenses, advances and travel</t>
        </is>
      </c>
      <c r="E81">
        <f>COUNTIFS(Backlog!$J$2:$J$1564,$A81,Backlog!$C$2:$C$1564,"Story")</f>
        <v/>
      </c>
      <c r="F81">
        <f>SUMIFS(Backlog!$K$2:$K$1564,Backlog!$J$2:$J$1564,$A81,Backlog!$C$2:$C$1564,"Story")</f>
        <v/>
      </c>
      <c r="G81">
        <f>COUNTIFS(Backlog!$J$2:$J$1564,$A81,Backlog!$C$2:$C$1564,"Story",Backlog!$I$2:$I$1564,"Done")</f>
        <v/>
      </c>
      <c r="H81">
        <f>COUNTIFS(Backlog!$J$2:$J$1564,$A81,Backlog!$C$2:$C$1564,"Story",Backlog!$I$2:$I$1564,"Active")</f>
        <v/>
      </c>
      <c r="I81">
        <f>COUNTIFS(Backlog!$J$2:$J$1564,$A81,Backlog!$C$2:$C$1564,"Story",Backlog!$I$2:$I$1564,"New")</f>
        <v/>
      </c>
      <c r="J81" s="6">
        <f>IF(F81=0,"",SUMIFS(Backlog!$K$2:$K$1564,Backlog!$J$2:$J$1564,$A81,Backlog!$C$2:$C$1564,"Story",Backlog!$I$2:$I$1564,"Done")/F81)</f>
        <v/>
      </c>
    </row>
    <row r="82">
      <c r="A82" t="inlineStr">
        <is>
          <t>Step 7 · ATS core</t>
        </is>
      </c>
      <c r="B82" t="inlineStr">
        <is>
          <t>ATS &amp; assessments</t>
        </is>
      </c>
      <c r="C82" t="n">
        <v>1505</v>
      </c>
      <c r="D82" s="5" t="inlineStr">
        <is>
          <t>ATS: internal hiring, staffing desk and vendor portal; Platform services</t>
        </is>
      </c>
      <c r="E82">
        <f>COUNTIFS(Backlog!$J$2:$J$1564,$A82,Backlog!$C$2:$C$1564,"Story")</f>
        <v/>
      </c>
      <c r="F82">
        <f>SUMIFS(Backlog!$K$2:$K$1564,Backlog!$J$2:$J$1564,$A82,Backlog!$C$2:$C$1564,"Story")</f>
        <v/>
      </c>
      <c r="G82">
        <f>COUNTIFS(Backlog!$J$2:$J$1564,$A82,Backlog!$C$2:$C$1564,"Story",Backlog!$I$2:$I$1564,"Done")</f>
        <v/>
      </c>
      <c r="H82">
        <f>COUNTIFS(Backlog!$J$2:$J$1564,$A82,Backlog!$C$2:$C$1564,"Story",Backlog!$I$2:$I$1564,"Active")</f>
        <v/>
      </c>
      <c r="I82">
        <f>COUNTIFS(Backlog!$J$2:$J$1564,$A82,Backlog!$C$2:$C$1564,"Story",Backlog!$I$2:$I$1564,"New")</f>
        <v/>
      </c>
      <c r="J82" s="6">
        <f>IF(F82=0,"",SUMIFS(Backlog!$K$2:$K$1564,Backlog!$J$2:$J$1564,$A82,Backlog!$C$2:$C$1564,"Story",Backlog!$I$2:$I$1564,"Done")/F82)</f>
        <v/>
      </c>
    </row>
    <row r="83">
      <c r="A83" t="inlineStr">
        <is>
          <t>Step 7 · ATS pass-3 additions</t>
        </is>
      </c>
      <c r="B83" t="inlineStr">
        <is>
          <t>ATS &amp; assessments</t>
        </is>
      </c>
      <c r="C83" t="n">
        <v>1515</v>
      </c>
      <c r="D83" s="5" t="inlineStr">
        <is>
          <t>ATS: internal hiring, staffing desk and vendor portal</t>
        </is>
      </c>
      <c r="E83">
        <f>COUNTIFS(Backlog!$J$2:$J$1564,$A83,Backlog!$C$2:$C$1564,"Story")</f>
        <v/>
      </c>
      <c r="F83">
        <f>SUMIFS(Backlog!$K$2:$K$1564,Backlog!$J$2:$J$1564,$A83,Backlog!$C$2:$C$1564,"Story")</f>
        <v/>
      </c>
      <c r="G83">
        <f>COUNTIFS(Backlog!$J$2:$J$1564,$A83,Backlog!$C$2:$C$1564,"Story",Backlog!$I$2:$I$1564,"Done")</f>
        <v/>
      </c>
      <c r="H83">
        <f>COUNTIFS(Backlog!$J$2:$J$1564,$A83,Backlog!$C$2:$C$1564,"Story",Backlog!$I$2:$I$1564,"Active")</f>
        <v/>
      </c>
      <c r="I83">
        <f>COUNTIFS(Backlog!$J$2:$J$1564,$A83,Backlog!$C$2:$C$1564,"Story",Backlog!$I$2:$I$1564,"New")</f>
        <v/>
      </c>
      <c r="J83" s="6">
        <f>IF(F83=0,"",SUMIFS(Backlog!$K$2:$K$1564,Backlog!$J$2:$J$1564,$A83,Backlog!$C$2:$C$1564,"Story",Backlog!$I$2:$I$1564,"Done")/F83)</f>
        <v/>
      </c>
    </row>
    <row r="84">
      <c r="A84" t="inlineStr">
        <is>
          <t>Step 7 · Staffing desk</t>
        </is>
      </c>
      <c r="B84" t="inlineStr">
        <is>
          <t>ATS &amp; assessments</t>
        </is>
      </c>
      <c r="C84" t="n">
        <v>1560</v>
      </c>
      <c r="D84" s="5" t="inlineStr">
        <is>
          <t>ATS: internal hiring, staffing desk and vendor portal</t>
        </is>
      </c>
      <c r="E84">
        <f>COUNTIFS(Backlog!$J$2:$J$1564,$A84,Backlog!$C$2:$C$1564,"Story")</f>
        <v/>
      </c>
      <c r="F84">
        <f>SUMIFS(Backlog!$K$2:$K$1564,Backlog!$J$2:$J$1564,$A84,Backlog!$C$2:$C$1564,"Story")</f>
        <v/>
      </c>
      <c r="G84">
        <f>COUNTIFS(Backlog!$J$2:$J$1564,$A84,Backlog!$C$2:$C$1564,"Story",Backlog!$I$2:$I$1564,"Done")</f>
        <v/>
      </c>
      <c r="H84">
        <f>COUNTIFS(Backlog!$J$2:$J$1564,$A84,Backlog!$C$2:$C$1564,"Story",Backlog!$I$2:$I$1564,"Active")</f>
        <v/>
      </c>
      <c r="I84">
        <f>COUNTIFS(Backlog!$J$2:$J$1564,$A84,Backlog!$C$2:$C$1564,"Story",Backlog!$I$2:$I$1564,"New")</f>
        <v/>
      </c>
      <c r="J84" s="6">
        <f>IF(F84=0,"",SUMIFS(Backlog!$K$2:$K$1564,Backlog!$J$2:$J$1564,$A84,Backlog!$C$2:$C$1564,"Story",Backlog!$I$2:$I$1564,"Done")/F84)</f>
        <v/>
      </c>
    </row>
    <row r="85">
      <c r="A85" t="inlineStr">
        <is>
          <t>Step 7 · Vendor portal</t>
        </is>
      </c>
      <c r="B85" t="inlineStr">
        <is>
          <t>ATS &amp; assessments</t>
        </is>
      </c>
      <c r="C85" t="n">
        <v>1580</v>
      </c>
      <c r="D85" s="5" t="inlineStr">
        <is>
          <t>ATS: internal hiring, staffing desk and vendor portal</t>
        </is>
      </c>
      <c r="E85">
        <f>COUNTIFS(Backlog!$J$2:$J$1564,$A85,Backlog!$C$2:$C$1564,"Story")</f>
        <v/>
      </c>
      <c r="F85">
        <f>SUMIFS(Backlog!$K$2:$K$1564,Backlog!$J$2:$J$1564,$A85,Backlog!$C$2:$C$1564,"Story")</f>
        <v/>
      </c>
      <c r="G85">
        <f>COUNTIFS(Backlog!$J$2:$J$1564,$A85,Backlog!$C$2:$C$1564,"Story",Backlog!$I$2:$I$1564,"Done")</f>
        <v/>
      </c>
      <c r="H85">
        <f>COUNTIFS(Backlog!$J$2:$J$1564,$A85,Backlog!$C$2:$C$1564,"Story",Backlog!$I$2:$I$1564,"Active")</f>
        <v/>
      </c>
      <c r="I85">
        <f>COUNTIFS(Backlog!$J$2:$J$1564,$A85,Backlog!$C$2:$C$1564,"Story",Backlog!$I$2:$I$1564,"New")</f>
        <v/>
      </c>
      <c r="J85" s="6">
        <f>IF(F85=0,"",SUMIFS(Backlog!$K$2:$K$1564,Backlog!$J$2:$J$1564,$A85,Backlog!$C$2:$C$1564,"Story",Backlog!$I$2:$I$1564,"Done")/F85)</f>
        <v/>
      </c>
    </row>
    <row r="86">
      <c r="A86" t="inlineStr">
        <is>
          <t>Proctoring track · phase 1</t>
        </is>
      </c>
      <c r="B86" t="inlineStr">
        <is>
          <t>ATS &amp; assessments</t>
        </is>
      </c>
      <c r="C86" t="n">
        <v>1700</v>
      </c>
      <c r="D86" s="5" t="inlineStr">
        <is>
          <t>Assessments &amp; proctoring; Platform services</t>
        </is>
      </c>
      <c r="E86">
        <f>COUNTIFS(Backlog!$J$2:$J$1564,$A86,Backlog!$C$2:$C$1564,"Story")</f>
        <v/>
      </c>
      <c r="F86">
        <f>SUMIFS(Backlog!$K$2:$K$1564,Backlog!$J$2:$J$1564,$A86,Backlog!$C$2:$C$1564,"Story")</f>
        <v/>
      </c>
      <c r="G86">
        <f>COUNTIFS(Backlog!$J$2:$J$1564,$A86,Backlog!$C$2:$C$1564,"Story",Backlog!$I$2:$I$1564,"Done")</f>
        <v/>
      </c>
      <c r="H86">
        <f>COUNTIFS(Backlog!$J$2:$J$1564,$A86,Backlog!$C$2:$C$1564,"Story",Backlog!$I$2:$I$1564,"Active")</f>
        <v/>
      </c>
      <c r="I86">
        <f>COUNTIFS(Backlog!$J$2:$J$1564,$A86,Backlog!$C$2:$C$1564,"Story",Backlog!$I$2:$I$1564,"New")</f>
        <v/>
      </c>
      <c r="J86" s="6">
        <f>IF(F86=0,"",SUMIFS(Backlog!$K$2:$K$1564,Backlog!$J$2:$J$1564,$A86,Backlog!$C$2:$C$1564,"Story",Backlog!$I$2:$I$1564,"Done")/F86)</f>
        <v/>
      </c>
    </row>
    <row r="87">
      <c r="A87" t="inlineStr">
        <is>
          <t>Proctoring track · phase 2</t>
        </is>
      </c>
      <c r="B87" t="inlineStr">
        <is>
          <t>ATS &amp; assessments</t>
        </is>
      </c>
      <c r="C87" t="n">
        <v>1710</v>
      </c>
      <c r="D87" s="5" t="inlineStr">
        <is>
          <t>Assessments &amp; proctoring</t>
        </is>
      </c>
      <c r="E87">
        <f>COUNTIFS(Backlog!$J$2:$J$1564,$A87,Backlog!$C$2:$C$1564,"Story")</f>
        <v/>
      </c>
      <c r="F87">
        <f>SUMIFS(Backlog!$K$2:$K$1564,Backlog!$J$2:$J$1564,$A87,Backlog!$C$2:$C$1564,"Story")</f>
        <v/>
      </c>
      <c r="G87">
        <f>COUNTIFS(Backlog!$J$2:$J$1564,$A87,Backlog!$C$2:$C$1564,"Story",Backlog!$I$2:$I$1564,"Done")</f>
        <v/>
      </c>
      <c r="H87">
        <f>COUNTIFS(Backlog!$J$2:$J$1564,$A87,Backlog!$C$2:$C$1564,"Story",Backlog!$I$2:$I$1564,"Active")</f>
        <v/>
      </c>
      <c r="I87">
        <f>COUNTIFS(Backlog!$J$2:$J$1564,$A87,Backlog!$C$2:$C$1564,"Story",Backlog!$I$2:$I$1564,"New")</f>
        <v/>
      </c>
      <c r="J87" s="6">
        <f>IF(F87=0,"",SUMIFS(Backlog!$K$2:$K$1564,Backlog!$J$2:$J$1564,$A87,Backlog!$C$2:$C$1564,"Story",Backlog!$I$2:$I$1564,"Done")/F87)</f>
        <v/>
      </c>
    </row>
  </sheetData>
  <autoFilter ref="A1:J8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8" customWidth="1" min="2" max="2"/>
    <col width="90" customWidth="1" min="3" max="3"/>
    <col width="34" customWidth="1" min="4" max="4"/>
  </cols>
  <sheetData>
    <row r="1">
      <c r="A1" s="4" t="inlineStr">
        <is>
          <t>Rule ID</t>
        </is>
      </c>
      <c r="B1" s="4" t="inlineStr">
        <is>
          <t>Doc</t>
        </is>
      </c>
      <c r="C1" s="4" t="inlineStr">
        <is>
          <t>Rule</t>
        </is>
      </c>
      <c r="D1" s="4" t="inlineStr">
        <is>
          <t>Problem</t>
        </is>
      </c>
    </row>
  </sheetData>
  <autoFilter ref="A1:D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2026-10-07T00:31:37Z</dcterms:created>
  <dcterms:modified xsi:type="dcterms:W3CDTF">2026-10-07T00:31:39Z</dcterms:modified>
</cp:coreProperties>
</file>